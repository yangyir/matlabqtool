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5" windowWidth="14805" windowHeight="8010" activeTab="2"/>
  </bookViews>
  <sheets>
    <sheet name="short put&amp;hedge" sheetId="1" r:id="rId1"/>
    <sheet name="long put&amp;hedge" sheetId="2" r:id="rId2"/>
    <sheet name="说明 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G1158" i="2" l="1"/>
  <c r="B1158" i="2"/>
  <c r="E1158" i="2" s="1"/>
  <c r="F1158" i="2" s="1"/>
  <c r="G1157" i="2"/>
  <c r="B1157" i="2"/>
  <c r="E1157" i="2" s="1"/>
  <c r="F1157" i="2" s="1"/>
  <c r="G1156" i="2"/>
  <c r="B1156" i="2"/>
  <c r="E1156" i="2" s="1"/>
  <c r="F1156" i="2" s="1"/>
  <c r="G1155" i="2"/>
  <c r="B1155" i="2"/>
  <c r="E1155" i="2" s="1"/>
  <c r="F1155" i="2" s="1"/>
  <c r="G1154" i="2"/>
  <c r="E1154" i="2"/>
  <c r="F1154" i="2" s="1"/>
  <c r="B1154" i="2"/>
  <c r="G1153" i="2"/>
  <c r="B1153" i="2"/>
  <c r="E1153" i="2" s="1"/>
  <c r="F1153" i="2" s="1"/>
  <c r="G1152" i="2"/>
  <c r="B1152" i="2"/>
  <c r="E1152" i="2" s="1"/>
  <c r="F1152" i="2" s="1"/>
  <c r="G1151" i="2"/>
  <c r="B1151" i="2"/>
  <c r="E1151" i="2" s="1"/>
  <c r="F1151" i="2" s="1"/>
  <c r="G1150" i="2"/>
  <c r="E1150" i="2"/>
  <c r="F1150" i="2" s="1"/>
  <c r="B1150" i="2"/>
  <c r="G1149" i="2"/>
  <c r="B1149" i="2"/>
  <c r="E1149" i="2" s="1"/>
  <c r="F1149" i="2" s="1"/>
  <c r="G1148" i="2"/>
  <c r="B1148" i="2"/>
  <c r="E1148" i="2" s="1"/>
  <c r="F1148" i="2" s="1"/>
  <c r="G1147" i="2"/>
  <c r="B1147" i="2"/>
  <c r="E1147" i="2" s="1"/>
  <c r="F1147" i="2" s="1"/>
  <c r="G1146" i="2"/>
  <c r="E1146" i="2"/>
  <c r="F1146" i="2" s="1"/>
  <c r="B1146" i="2"/>
  <c r="G1145" i="2"/>
  <c r="B1145" i="2"/>
  <c r="E1145" i="2" s="1"/>
  <c r="F1145" i="2" s="1"/>
  <c r="G1144" i="2"/>
  <c r="B1144" i="2"/>
  <c r="E1144" i="2" s="1"/>
  <c r="F1144" i="2" s="1"/>
  <c r="G1143" i="2"/>
  <c r="B1143" i="2"/>
  <c r="E1143" i="2" s="1"/>
  <c r="F1143" i="2" s="1"/>
  <c r="G1142" i="2"/>
  <c r="E1142" i="2"/>
  <c r="F1142" i="2" s="1"/>
  <c r="B1142" i="2"/>
  <c r="G1141" i="2"/>
  <c r="B1141" i="2"/>
  <c r="E1141" i="2" s="1"/>
  <c r="F1141" i="2" s="1"/>
  <c r="G1140" i="2"/>
  <c r="B1140" i="2"/>
  <c r="E1140" i="2" s="1"/>
  <c r="F1140" i="2" s="1"/>
  <c r="G1139" i="2"/>
  <c r="B1139" i="2"/>
  <c r="E1139" i="2" s="1"/>
  <c r="F1139" i="2" s="1"/>
  <c r="G1138" i="2"/>
  <c r="E1138" i="2"/>
  <c r="F1138" i="2" s="1"/>
  <c r="B1138" i="2"/>
  <c r="G1137" i="2"/>
  <c r="B1137" i="2"/>
  <c r="E1137" i="2" s="1"/>
  <c r="F1137" i="2" s="1"/>
  <c r="G1136" i="2"/>
  <c r="B1136" i="2"/>
  <c r="E1136" i="2" s="1"/>
  <c r="F1136" i="2" s="1"/>
  <c r="G1135" i="2"/>
  <c r="B1135" i="2"/>
  <c r="E1135" i="2" s="1"/>
  <c r="F1135" i="2" s="1"/>
  <c r="G1134" i="2"/>
  <c r="E1134" i="2"/>
  <c r="F1134" i="2" s="1"/>
  <c r="B1134" i="2"/>
  <c r="G1133" i="2"/>
  <c r="B1133" i="2"/>
  <c r="E1133" i="2" s="1"/>
  <c r="F1133" i="2" s="1"/>
  <c r="G1132" i="2"/>
  <c r="B1132" i="2"/>
  <c r="E1132" i="2" s="1"/>
  <c r="F1132" i="2" s="1"/>
  <c r="G1131" i="2"/>
  <c r="B1131" i="2"/>
  <c r="E1131" i="2" s="1"/>
  <c r="F1131" i="2" s="1"/>
  <c r="G1130" i="2"/>
  <c r="E1130" i="2"/>
  <c r="F1130" i="2" s="1"/>
  <c r="B1130" i="2"/>
  <c r="G1129" i="2"/>
  <c r="B1129" i="2"/>
  <c r="E1129" i="2" s="1"/>
  <c r="F1129" i="2" s="1"/>
  <c r="G1128" i="2"/>
  <c r="E1128" i="2"/>
  <c r="F1128" i="2" s="1"/>
  <c r="B1128" i="2"/>
  <c r="G1127" i="2"/>
  <c r="B1127" i="2"/>
  <c r="E1127" i="2" s="1"/>
  <c r="F1127" i="2" s="1"/>
  <c r="G1126" i="2"/>
  <c r="E1126" i="2"/>
  <c r="F1126" i="2" s="1"/>
  <c r="B1126" i="2"/>
  <c r="G1125" i="2"/>
  <c r="B1125" i="2"/>
  <c r="E1125" i="2" s="1"/>
  <c r="F1125" i="2" s="1"/>
  <c r="G1124" i="2"/>
  <c r="E1124" i="2"/>
  <c r="F1124" i="2" s="1"/>
  <c r="B1124" i="2"/>
  <c r="G1123" i="2"/>
  <c r="B1123" i="2"/>
  <c r="E1123" i="2" s="1"/>
  <c r="F1123" i="2" s="1"/>
  <c r="G1122" i="2"/>
  <c r="E1122" i="2"/>
  <c r="F1122" i="2" s="1"/>
  <c r="B1122" i="2"/>
  <c r="G1121" i="2"/>
  <c r="E1121" i="2"/>
  <c r="F1121" i="2" s="1"/>
  <c r="B1121" i="2"/>
  <c r="G1120" i="2"/>
  <c r="E1120" i="2"/>
  <c r="F1120" i="2" s="1"/>
  <c r="B1120" i="2"/>
  <c r="G1119" i="2"/>
  <c r="E1119" i="2"/>
  <c r="F1119" i="2" s="1"/>
  <c r="B1119" i="2"/>
  <c r="G1118" i="2"/>
  <c r="B1118" i="2"/>
  <c r="E1118" i="2" s="1"/>
  <c r="F1118" i="2" s="1"/>
  <c r="G1117" i="2"/>
  <c r="E1117" i="2"/>
  <c r="F1117" i="2" s="1"/>
  <c r="B1117" i="2"/>
  <c r="G1116" i="2"/>
  <c r="B1116" i="2"/>
  <c r="E1116" i="2" s="1"/>
  <c r="F1116" i="2" s="1"/>
  <c r="G1115" i="2"/>
  <c r="E1115" i="2"/>
  <c r="F1115" i="2" s="1"/>
  <c r="B1115" i="2"/>
  <c r="G1114" i="2"/>
  <c r="B1114" i="2"/>
  <c r="E1114" i="2" s="1"/>
  <c r="F1114" i="2" s="1"/>
  <c r="G1113" i="2"/>
  <c r="E1113" i="2"/>
  <c r="F1113" i="2" s="1"/>
  <c r="B1113" i="2"/>
  <c r="G1112" i="2"/>
  <c r="B1112" i="2"/>
  <c r="E1112" i="2" s="1"/>
  <c r="F1112" i="2" s="1"/>
  <c r="G1111" i="2"/>
  <c r="E1111" i="2"/>
  <c r="F1111" i="2" s="1"/>
  <c r="B1111" i="2"/>
  <c r="G1110" i="2"/>
  <c r="B1110" i="2"/>
  <c r="E1110" i="2" s="1"/>
  <c r="F1110" i="2" s="1"/>
  <c r="G1109" i="2"/>
  <c r="E1109" i="2"/>
  <c r="F1109" i="2" s="1"/>
  <c r="B1109" i="2"/>
  <c r="G1108" i="2"/>
  <c r="B1108" i="2"/>
  <c r="E1108" i="2" s="1"/>
  <c r="F1108" i="2" s="1"/>
  <c r="G1107" i="2"/>
  <c r="E1107" i="2"/>
  <c r="F1107" i="2" s="1"/>
  <c r="B1107" i="2"/>
  <c r="G1106" i="2"/>
  <c r="B1106" i="2"/>
  <c r="E1106" i="2" s="1"/>
  <c r="F1106" i="2" s="1"/>
  <c r="G1105" i="2"/>
  <c r="E1105" i="2"/>
  <c r="F1105" i="2" s="1"/>
  <c r="B1105" i="2"/>
  <c r="G1104" i="2"/>
  <c r="B1104" i="2"/>
  <c r="E1104" i="2" s="1"/>
  <c r="F1104" i="2" s="1"/>
  <c r="G1103" i="2"/>
  <c r="E1103" i="2"/>
  <c r="F1103" i="2" s="1"/>
  <c r="B1103" i="2"/>
  <c r="G1102" i="2"/>
  <c r="B1102" i="2"/>
  <c r="E1102" i="2" s="1"/>
  <c r="F1102" i="2" s="1"/>
  <c r="G1101" i="2"/>
  <c r="E1101" i="2"/>
  <c r="F1101" i="2" s="1"/>
  <c r="B1101" i="2"/>
  <c r="G1100" i="2"/>
  <c r="B1100" i="2"/>
  <c r="E1100" i="2" s="1"/>
  <c r="F1100" i="2" s="1"/>
  <c r="G1099" i="2"/>
  <c r="B1099" i="2"/>
  <c r="E1099" i="2" s="1"/>
  <c r="F1099" i="2" s="1"/>
  <c r="G1098" i="2"/>
  <c r="B1098" i="2"/>
  <c r="E1098" i="2" s="1"/>
  <c r="F1098" i="2" s="1"/>
  <c r="G1097" i="2"/>
  <c r="E1097" i="2"/>
  <c r="F1097" i="2" s="1"/>
  <c r="B1097" i="2"/>
  <c r="G1096" i="2"/>
  <c r="B1096" i="2"/>
  <c r="E1096" i="2" s="1"/>
  <c r="F1096" i="2" s="1"/>
  <c r="G1095" i="2"/>
  <c r="B1095" i="2"/>
  <c r="E1095" i="2" s="1"/>
  <c r="F1095" i="2" s="1"/>
  <c r="G1094" i="2"/>
  <c r="B1094" i="2"/>
  <c r="E1094" i="2" s="1"/>
  <c r="F1094" i="2" s="1"/>
  <c r="G1093" i="2"/>
  <c r="E1093" i="2"/>
  <c r="F1093" i="2" s="1"/>
  <c r="B1093" i="2"/>
  <c r="G1092" i="2"/>
  <c r="E1092" i="2"/>
  <c r="F1092" i="2" s="1"/>
  <c r="B1092" i="2"/>
  <c r="G1091" i="2"/>
  <c r="B1091" i="2"/>
  <c r="E1091" i="2" s="1"/>
  <c r="F1091" i="2" s="1"/>
  <c r="G1090" i="2"/>
  <c r="E1090" i="2"/>
  <c r="F1090" i="2" s="1"/>
  <c r="B1090" i="2"/>
  <c r="G1089" i="2"/>
  <c r="B1089" i="2"/>
  <c r="E1089" i="2" s="1"/>
  <c r="F1089" i="2" s="1"/>
  <c r="G1088" i="2"/>
  <c r="E1088" i="2"/>
  <c r="F1088" i="2" s="1"/>
  <c r="B1088" i="2"/>
  <c r="G1087" i="2"/>
  <c r="B1087" i="2"/>
  <c r="E1087" i="2" s="1"/>
  <c r="F1087" i="2" s="1"/>
  <c r="G1086" i="2"/>
  <c r="E1086" i="2"/>
  <c r="F1086" i="2" s="1"/>
  <c r="B1086" i="2"/>
  <c r="G1085" i="2"/>
  <c r="B1085" i="2"/>
  <c r="E1085" i="2" s="1"/>
  <c r="F1085" i="2" s="1"/>
  <c r="G1084" i="2"/>
  <c r="E1084" i="2"/>
  <c r="F1084" i="2" s="1"/>
  <c r="B1084" i="2"/>
  <c r="G1083" i="2"/>
  <c r="B1083" i="2"/>
  <c r="E1083" i="2" s="1"/>
  <c r="F1083" i="2" s="1"/>
  <c r="G1082" i="2"/>
  <c r="E1082" i="2"/>
  <c r="F1082" i="2" s="1"/>
  <c r="B1082" i="2"/>
  <c r="G1081" i="2"/>
  <c r="B1081" i="2"/>
  <c r="E1081" i="2" s="1"/>
  <c r="F1081" i="2" s="1"/>
  <c r="G1080" i="2"/>
  <c r="E1080" i="2"/>
  <c r="F1080" i="2" s="1"/>
  <c r="B1080" i="2"/>
  <c r="G1079" i="2"/>
  <c r="B1079" i="2"/>
  <c r="E1079" i="2" s="1"/>
  <c r="F1079" i="2" s="1"/>
  <c r="G1078" i="2"/>
  <c r="E1078" i="2"/>
  <c r="F1078" i="2" s="1"/>
  <c r="B1078" i="2"/>
  <c r="G1077" i="2"/>
  <c r="B1077" i="2"/>
  <c r="E1077" i="2" s="1"/>
  <c r="F1077" i="2" s="1"/>
  <c r="G1076" i="2"/>
  <c r="E1076" i="2"/>
  <c r="F1076" i="2" s="1"/>
  <c r="B1076" i="2"/>
  <c r="G1075" i="2"/>
  <c r="B1075" i="2"/>
  <c r="E1075" i="2" s="1"/>
  <c r="F1075" i="2" s="1"/>
  <c r="G1074" i="2"/>
  <c r="E1074" i="2"/>
  <c r="F1074" i="2" s="1"/>
  <c r="B1074" i="2"/>
  <c r="G1073" i="2"/>
  <c r="B1073" i="2"/>
  <c r="E1073" i="2" s="1"/>
  <c r="F1073" i="2" s="1"/>
  <c r="G1072" i="2"/>
  <c r="E1072" i="2"/>
  <c r="F1072" i="2" s="1"/>
  <c r="B1072" i="2"/>
  <c r="G1071" i="2"/>
  <c r="B1071" i="2"/>
  <c r="E1071" i="2" s="1"/>
  <c r="F1071" i="2" s="1"/>
  <c r="G1070" i="2"/>
  <c r="E1070" i="2"/>
  <c r="F1070" i="2" s="1"/>
  <c r="B1070" i="2"/>
  <c r="G1069" i="2"/>
  <c r="B1069" i="2"/>
  <c r="E1069" i="2" s="1"/>
  <c r="F1069" i="2" s="1"/>
  <c r="G1068" i="2"/>
  <c r="E1068" i="2"/>
  <c r="F1068" i="2" s="1"/>
  <c r="B1068" i="2"/>
  <c r="G1067" i="2"/>
  <c r="B1067" i="2"/>
  <c r="E1067" i="2" s="1"/>
  <c r="F1067" i="2" s="1"/>
  <c r="G1066" i="2"/>
  <c r="E1066" i="2"/>
  <c r="F1066" i="2" s="1"/>
  <c r="B1066" i="2"/>
  <c r="G1065" i="2"/>
  <c r="B1065" i="2"/>
  <c r="E1065" i="2" s="1"/>
  <c r="F1065" i="2" s="1"/>
  <c r="G1064" i="2"/>
  <c r="E1064" i="2"/>
  <c r="F1064" i="2" s="1"/>
  <c r="B1064" i="2"/>
  <c r="G1063" i="2"/>
  <c r="B1063" i="2"/>
  <c r="E1063" i="2" s="1"/>
  <c r="F1063" i="2" s="1"/>
  <c r="G1062" i="2"/>
  <c r="E1062" i="2"/>
  <c r="F1062" i="2" s="1"/>
  <c r="B1062" i="2"/>
  <c r="G1061" i="2"/>
  <c r="B1061" i="2"/>
  <c r="E1061" i="2" s="1"/>
  <c r="F1061" i="2" s="1"/>
  <c r="G1060" i="2"/>
  <c r="E1060" i="2"/>
  <c r="F1060" i="2" s="1"/>
  <c r="B1060" i="2"/>
  <c r="G1059" i="2"/>
  <c r="B1059" i="2"/>
  <c r="E1059" i="2" s="1"/>
  <c r="F1059" i="2" s="1"/>
  <c r="G1058" i="2"/>
  <c r="E1058" i="2"/>
  <c r="F1058" i="2" s="1"/>
  <c r="B1058" i="2"/>
  <c r="G1057" i="2"/>
  <c r="B1057" i="2"/>
  <c r="E1057" i="2" s="1"/>
  <c r="F1057" i="2" s="1"/>
  <c r="G1056" i="2"/>
  <c r="E1056" i="2"/>
  <c r="F1056" i="2" s="1"/>
  <c r="B1056" i="2"/>
  <c r="G1055" i="2"/>
  <c r="B1055" i="2"/>
  <c r="E1055" i="2" s="1"/>
  <c r="F1055" i="2" s="1"/>
  <c r="G1054" i="2"/>
  <c r="B1054" i="2"/>
  <c r="E1054" i="2" s="1"/>
  <c r="F1054" i="2" s="1"/>
  <c r="G1053" i="2"/>
  <c r="B1053" i="2"/>
  <c r="E1053" i="2" s="1"/>
  <c r="F1053" i="2" s="1"/>
  <c r="G1052" i="2"/>
  <c r="E1052" i="2"/>
  <c r="F1052" i="2" s="1"/>
  <c r="B1052" i="2"/>
  <c r="G1051" i="2"/>
  <c r="B1051" i="2"/>
  <c r="E1051" i="2" s="1"/>
  <c r="F1051" i="2" s="1"/>
  <c r="G1050" i="2"/>
  <c r="E1050" i="2"/>
  <c r="F1050" i="2" s="1"/>
  <c r="B1050" i="2"/>
  <c r="G1049" i="2"/>
  <c r="B1049" i="2"/>
  <c r="E1049" i="2" s="1"/>
  <c r="F1049" i="2" s="1"/>
  <c r="G1048" i="2"/>
  <c r="E1048" i="2"/>
  <c r="F1048" i="2" s="1"/>
  <c r="B1048" i="2"/>
  <c r="G1047" i="2"/>
  <c r="B1047" i="2"/>
  <c r="E1047" i="2" s="1"/>
  <c r="F1047" i="2" s="1"/>
  <c r="G1046" i="2"/>
  <c r="E1046" i="2"/>
  <c r="F1046" i="2" s="1"/>
  <c r="B1046" i="2"/>
  <c r="G1045" i="2"/>
  <c r="B1045" i="2"/>
  <c r="E1045" i="2" s="1"/>
  <c r="F1045" i="2" s="1"/>
  <c r="G1044" i="2"/>
  <c r="E1044" i="2"/>
  <c r="F1044" i="2" s="1"/>
  <c r="B1044" i="2"/>
  <c r="G1043" i="2"/>
  <c r="B1043" i="2"/>
  <c r="E1043" i="2" s="1"/>
  <c r="F1043" i="2" s="1"/>
  <c r="G1042" i="2"/>
  <c r="E1042" i="2"/>
  <c r="F1042" i="2" s="1"/>
  <c r="B1042" i="2"/>
  <c r="G1041" i="2"/>
  <c r="E1041" i="2"/>
  <c r="F1041" i="2" s="1"/>
  <c r="B1041" i="2"/>
  <c r="G1040" i="2"/>
  <c r="E1040" i="2"/>
  <c r="F1040" i="2" s="1"/>
  <c r="B1040" i="2"/>
  <c r="G1039" i="2"/>
  <c r="E1039" i="2"/>
  <c r="F1039" i="2" s="1"/>
  <c r="B1039" i="2"/>
  <c r="G1038" i="2"/>
  <c r="E1038" i="2"/>
  <c r="F1038" i="2" s="1"/>
  <c r="B1038" i="2"/>
  <c r="G1037" i="2"/>
  <c r="B1037" i="2"/>
  <c r="E1037" i="2" s="1"/>
  <c r="F1037" i="2" s="1"/>
  <c r="G1036" i="2"/>
  <c r="B1036" i="2"/>
  <c r="E1036" i="2" s="1"/>
  <c r="F1036" i="2" s="1"/>
  <c r="G1035" i="2"/>
  <c r="B1035" i="2"/>
  <c r="E1035" i="2" s="1"/>
  <c r="F1035" i="2" s="1"/>
  <c r="G1034" i="2"/>
  <c r="B1034" i="2"/>
  <c r="E1034" i="2" s="1"/>
  <c r="F1034" i="2" s="1"/>
  <c r="G1033" i="2"/>
  <c r="B1033" i="2"/>
  <c r="E1033" i="2" s="1"/>
  <c r="F1033" i="2" s="1"/>
  <c r="G1032" i="2"/>
  <c r="B1032" i="2"/>
  <c r="E1032" i="2" s="1"/>
  <c r="F1032" i="2" s="1"/>
  <c r="G1031" i="2"/>
  <c r="B1031" i="2"/>
  <c r="E1031" i="2" s="1"/>
  <c r="F1031" i="2" s="1"/>
  <c r="G1030" i="2"/>
  <c r="B1030" i="2"/>
  <c r="E1030" i="2" s="1"/>
  <c r="F1030" i="2" s="1"/>
  <c r="G1029" i="2"/>
  <c r="B1029" i="2"/>
  <c r="E1029" i="2" s="1"/>
  <c r="F1029" i="2" s="1"/>
  <c r="G1028" i="2"/>
  <c r="B1028" i="2"/>
  <c r="E1028" i="2" s="1"/>
  <c r="F1028" i="2" s="1"/>
  <c r="G1027" i="2"/>
  <c r="B1027" i="2"/>
  <c r="E1027" i="2" s="1"/>
  <c r="F1027" i="2" s="1"/>
  <c r="G1026" i="2"/>
  <c r="B1026" i="2"/>
  <c r="E1026" i="2" s="1"/>
  <c r="F1026" i="2" s="1"/>
  <c r="G1025" i="2"/>
  <c r="B1025" i="2"/>
  <c r="E1025" i="2" s="1"/>
  <c r="F1025" i="2" s="1"/>
  <c r="G1024" i="2"/>
  <c r="B1024" i="2"/>
  <c r="E1024" i="2" s="1"/>
  <c r="F1024" i="2" s="1"/>
  <c r="G1023" i="2"/>
  <c r="B1023" i="2"/>
  <c r="E1023" i="2" s="1"/>
  <c r="F1023" i="2" s="1"/>
  <c r="G1022" i="2"/>
  <c r="B1022" i="2"/>
  <c r="E1022" i="2" s="1"/>
  <c r="F1022" i="2" s="1"/>
  <c r="G1021" i="2"/>
  <c r="B1021" i="2"/>
  <c r="E1021" i="2" s="1"/>
  <c r="F1021" i="2" s="1"/>
  <c r="G1020" i="2"/>
  <c r="B1020" i="2"/>
  <c r="E1020" i="2" s="1"/>
  <c r="F1020" i="2" s="1"/>
  <c r="G1019" i="2"/>
  <c r="B1019" i="2"/>
  <c r="E1019" i="2" s="1"/>
  <c r="F1019" i="2" s="1"/>
  <c r="G1018" i="2"/>
  <c r="B1018" i="2"/>
  <c r="E1018" i="2" s="1"/>
  <c r="F1018" i="2" s="1"/>
  <c r="G1017" i="2"/>
  <c r="B1017" i="2"/>
  <c r="E1017" i="2" s="1"/>
  <c r="F1017" i="2" s="1"/>
  <c r="G1016" i="2"/>
  <c r="B1016" i="2"/>
  <c r="E1016" i="2" s="1"/>
  <c r="F1016" i="2" s="1"/>
  <c r="G1015" i="2"/>
  <c r="B1015" i="2"/>
  <c r="E1015" i="2" s="1"/>
  <c r="F1015" i="2" s="1"/>
  <c r="G1014" i="2"/>
  <c r="B1014" i="2"/>
  <c r="E1014" i="2" s="1"/>
  <c r="F1014" i="2" s="1"/>
  <c r="G1013" i="2"/>
  <c r="B1013" i="2"/>
  <c r="E1013" i="2" s="1"/>
  <c r="F1013" i="2" s="1"/>
  <c r="G1012" i="2"/>
  <c r="B1012" i="2"/>
  <c r="E1012" i="2" s="1"/>
  <c r="F1012" i="2" s="1"/>
  <c r="G1011" i="2"/>
  <c r="B1011" i="2"/>
  <c r="E1011" i="2" s="1"/>
  <c r="F1011" i="2" s="1"/>
  <c r="G1010" i="2"/>
  <c r="B1010" i="2"/>
  <c r="E1010" i="2" s="1"/>
  <c r="F1010" i="2" s="1"/>
  <c r="G1009" i="2"/>
  <c r="B1009" i="2"/>
  <c r="E1009" i="2" s="1"/>
  <c r="F1009" i="2" s="1"/>
  <c r="G1008" i="2"/>
  <c r="B1008" i="2"/>
  <c r="E1008" i="2" s="1"/>
  <c r="F1008" i="2" s="1"/>
  <c r="G1007" i="2"/>
  <c r="B1007" i="2"/>
  <c r="E1007" i="2" s="1"/>
  <c r="F1007" i="2" s="1"/>
  <c r="G1006" i="2"/>
  <c r="B1006" i="2"/>
  <c r="E1006" i="2" s="1"/>
  <c r="F1006" i="2" s="1"/>
  <c r="G1005" i="2"/>
  <c r="B1005" i="2"/>
  <c r="E1005" i="2" s="1"/>
  <c r="F1005" i="2" s="1"/>
  <c r="G1004" i="2"/>
  <c r="B1004" i="2"/>
  <c r="E1004" i="2" s="1"/>
  <c r="F1004" i="2" s="1"/>
  <c r="G1003" i="2"/>
  <c r="B1003" i="2"/>
  <c r="E1003" i="2" s="1"/>
  <c r="F1003" i="2" s="1"/>
  <c r="G1002" i="2"/>
  <c r="B1002" i="2"/>
  <c r="E1002" i="2" s="1"/>
  <c r="F1002" i="2" s="1"/>
  <c r="G1001" i="2"/>
  <c r="B1001" i="2"/>
  <c r="E1001" i="2" s="1"/>
  <c r="F1001" i="2" s="1"/>
  <c r="G1000" i="2"/>
  <c r="B1000" i="2"/>
  <c r="E1000" i="2" s="1"/>
  <c r="F1000" i="2" s="1"/>
  <c r="G999" i="2"/>
  <c r="B999" i="2"/>
  <c r="E999" i="2" s="1"/>
  <c r="F999" i="2" s="1"/>
  <c r="G998" i="2"/>
  <c r="B998" i="2"/>
  <c r="E998" i="2" s="1"/>
  <c r="F998" i="2" s="1"/>
  <c r="G997" i="2"/>
  <c r="B997" i="2"/>
  <c r="E997" i="2" s="1"/>
  <c r="F997" i="2" s="1"/>
  <c r="G996" i="2"/>
  <c r="B996" i="2"/>
  <c r="E996" i="2" s="1"/>
  <c r="F996" i="2" s="1"/>
  <c r="G995" i="2"/>
  <c r="B995" i="2"/>
  <c r="E995" i="2" s="1"/>
  <c r="F995" i="2" s="1"/>
  <c r="G994" i="2"/>
  <c r="B994" i="2"/>
  <c r="E994" i="2" s="1"/>
  <c r="F994" i="2" s="1"/>
  <c r="G993" i="2"/>
  <c r="B993" i="2"/>
  <c r="E993" i="2" s="1"/>
  <c r="F993" i="2" s="1"/>
  <c r="G992" i="2"/>
  <c r="B992" i="2"/>
  <c r="E992" i="2" s="1"/>
  <c r="F992" i="2" s="1"/>
  <c r="G991" i="2"/>
  <c r="B991" i="2"/>
  <c r="E991" i="2" s="1"/>
  <c r="F991" i="2" s="1"/>
  <c r="G990" i="2"/>
  <c r="B990" i="2"/>
  <c r="E990" i="2" s="1"/>
  <c r="F990" i="2" s="1"/>
  <c r="G989" i="2"/>
  <c r="B989" i="2"/>
  <c r="E989" i="2" s="1"/>
  <c r="F989" i="2" s="1"/>
  <c r="G988" i="2"/>
  <c r="B988" i="2"/>
  <c r="E988" i="2" s="1"/>
  <c r="F988" i="2" s="1"/>
  <c r="G987" i="2"/>
  <c r="B987" i="2"/>
  <c r="E987" i="2" s="1"/>
  <c r="F987" i="2" s="1"/>
  <c r="G986" i="2"/>
  <c r="B986" i="2"/>
  <c r="E986" i="2" s="1"/>
  <c r="F986" i="2" s="1"/>
  <c r="G985" i="2"/>
  <c r="B985" i="2"/>
  <c r="E985" i="2" s="1"/>
  <c r="F985" i="2" s="1"/>
  <c r="G984" i="2"/>
  <c r="B984" i="2"/>
  <c r="E984" i="2" s="1"/>
  <c r="F984" i="2" s="1"/>
  <c r="G983" i="2"/>
  <c r="B983" i="2"/>
  <c r="E983" i="2" s="1"/>
  <c r="F983" i="2" s="1"/>
  <c r="G982" i="2"/>
  <c r="B982" i="2"/>
  <c r="E982" i="2" s="1"/>
  <c r="F982" i="2" s="1"/>
  <c r="G981" i="2"/>
  <c r="B981" i="2"/>
  <c r="E981" i="2" s="1"/>
  <c r="F981" i="2" s="1"/>
  <c r="G980" i="2"/>
  <c r="E980" i="2"/>
  <c r="F980" i="2" s="1"/>
  <c r="B980" i="2"/>
  <c r="G979" i="2"/>
  <c r="B979" i="2"/>
  <c r="E979" i="2" s="1"/>
  <c r="F979" i="2" s="1"/>
  <c r="G978" i="2"/>
  <c r="B978" i="2"/>
  <c r="E978" i="2" s="1"/>
  <c r="F978" i="2" s="1"/>
  <c r="G977" i="2"/>
  <c r="B977" i="2"/>
  <c r="E977" i="2" s="1"/>
  <c r="F977" i="2" s="1"/>
  <c r="G976" i="2"/>
  <c r="B976" i="2"/>
  <c r="E976" i="2" s="1"/>
  <c r="F976" i="2" s="1"/>
  <c r="G975" i="2"/>
  <c r="B975" i="2"/>
  <c r="E975" i="2" s="1"/>
  <c r="F975" i="2" s="1"/>
  <c r="G974" i="2"/>
  <c r="B974" i="2"/>
  <c r="E974" i="2" s="1"/>
  <c r="F974" i="2" s="1"/>
  <c r="G973" i="2"/>
  <c r="B973" i="2"/>
  <c r="E973" i="2" s="1"/>
  <c r="F973" i="2" s="1"/>
  <c r="G972" i="2"/>
  <c r="E972" i="2"/>
  <c r="F972" i="2" s="1"/>
  <c r="B972" i="2"/>
  <c r="G971" i="2"/>
  <c r="B971" i="2"/>
  <c r="E971" i="2" s="1"/>
  <c r="F971" i="2" s="1"/>
  <c r="G970" i="2"/>
  <c r="B970" i="2"/>
  <c r="E970" i="2" s="1"/>
  <c r="F970" i="2" s="1"/>
  <c r="G969" i="2"/>
  <c r="B969" i="2"/>
  <c r="E969" i="2" s="1"/>
  <c r="F969" i="2" s="1"/>
  <c r="G968" i="2"/>
  <c r="B968" i="2"/>
  <c r="E968" i="2" s="1"/>
  <c r="F968" i="2" s="1"/>
  <c r="G967" i="2"/>
  <c r="B967" i="2"/>
  <c r="E967" i="2" s="1"/>
  <c r="F967" i="2" s="1"/>
  <c r="G966" i="2"/>
  <c r="B966" i="2"/>
  <c r="E966" i="2" s="1"/>
  <c r="F966" i="2" s="1"/>
  <c r="G965" i="2"/>
  <c r="B965" i="2"/>
  <c r="E965" i="2" s="1"/>
  <c r="F965" i="2" s="1"/>
  <c r="G964" i="2"/>
  <c r="E964" i="2"/>
  <c r="F964" i="2" s="1"/>
  <c r="B964" i="2"/>
  <c r="G963" i="2"/>
  <c r="B963" i="2"/>
  <c r="E963" i="2" s="1"/>
  <c r="F963" i="2" s="1"/>
  <c r="G962" i="2"/>
  <c r="B962" i="2"/>
  <c r="E962" i="2" s="1"/>
  <c r="F962" i="2" s="1"/>
  <c r="G961" i="2"/>
  <c r="B961" i="2"/>
  <c r="E961" i="2" s="1"/>
  <c r="F961" i="2" s="1"/>
  <c r="G960" i="2"/>
  <c r="B960" i="2"/>
  <c r="E960" i="2" s="1"/>
  <c r="F960" i="2" s="1"/>
  <c r="G959" i="2"/>
  <c r="B959" i="2"/>
  <c r="E959" i="2" s="1"/>
  <c r="F959" i="2" s="1"/>
  <c r="G958" i="2"/>
  <c r="B958" i="2"/>
  <c r="E958" i="2" s="1"/>
  <c r="F958" i="2" s="1"/>
  <c r="G957" i="2"/>
  <c r="B957" i="2"/>
  <c r="E957" i="2" s="1"/>
  <c r="F957" i="2" s="1"/>
  <c r="G956" i="2"/>
  <c r="E956" i="2"/>
  <c r="F956" i="2" s="1"/>
  <c r="B956" i="2"/>
  <c r="G955" i="2"/>
  <c r="B955" i="2"/>
  <c r="E955" i="2" s="1"/>
  <c r="F955" i="2" s="1"/>
  <c r="G954" i="2"/>
  <c r="B954" i="2"/>
  <c r="E954" i="2" s="1"/>
  <c r="F954" i="2" s="1"/>
  <c r="G953" i="2"/>
  <c r="B953" i="2"/>
  <c r="E953" i="2" s="1"/>
  <c r="F953" i="2" s="1"/>
  <c r="G952" i="2"/>
  <c r="B952" i="2"/>
  <c r="E952" i="2" s="1"/>
  <c r="F952" i="2" s="1"/>
  <c r="G951" i="2"/>
  <c r="B951" i="2"/>
  <c r="E951" i="2" s="1"/>
  <c r="F951" i="2" s="1"/>
  <c r="G950" i="2"/>
  <c r="B950" i="2"/>
  <c r="E950" i="2" s="1"/>
  <c r="F950" i="2" s="1"/>
  <c r="G949" i="2"/>
  <c r="B949" i="2"/>
  <c r="E949" i="2" s="1"/>
  <c r="F949" i="2" s="1"/>
  <c r="G948" i="2"/>
  <c r="B948" i="2"/>
  <c r="E948" i="2" s="1"/>
  <c r="F948" i="2" s="1"/>
  <c r="G947" i="2"/>
  <c r="B947" i="2"/>
  <c r="E947" i="2" s="1"/>
  <c r="F947" i="2" s="1"/>
  <c r="G946" i="2"/>
  <c r="B946" i="2"/>
  <c r="E946" i="2" s="1"/>
  <c r="F946" i="2" s="1"/>
  <c r="G945" i="2"/>
  <c r="B945" i="2"/>
  <c r="E945" i="2" s="1"/>
  <c r="F945" i="2" s="1"/>
  <c r="G944" i="2"/>
  <c r="E944" i="2"/>
  <c r="F944" i="2" s="1"/>
  <c r="B944" i="2"/>
  <c r="G943" i="2"/>
  <c r="B943" i="2"/>
  <c r="E943" i="2" s="1"/>
  <c r="F943" i="2" s="1"/>
  <c r="G942" i="2"/>
  <c r="B942" i="2"/>
  <c r="E942" i="2" s="1"/>
  <c r="F942" i="2" s="1"/>
  <c r="G941" i="2"/>
  <c r="B941" i="2"/>
  <c r="E941" i="2" s="1"/>
  <c r="F941" i="2" s="1"/>
  <c r="G940" i="2"/>
  <c r="B940" i="2"/>
  <c r="E940" i="2" s="1"/>
  <c r="F940" i="2" s="1"/>
  <c r="G939" i="2"/>
  <c r="B939" i="2"/>
  <c r="E939" i="2" s="1"/>
  <c r="F939" i="2" s="1"/>
  <c r="G938" i="2"/>
  <c r="B938" i="2"/>
  <c r="E938" i="2" s="1"/>
  <c r="F938" i="2" s="1"/>
  <c r="G937" i="2"/>
  <c r="B937" i="2"/>
  <c r="E937" i="2" s="1"/>
  <c r="F937" i="2" s="1"/>
  <c r="G936" i="2"/>
  <c r="E936" i="2"/>
  <c r="F936" i="2" s="1"/>
  <c r="B936" i="2"/>
  <c r="G935" i="2"/>
  <c r="B935" i="2"/>
  <c r="E935" i="2" s="1"/>
  <c r="F935" i="2" s="1"/>
  <c r="G934" i="2"/>
  <c r="B934" i="2"/>
  <c r="E934" i="2" s="1"/>
  <c r="F934" i="2" s="1"/>
  <c r="G933" i="2"/>
  <c r="B933" i="2"/>
  <c r="E933" i="2" s="1"/>
  <c r="F933" i="2" s="1"/>
  <c r="G932" i="2"/>
  <c r="B932" i="2"/>
  <c r="E932" i="2" s="1"/>
  <c r="F932" i="2" s="1"/>
  <c r="G931" i="2"/>
  <c r="B931" i="2"/>
  <c r="E931" i="2" s="1"/>
  <c r="F931" i="2" s="1"/>
  <c r="G930" i="2"/>
  <c r="B930" i="2"/>
  <c r="E930" i="2" s="1"/>
  <c r="F930" i="2" s="1"/>
  <c r="G929" i="2"/>
  <c r="B929" i="2"/>
  <c r="E929" i="2" s="1"/>
  <c r="F929" i="2" s="1"/>
  <c r="G928" i="2"/>
  <c r="E928" i="2"/>
  <c r="F928" i="2" s="1"/>
  <c r="B928" i="2"/>
  <c r="G927" i="2"/>
  <c r="E927" i="2"/>
  <c r="F927" i="2" s="1"/>
  <c r="B927" i="2"/>
  <c r="G926" i="2"/>
  <c r="E926" i="2"/>
  <c r="F926" i="2" s="1"/>
  <c r="B926" i="2"/>
  <c r="G925" i="2"/>
  <c r="E925" i="2"/>
  <c r="F925" i="2" s="1"/>
  <c r="B925" i="2"/>
  <c r="G924" i="2"/>
  <c r="B924" i="2"/>
  <c r="E924" i="2" s="1"/>
  <c r="F924" i="2" s="1"/>
  <c r="G923" i="2"/>
  <c r="E923" i="2"/>
  <c r="F923" i="2" s="1"/>
  <c r="B923" i="2"/>
  <c r="G922" i="2"/>
  <c r="E922" i="2"/>
  <c r="F922" i="2" s="1"/>
  <c r="B922" i="2"/>
  <c r="G921" i="2"/>
  <c r="E921" i="2"/>
  <c r="F921" i="2" s="1"/>
  <c r="B921" i="2"/>
  <c r="G920" i="2"/>
  <c r="B920" i="2"/>
  <c r="E920" i="2" s="1"/>
  <c r="F920" i="2" s="1"/>
  <c r="G919" i="2"/>
  <c r="E919" i="2"/>
  <c r="F919" i="2" s="1"/>
  <c r="B919" i="2"/>
  <c r="G918" i="2"/>
  <c r="E918" i="2"/>
  <c r="F918" i="2" s="1"/>
  <c r="B918" i="2"/>
  <c r="G917" i="2"/>
  <c r="E917" i="2"/>
  <c r="F917" i="2" s="1"/>
  <c r="B917" i="2"/>
  <c r="G916" i="2"/>
  <c r="E916" i="2"/>
  <c r="F916" i="2" s="1"/>
  <c r="B916" i="2"/>
  <c r="G915" i="2"/>
  <c r="E915" i="2"/>
  <c r="F915" i="2" s="1"/>
  <c r="B915" i="2"/>
  <c r="G914" i="2"/>
  <c r="E914" i="2"/>
  <c r="F914" i="2" s="1"/>
  <c r="B914" i="2"/>
  <c r="G913" i="2"/>
  <c r="E913" i="2"/>
  <c r="F913" i="2" s="1"/>
  <c r="B913" i="2"/>
  <c r="G912" i="2"/>
  <c r="E912" i="2"/>
  <c r="F912" i="2" s="1"/>
  <c r="B912" i="2"/>
  <c r="G911" i="2"/>
  <c r="E911" i="2"/>
  <c r="F911" i="2" s="1"/>
  <c r="B911" i="2"/>
  <c r="G910" i="2"/>
  <c r="B910" i="2"/>
  <c r="E910" i="2" s="1"/>
  <c r="F910" i="2" s="1"/>
  <c r="G909" i="2"/>
  <c r="B909" i="2"/>
  <c r="E909" i="2" s="1"/>
  <c r="F909" i="2" s="1"/>
  <c r="G908" i="2"/>
  <c r="B908" i="2"/>
  <c r="E908" i="2" s="1"/>
  <c r="F908" i="2" s="1"/>
  <c r="G907" i="2"/>
  <c r="E907" i="2"/>
  <c r="F907" i="2" s="1"/>
  <c r="B907" i="2"/>
  <c r="G906" i="2"/>
  <c r="B906" i="2"/>
  <c r="E906" i="2" s="1"/>
  <c r="F906" i="2" s="1"/>
  <c r="G905" i="2"/>
  <c r="B905" i="2"/>
  <c r="E905" i="2" s="1"/>
  <c r="F905" i="2" s="1"/>
  <c r="G904" i="2"/>
  <c r="B904" i="2"/>
  <c r="E904" i="2" s="1"/>
  <c r="F904" i="2" s="1"/>
  <c r="G903" i="2"/>
  <c r="E903" i="2"/>
  <c r="F903" i="2" s="1"/>
  <c r="B903" i="2"/>
  <c r="G902" i="2"/>
  <c r="B902" i="2"/>
  <c r="E902" i="2" s="1"/>
  <c r="F902" i="2" s="1"/>
  <c r="G901" i="2"/>
  <c r="B901" i="2"/>
  <c r="E901" i="2" s="1"/>
  <c r="F901" i="2" s="1"/>
  <c r="G900" i="2"/>
  <c r="B900" i="2"/>
  <c r="E900" i="2" s="1"/>
  <c r="F900" i="2" s="1"/>
  <c r="G899" i="2"/>
  <c r="E899" i="2"/>
  <c r="F899" i="2" s="1"/>
  <c r="B899" i="2"/>
  <c r="G898" i="2"/>
  <c r="B898" i="2"/>
  <c r="E898" i="2" s="1"/>
  <c r="F898" i="2" s="1"/>
  <c r="G897" i="2"/>
  <c r="B897" i="2"/>
  <c r="E897" i="2" s="1"/>
  <c r="F897" i="2" s="1"/>
  <c r="G896" i="2"/>
  <c r="B896" i="2"/>
  <c r="E896" i="2" s="1"/>
  <c r="F896" i="2" s="1"/>
  <c r="G895" i="2"/>
  <c r="B895" i="2"/>
  <c r="E895" i="2" s="1"/>
  <c r="F895" i="2" s="1"/>
  <c r="G894" i="2"/>
  <c r="B894" i="2"/>
  <c r="E894" i="2" s="1"/>
  <c r="F894" i="2" s="1"/>
  <c r="G893" i="2"/>
  <c r="B893" i="2"/>
  <c r="E893" i="2" s="1"/>
  <c r="F893" i="2" s="1"/>
  <c r="G892" i="2"/>
  <c r="B892" i="2"/>
  <c r="E892" i="2" s="1"/>
  <c r="F892" i="2" s="1"/>
  <c r="G891" i="2"/>
  <c r="B891" i="2"/>
  <c r="E891" i="2" s="1"/>
  <c r="F891" i="2" s="1"/>
  <c r="G890" i="2"/>
  <c r="B890" i="2"/>
  <c r="E890" i="2" s="1"/>
  <c r="F890" i="2" s="1"/>
  <c r="G889" i="2"/>
  <c r="B889" i="2"/>
  <c r="E889" i="2" s="1"/>
  <c r="F889" i="2" s="1"/>
  <c r="G888" i="2"/>
  <c r="B888" i="2"/>
  <c r="E888" i="2" s="1"/>
  <c r="F888" i="2" s="1"/>
  <c r="G887" i="2"/>
  <c r="B887" i="2"/>
  <c r="E887" i="2" s="1"/>
  <c r="F887" i="2" s="1"/>
  <c r="G886" i="2"/>
  <c r="B886" i="2"/>
  <c r="E886" i="2" s="1"/>
  <c r="F886" i="2" s="1"/>
  <c r="G885" i="2"/>
  <c r="B885" i="2"/>
  <c r="E885" i="2" s="1"/>
  <c r="F885" i="2" s="1"/>
  <c r="G884" i="2"/>
  <c r="B884" i="2"/>
  <c r="E884" i="2" s="1"/>
  <c r="F884" i="2" s="1"/>
  <c r="G883" i="2"/>
  <c r="B883" i="2"/>
  <c r="E883" i="2" s="1"/>
  <c r="F883" i="2" s="1"/>
  <c r="G882" i="2"/>
  <c r="B882" i="2"/>
  <c r="E882" i="2" s="1"/>
  <c r="F882" i="2" s="1"/>
  <c r="G881" i="2"/>
  <c r="B881" i="2"/>
  <c r="E881" i="2" s="1"/>
  <c r="F881" i="2" s="1"/>
  <c r="G880" i="2"/>
  <c r="B880" i="2"/>
  <c r="E880" i="2" s="1"/>
  <c r="F880" i="2" s="1"/>
  <c r="G879" i="2"/>
  <c r="B879" i="2"/>
  <c r="E879" i="2" s="1"/>
  <c r="F879" i="2" s="1"/>
  <c r="G878" i="2"/>
  <c r="B878" i="2"/>
  <c r="E878" i="2" s="1"/>
  <c r="F878" i="2" s="1"/>
  <c r="G877" i="2"/>
  <c r="B877" i="2"/>
  <c r="E877" i="2" s="1"/>
  <c r="F877" i="2" s="1"/>
  <c r="G876" i="2"/>
  <c r="B876" i="2"/>
  <c r="E876" i="2" s="1"/>
  <c r="F876" i="2" s="1"/>
  <c r="G875" i="2"/>
  <c r="B875" i="2"/>
  <c r="E875" i="2" s="1"/>
  <c r="F875" i="2" s="1"/>
  <c r="G874" i="2"/>
  <c r="B874" i="2"/>
  <c r="E874" i="2" s="1"/>
  <c r="F874" i="2" s="1"/>
  <c r="G873" i="2"/>
  <c r="B873" i="2"/>
  <c r="E873" i="2" s="1"/>
  <c r="F873" i="2" s="1"/>
  <c r="G872" i="2"/>
  <c r="B872" i="2"/>
  <c r="E872" i="2" s="1"/>
  <c r="F872" i="2" s="1"/>
  <c r="G871" i="2"/>
  <c r="B871" i="2"/>
  <c r="E871" i="2" s="1"/>
  <c r="F871" i="2" s="1"/>
  <c r="G870" i="2"/>
  <c r="B870" i="2"/>
  <c r="E870" i="2" s="1"/>
  <c r="F870" i="2" s="1"/>
  <c r="G869" i="2"/>
  <c r="B869" i="2"/>
  <c r="E869" i="2" s="1"/>
  <c r="F869" i="2" s="1"/>
  <c r="G868" i="2"/>
  <c r="B868" i="2"/>
  <c r="E868" i="2" s="1"/>
  <c r="F868" i="2" s="1"/>
  <c r="G867" i="2"/>
  <c r="B867" i="2"/>
  <c r="E867" i="2" s="1"/>
  <c r="F867" i="2" s="1"/>
  <c r="G866" i="2"/>
  <c r="B866" i="2"/>
  <c r="E866" i="2" s="1"/>
  <c r="F866" i="2" s="1"/>
  <c r="G865" i="2"/>
  <c r="B865" i="2"/>
  <c r="E865" i="2" s="1"/>
  <c r="F865" i="2" s="1"/>
  <c r="G864" i="2"/>
  <c r="B864" i="2"/>
  <c r="E864" i="2" s="1"/>
  <c r="F864" i="2" s="1"/>
  <c r="G863" i="2"/>
  <c r="B863" i="2"/>
  <c r="E863" i="2" s="1"/>
  <c r="F863" i="2" s="1"/>
  <c r="G862" i="2"/>
  <c r="B862" i="2"/>
  <c r="E862" i="2" s="1"/>
  <c r="F862" i="2" s="1"/>
  <c r="G861" i="2"/>
  <c r="B861" i="2"/>
  <c r="E861" i="2" s="1"/>
  <c r="F861" i="2" s="1"/>
  <c r="G860" i="2"/>
  <c r="B860" i="2"/>
  <c r="E860" i="2" s="1"/>
  <c r="F860" i="2" s="1"/>
  <c r="G859" i="2"/>
  <c r="B859" i="2"/>
  <c r="E859" i="2" s="1"/>
  <c r="F859" i="2" s="1"/>
  <c r="G858" i="2"/>
  <c r="B858" i="2"/>
  <c r="E858" i="2" s="1"/>
  <c r="F858" i="2" s="1"/>
  <c r="G857" i="2"/>
  <c r="B857" i="2"/>
  <c r="E857" i="2" s="1"/>
  <c r="F857" i="2" s="1"/>
  <c r="G856" i="2"/>
  <c r="B856" i="2"/>
  <c r="E856" i="2" s="1"/>
  <c r="F856" i="2" s="1"/>
  <c r="G855" i="2"/>
  <c r="B855" i="2"/>
  <c r="E855" i="2" s="1"/>
  <c r="F855" i="2" s="1"/>
  <c r="G854" i="2"/>
  <c r="B854" i="2"/>
  <c r="E854" i="2" s="1"/>
  <c r="F854" i="2" s="1"/>
  <c r="G853" i="2"/>
  <c r="B853" i="2"/>
  <c r="E853" i="2" s="1"/>
  <c r="F853" i="2" s="1"/>
  <c r="G852" i="2"/>
  <c r="B852" i="2"/>
  <c r="E852" i="2" s="1"/>
  <c r="F852" i="2" s="1"/>
  <c r="G851" i="2"/>
  <c r="B851" i="2"/>
  <c r="E851" i="2" s="1"/>
  <c r="F851" i="2" s="1"/>
  <c r="G850" i="2"/>
  <c r="B850" i="2"/>
  <c r="E850" i="2" s="1"/>
  <c r="F850" i="2" s="1"/>
  <c r="G849" i="2"/>
  <c r="B849" i="2"/>
  <c r="E849" i="2" s="1"/>
  <c r="F849" i="2" s="1"/>
  <c r="G848" i="2"/>
  <c r="B848" i="2"/>
  <c r="E848" i="2" s="1"/>
  <c r="F848" i="2" s="1"/>
  <c r="G847" i="2"/>
  <c r="B847" i="2"/>
  <c r="E847" i="2" s="1"/>
  <c r="F847" i="2" s="1"/>
  <c r="G846" i="2"/>
  <c r="B846" i="2"/>
  <c r="E846" i="2" s="1"/>
  <c r="F846" i="2" s="1"/>
  <c r="G845" i="2"/>
  <c r="B845" i="2"/>
  <c r="E845" i="2" s="1"/>
  <c r="F845" i="2" s="1"/>
  <c r="G844" i="2"/>
  <c r="B844" i="2"/>
  <c r="E844" i="2" s="1"/>
  <c r="F844" i="2" s="1"/>
  <c r="G843" i="2"/>
  <c r="B843" i="2"/>
  <c r="E843" i="2" s="1"/>
  <c r="F843" i="2" s="1"/>
  <c r="G842" i="2"/>
  <c r="B842" i="2"/>
  <c r="E842" i="2" s="1"/>
  <c r="F842" i="2" s="1"/>
  <c r="G841" i="2"/>
  <c r="B841" i="2"/>
  <c r="E841" i="2" s="1"/>
  <c r="F841" i="2" s="1"/>
  <c r="G840" i="2"/>
  <c r="B840" i="2"/>
  <c r="E840" i="2" s="1"/>
  <c r="F840" i="2" s="1"/>
  <c r="G839" i="2"/>
  <c r="B839" i="2"/>
  <c r="E839" i="2" s="1"/>
  <c r="F839" i="2" s="1"/>
  <c r="G838" i="2"/>
  <c r="B838" i="2"/>
  <c r="E838" i="2" s="1"/>
  <c r="F838" i="2" s="1"/>
  <c r="G837" i="2"/>
  <c r="B837" i="2"/>
  <c r="E837" i="2" s="1"/>
  <c r="F837" i="2" s="1"/>
  <c r="G836" i="2"/>
  <c r="B836" i="2"/>
  <c r="E836" i="2" s="1"/>
  <c r="F836" i="2" s="1"/>
  <c r="G835" i="2"/>
  <c r="B835" i="2"/>
  <c r="E835" i="2" s="1"/>
  <c r="F835" i="2" s="1"/>
  <c r="G834" i="2"/>
  <c r="B834" i="2"/>
  <c r="E834" i="2" s="1"/>
  <c r="F834" i="2" s="1"/>
  <c r="G833" i="2"/>
  <c r="B833" i="2"/>
  <c r="E833" i="2" s="1"/>
  <c r="F833" i="2" s="1"/>
  <c r="G832" i="2"/>
  <c r="B832" i="2"/>
  <c r="E832" i="2" s="1"/>
  <c r="F832" i="2" s="1"/>
  <c r="G831" i="2"/>
  <c r="B831" i="2"/>
  <c r="E831" i="2" s="1"/>
  <c r="F831" i="2" s="1"/>
  <c r="G830" i="2"/>
  <c r="B830" i="2"/>
  <c r="E830" i="2" s="1"/>
  <c r="F830" i="2" s="1"/>
  <c r="G829" i="2"/>
  <c r="B829" i="2"/>
  <c r="E829" i="2" s="1"/>
  <c r="F829" i="2" s="1"/>
  <c r="G828" i="2"/>
  <c r="B828" i="2"/>
  <c r="E828" i="2" s="1"/>
  <c r="F828" i="2" s="1"/>
  <c r="G827" i="2"/>
  <c r="B827" i="2"/>
  <c r="E827" i="2" s="1"/>
  <c r="F827" i="2" s="1"/>
  <c r="G826" i="2"/>
  <c r="B826" i="2"/>
  <c r="E826" i="2" s="1"/>
  <c r="F826" i="2" s="1"/>
  <c r="G825" i="2"/>
  <c r="B825" i="2"/>
  <c r="E825" i="2" s="1"/>
  <c r="F825" i="2" s="1"/>
  <c r="G824" i="2"/>
  <c r="B824" i="2"/>
  <c r="E824" i="2" s="1"/>
  <c r="F824" i="2" s="1"/>
  <c r="G823" i="2"/>
  <c r="B823" i="2"/>
  <c r="E823" i="2" s="1"/>
  <c r="F823" i="2" s="1"/>
  <c r="G822" i="2"/>
  <c r="B822" i="2"/>
  <c r="E822" i="2" s="1"/>
  <c r="F822" i="2" s="1"/>
  <c r="G821" i="2"/>
  <c r="B821" i="2"/>
  <c r="E821" i="2" s="1"/>
  <c r="F821" i="2" s="1"/>
  <c r="G820" i="2"/>
  <c r="B820" i="2"/>
  <c r="E820" i="2" s="1"/>
  <c r="F820" i="2" s="1"/>
  <c r="G819" i="2"/>
  <c r="B819" i="2"/>
  <c r="E819" i="2" s="1"/>
  <c r="F819" i="2" s="1"/>
  <c r="G818" i="2"/>
  <c r="B818" i="2"/>
  <c r="E818" i="2" s="1"/>
  <c r="F818" i="2" s="1"/>
  <c r="G817" i="2"/>
  <c r="B817" i="2"/>
  <c r="E817" i="2" s="1"/>
  <c r="F817" i="2" s="1"/>
  <c r="G816" i="2"/>
  <c r="B816" i="2"/>
  <c r="E816" i="2" s="1"/>
  <c r="F816" i="2" s="1"/>
  <c r="G815" i="2"/>
  <c r="B815" i="2"/>
  <c r="E815" i="2" s="1"/>
  <c r="F815" i="2" s="1"/>
  <c r="G814" i="2"/>
  <c r="B814" i="2"/>
  <c r="E814" i="2" s="1"/>
  <c r="F814" i="2" s="1"/>
  <c r="G813" i="2"/>
  <c r="B813" i="2"/>
  <c r="E813" i="2" s="1"/>
  <c r="F813" i="2" s="1"/>
  <c r="G812" i="2"/>
  <c r="B812" i="2"/>
  <c r="E812" i="2" s="1"/>
  <c r="F812" i="2" s="1"/>
  <c r="G811" i="2"/>
  <c r="B811" i="2"/>
  <c r="E811" i="2" s="1"/>
  <c r="F811" i="2" s="1"/>
  <c r="G810" i="2"/>
  <c r="B810" i="2"/>
  <c r="E810" i="2" s="1"/>
  <c r="F810" i="2" s="1"/>
  <c r="G809" i="2"/>
  <c r="B809" i="2"/>
  <c r="E809" i="2" s="1"/>
  <c r="F809" i="2" s="1"/>
  <c r="G808" i="2"/>
  <c r="B808" i="2"/>
  <c r="E808" i="2" s="1"/>
  <c r="F808" i="2" s="1"/>
  <c r="G807" i="2"/>
  <c r="B807" i="2"/>
  <c r="E807" i="2" s="1"/>
  <c r="F807" i="2" s="1"/>
  <c r="G806" i="2"/>
  <c r="B806" i="2"/>
  <c r="E806" i="2" s="1"/>
  <c r="F806" i="2" s="1"/>
  <c r="G805" i="2"/>
  <c r="B805" i="2"/>
  <c r="E805" i="2" s="1"/>
  <c r="F805" i="2" s="1"/>
  <c r="G804" i="2"/>
  <c r="B804" i="2"/>
  <c r="E804" i="2" s="1"/>
  <c r="F804" i="2" s="1"/>
  <c r="G803" i="2"/>
  <c r="B803" i="2"/>
  <c r="E803" i="2" s="1"/>
  <c r="F803" i="2" s="1"/>
  <c r="G802" i="2"/>
  <c r="B802" i="2"/>
  <c r="E802" i="2" s="1"/>
  <c r="F802" i="2" s="1"/>
  <c r="G801" i="2"/>
  <c r="B801" i="2"/>
  <c r="E801" i="2" s="1"/>
  <c r="F801" i="2" s="1"/>
  <c r="G800" i="2"/>
  <c r="B800" i="2"/>
  <c r="E800" i="2" s="1"/>
  <c r="F800" i="2" s="1"/>
  <c r="G799" i="2"/>
  <c r="B799" i="2"/>
  <c r="E799" i="2" s="1"/>
  <c r="F799" i="2" s="1"/>
  <c r="G798" i="2"/>
  <c r="B798" i="2"/>
  <c r="E798" i="2" s="1"/>
  <c r="F798" i="2" s="1"/>
  <c r="G797" i="2"/>
  <c r="B797" i="2"/>
  <c r="E797" i="2" s="1"/>
  <c r="F797" i="2" s="1"/>
  <c r="G796" i="2"/>
  <c r="B796" i="2"/>
  <c r="E796" i="2" s="1"/>
  <c r="F796" i="2" s="1"/>
  <c r="G795" i="2"/>
  <c r="B795" i="2"/>
  <c r="E795" i="2" s="1"/>
  <c r="F795" i="2" s="1"/>
  <c r="G794" i="2"/>
  <c r="B794" i="2"/>
  <c r="E794" i="2" s="1"/>
  <c r="F794" i="2" s="1"/>
  <c r="G793" i="2"/>
  <c r="B793" i="2"/>
  <c r="E793" i="2" s="1"/>
  <c r="F793" i="2" s="1"/>
  <c r="G792" i="2"/>
  <c r="E792" i="2"/>
  <c r="F792" i="2" s="1"/>
  <c r="B792" i="2"/>
  <c r="G791" i="2"/>
  <c r="B791" i="2"/>
  <c r="E791" i="2" s="1"/>
  <c r="F791" i="2" s="1"/>
  <c r="G790" i="2"/>
  <c r="B790" i="2"/>
  <c r="E790" i="2" s="1"/>
  <c r="F790" i="2" s="1"/>
  <c r="G789" i="2"/>
  <c r="B789" i="2"/>
  <c r="E789" i="2" s="1"/>
  <c r="F789" i="2" s="1"/>
  <c r="G788" i="2"/>
  <c r="E788" i="2"/>
  <c r="F788" i="2" s="1"/>
  <c r="B788" i="2"/>
  <c r="G787" i="2"/>
  <c r="B787" i="2"/>
  <c r="E787" i="2" s="1"/>
  <c r="F787" i="2" s="1"/>
  <c r="G786" i="2"/>
  <c r="B786" i="2"/>
  <c r="E786" i="2" s="1"/>
  <c r="F786" i="2" s="1"/>
  <c r="G785" i="2"/>
  <c r="B785" i="2"/>
  <c r="E785" i="2" s="1"/>
  <c r="F785" i="2" s="1"/>
  <c r="G784" i="2"/>
  <c r="E784" i="2"/>
  <c r="F784" i="2" s="1"/>
  <c r="B784" i="2"/>
  <c r="G783" i="2"/>
  <c r="B783" i="2"/>
  <c r="E783" i="2" s="1"/>
  <c r="F783" i="2" s="1"/>
  <c r="G782" i="2"/>
  <c r="B782" i="2"/>
  <c r="E782" i="2" s="1"/>
  <c r="F782" i="2" s="1"/>
  <c r="G781" i="2"/>
  <c r="B781" i="2"/>
  <c r="E781" i="2" s="1"/>
  <c r="F781" i="2" s="1"/>
  <c r="G780" i="2"/>
  <c r="E780" i="2"/>
  <c r="F780" i="2" s="1"/>
  <c r="B780" i="2"/>
  <c r="G779" i="2"/>
  <c r="B779" i="2"/>
  <c r="E779" i="2" s="1"/>
  <c r="F779" i="2" s="1"/>
  <c r="G778" i="2"/>
  <c r="B778" i="2"/>
  <c r="E778" i="2" s="1"/>
  <c r="F778" i="2" s="1"/>
  <c r="G777" i="2"/>
  <c r="B777" i="2"/>
  <c r="E777" i="2" s="1"/>
  <c r="F777" i="2" s="1"/>
  <c r="G776" i="2"/>
  <c r="E776" i="2"/>
  <c r="F776" i="2" s="1"/>
  <c r="B776" i="2"/>
  <c r="G775" i="2"/>
  <c r="B775" i="2"/>
  <c r="E775" i="2" s="1"/>
  <c r="F775" i="2" s="1"/>
  <c r="G774" i="2"/>
  <c r="B774" i="2"/>
  <c r="E774" i="2" s="1"/>
  <c r="F774" i="2" s="1"/>
  <c r="G773" i="2"/>
  <c r="B773" i="2"/>
  <c r="E773" i="2" s="1"/>
  <c r="F773" i="2" s="1"/>
  <c r="G772" i="2"/>
  <c r="E772" i="2"/>
  <c r="F772" i="2" s="1"/>
  <c r="B772" i="2"/>
  <c r="G771" i="2"/>
  <c r="B771" i="2"/>
  <c r="E771" i="2" s="1"/>
  <c r="F771" i="2" s="1"/>
  <c r="G770" i="2"/>
  <c r="B770" i="2"/>
  <c r="E770" i="2" s="1"/>
  <c r="F770" i="2" s="1"/>
  <c r="G769" i="2"/>
  <c r="B769" i="2"/>
  <c r="E769" i="2" s="1"/>
  <c r="F769" i="2" s="1"/>
  <c r="G768" i="2"/>
  <c r="E768" i="2"/>
  <c r="F768" i="2" s="1"/>
  <c r="B768" i="2"/>
  <c r="G767" i="2"/>
  <c r="B767" i="2"/>
  <c r="E767" i="2" s="1"/>
  <c r="F767" i="2" s="1"/>
  <c r="G766" i="2"/>
  <c r="B766" i="2"/>
  <c r="E766" i="2" s="1"/>
  <c r="F766" i="2" s="1"/>
  <c r="G765" i="2"/>
  <c r="B765" i="2"/>
  <c r="E765" i="2" s="1"/>
  <c r="F765" i="2" s="1"/>
  <c r="G764" i="2"/>
  <c r="E764" i="2"/>
  <c r="F764" i="2" s="1"/>
  <c r="B764" i="2"/>
  <c r="G763" i="2"/>
  <c r="B763" i="2"/>
  <c r="E763" i="2" s="1"/>
  <c r="F763" i="2" s="1"/>
  <c r="G762" i="2"/>
  <c r="B762" i="2"/>
  <c r="E762" i="2" s="1"/>
  <c r="F762" i="2" s="1"/>
  <c r="G761" i="2"/>
  <c r="B761" i="2"/>
  <c r="E761" i="2" s="1"/>
  <c r="F761" i="2" s="1"/>
  <c r="G760" i="2"/>
  <c r="E760" i="2"/>
  <c r="F760" i="2" s="1"/>
  <c r="B760" i="2"/>
  <c r="G759" i="2"/>
  <c r="B759" i="2"/>
  <c r="E759" i="2" s="1"/>
  <c r="F759" i="2" s="1"/>
  <c r="G758" i="2"/>
  <c r="B758" i="2"/>
  <c r="E758" i="2" s="1"/>
  <c r="F758" i="2" s="1"/>
  <c r="G757" i="2"/>
  <c r="B757" i="2"/>
  <c r="E757" i="2" s="1"/>
  <c r="F757" i="2" s="1"/>
  <c r="G756" i="2"/>
  <c r="E756" i="2"/>
  <c r="F756" i="2" s="1"/>
  <c r="B756" i="2"/>
  <c r="G755" i="2"/>
  <c r="B755" i="2"/>
  <c r="E755" i="2" s="1"/>
  <c r="F755" i="2" s="1"/>
  <c r="G754" i="2"/>
  <c r="B754" i="2"/>
  <c r="E754" i="2" s="1"/>
  <c r="F754" i="2" s="1"/>
  <c r="G753" i="2"/>
  <c r="B753" i="2"/>
  <c r="E753" i="2" s="1"/>
  <c r="F753" i="2" s="1"/>
  <c r="G752" i="2"/>
  <c r="E752" i="2"/>
  <c r="F752" i="2" s="1"/>
  <c r="B752" i="2"/>
  <c r="G751" i="2"/>
  <c r="B751" i="2"/>
  <c r="E751" i="2" s="1"/>
  <c r="F751" i="2" s="1"/>
  <c r="G750" i="2"/>
  <c r="B750" i="2"/>
  <c r="E750" i="2" s="1"/>
  <c r="F750" i="2" s="1"/>
  <c r="G749" i="2"/>
  <c r="B749" i="2"/>
  <c r="E749" i="2" s="1"/>
  <c r="F749" i="2" s="1"/>
  <c r="G748" i="2"/>
  <c r="E748" i="2"/>
  <c r="F748" i="2" s="1"/>
  <c r="B748" i="2"/>
  <c r="G747" i="2"/>
  <c r="B747" i="2"/>
  <c r="E747" i="2" s="1"/>
  <c r="F747" i="2" s="1"/>
  <c r="G746" i="2"/>
  <c r="B746" i="2"/>
  <c r="E746" i="2" s="1"/>
  <c r="F746" i="2" s="1"/>
  <c r="G745" i="2"/>
  <c r="B745" i="2"/>
  <c r="E745" i="2" s="1"/>
  <c r="F745" i="2" s="1"/>
  <c r="G744" i="2"/>
  <c r="E744" i="2"/>
  <c r="F744" i="2" s="1"/>
  <c r="B744" i="2"/>
  <c r="G743" i="2"/>
  <c r="B743" i="2"/>
  <c r="E743" i="2" s="1"/>
  <c r="F743" i="2" s="1"/>
  <c r="G742" i="2"/>
  <c r="B742" i="2"/>
  <c r="E742" i="2" s="1"/>
  <c r="F742" i="2" s="1"/>
  <c r="G741" i="2"/>
  <c r="B741" i="2"/>
  <c r="E741" i="2" s="1"/>
  <c r="F741" i="2" s="1"/>
  <c r="G740" i="2"/>
  <c r="B740" i="2"/>
  <c r="E740" i="2" s="1"/>
  <c r="F740" i="2" s="1"/>
  <c r="G739" i="2"/>
  <c r="B739" i="2"/>
  <c r="E739" i="2" s="1"/>
  <c r="F739" i="2" s="1"/>
  <c r="G738" i="2"/>
  <c r="B738" i="2"/>
  <c r="E738" i="2" s="1"/>
  <c r="F738" i="2" s="1"/>
  <c r="G737" i="2"/>
  <c r="B737" i="2"/>
  <c r="E737" i="2" s="1"/>
  <c r="F737" i="2" s="1"/>
  <c r="G736" i="2"/>
  <c r="B736" i="2"/>
  <c r="E736" i="2" s="1"/>
  <c r="F736" i="2" s="1"/>
  <c r="G735" i="2"/>
  <c r="B735" i="2"/>
  <c r="E735" i="2" s="1"/>
  <c r="F735" i="2" s="1"/>
  <c r="G734" i="2"/>
  <c r="B734" i="2"/>
  <c r="E734" i="2" s="1"/>
  <c r="F734" i="2" s="1"/>
  <c r="G733" i="2"/>
  <c r="B733" i="2"/>
  <c r="E733" i="2" s="1"/>
  <c r="F733" i="2" s="1"/>
  <c r="G732" i="2"/>
  <c r="B732" i="2"/>
  <c r="E732" i="2" s="1"/>
  <c r="F732" i="2" s="1"/>
  <c r="G731" i="2"/>
  <c r="B731" i="2"/>
  <c r="E731" i="2" s="1"/>
  <c r="F731" i="2" s="1"/>
  <c r="G730" i="2"/>
  <c r="B730" i="2"/>
  <c r="E730" i="2" s="1"/>
  <c r="F730" i="2" s="1"/>
  <c r="G729" i="2"/>
  <c r="B729" i="2"/>
  <c r="E729" i="2" s="1"/>
  <c r="F729" i="2" s="1"/>
  <c r="G728" i="2"/>
  <c r="B728" i="2"/>
  <c r="E728" i="2" s="1"/>
  <c r="F728" i="2" s="1"/>
  <c r="G727" i="2"/>
  <c r="B727" i="2"/>
  <c r="E727" i="2" s="1"/>
  <c r="F727" i="2" s="1"/>
  <c r="G726" i="2"/>
  <c r="B726" i="2"/>
  <c r="E726" i="2" s="1"/>
  <c r="F726" i="2" s="1"/>
  <c r="G725" i="2"/>
  <c r="B725" i="2"/>
  <c r="E725" i="2" s="1"/>
  <c r="F725" i="2" s="1"/>
  <c r="G724" i="2"/>
  <c r="B724" i="2"/>
  <c r="E724" i="2" s="1"/>
  <c r="F724" i="2" s="1"/>
  <c r="G723" i="2"/>
  <c r="B723" i="2"/>
  <c r="E723" i="2" s="1"/>
  <c r="F723" i="2" s="1"/>
  <c r="G722" i="2"/>
  <c r="B722" i="2"/>
  <c r="E722" i="2" s="1"/>
  <c r="F722" i="2" s="1"/>
  <c r="G721" i="2"/>
  <c r="B721" i="2"/>
  <c r="E721" i="2" s="1"/>
  <c r="F721" i="2" s="1"/>
  <c r="G720" i="2"/>
  <c r="B720" i="2"/>
  <c r="E720" i="2" s="1"/>
  <c r="F720" i="2" s="1"/>
  <c r="G719" i="2"/>
  <c r="B719" i="2"/>
  <c r="E719" i="2" s="1"/>
  <c r="F719" i="2" s="1"/>
  <c r="G718" i="2"/>
  <c r="B718" i="2"/>
  <c r="E718" i="2" s="1"/>
  <c r="F718" i="2" s="1"/>
  <c r="G717" i="2"/>
  <c r="B717" i="2"/>
  <c r="E717" i="2" s="1"/>
  <c r="F717" i="2" s="1"/>
  <c r="G716" i="2"/>
  <c r="B716" i="2"/>
  <c r="E716" i="2" s="1"/>
  <c r="F716" i="2" s="1"/>
  <c r="G715" i="2"/>
  <c r="B715" i="2"/>
  <c r="E715" i="2" s="1"/>
  <c r="F715" i="2" s="1"/>
  <c r="G714" i="2"/>
  <c r="B714" i="2"/>
  <c r="E714" i="2" s="1"/>
  <c r="F714" i="2" s="1"/>
  <c r="G713" i="2"/>
  <c r="B713" i="2"/>
  <c r="E713" i="2" s="1"/>
  <c r="F713" i="2" s="1"/>
  <c r="G712" i="2"/>
  <c r="B712" i="2"/>
  <c r="E712" i="2" s="1"/>
  <c r="F712" i="2" s="1"/>
  <c r="G711" i="2"/>
  <c r="B711" i="2"/>
  <c r="E711" i="2" s="1"/>
  <c r="F711" i="2" s="1"/>
  <c r="G710" i="2"/>
  <c r="B710" i="2"/>
  <c r="E710" i="2" s="1"/>
  <c r="F710" i="2" s="1"/>
  <c r="G709" i="2"/>
  <c r="B709" i="2"/>
  <c r="E709" i="2" s="1"/>
  <c r="F709" i="2" s="1"/>
  <c r="G708" i="2"/>
  <c r="B708" i="2"/>
  <c r="E708" i="2" s="1"/>
  <c r="F708" i="2" s="1"/>
  <c r="G707" i="2"/>
  <c r="B707" i="2"/>
  <c r="E707" i="2" s="1"/>
  <c r="F707" i="2" s="1"/>
  <c r="G706" i="2"/>
  <c r="B706" i="2"/>
  <c r="E706" i="2" s="1"/>
  <c r="F706" i="2" s="1"/>
  <c r="G705" i="2"/>
  <c r="B705" i="2"/>
  <c r="E705" i="2" s="1"/>
  <c r="F705" i="2" s="1"/>
  <c r="G704" i="2"/>
  <c r="B704" i="2"/>
  <c r="E704" i="2" s="1"/>
  <c r="F704" i="2" s="1"/>
  <c r="G703" i="2"/>
  <c r="B703" i="2"/>
  <c r="E703" i="2" s="1"/>
  <c r="F703" i="2" s="1"/>
  <c r="G702" i="2"/>
  <c r="B702" i="2"/>
  <c r="E702" i="2" s="1"/>
  <c r="F702" i="2" s="1"/>
  <c r="G701" i="2"/>
  <c r="B701" i="2"/>
  <c r="E701" i="2" s="1"/>
  <c r="F701" i="2" s="1"/>
  <c r="G700" i="2"/>
  <c r="B700" i="2"/>
  <c r="E700" i="2" s="1"/>
  <c r="F700" i="2" s="1"/>
  <c r="G699" i="2"/>
  <c r="B699" i="2"/>
  <c r="E699" i="2" s="1"/>
  <c r="F699" i="2" s="1"/>
  <c r="G698" i="2"/>
  <c r="B698" i="2"/>
  <c r="E698" i="2" s="1"/>
  <c r="F698" i="2" s="1"/>
  <c r="G697" i="2"/>
  <c r="B697" i="2"/>
  <c r="E697" i="2" s="1"/>
  <c r="F697" i="2" s="1"/>
  <c r="G696" i="2"/>
  <c r="B696" i="2"/>
  <c r="E696" i="2" s="1"/>
  <c r="F696" i="2" s="1"/>
  <c r="G695" i="2"/>
  <c r="B695" i="2"/>
  <c r="E695" i="2" s="1"/>
  <c r="F695" i="2" s="1"/>
  <c r="G694" i="2"/>
  <c r="B694" i="2"/>
  <c r="E694" i="2" s="1"/>
  <c r="F694" i="2" s="1"/>
  <c r="G693" i="2"/>
  <c r="B693" i="2"/>
  <c r="E693" i="2" s="1"/>
  <c r="F693" i="2" s="1"/>
  <c r="G692" i="2"/>
  <c r="B692" i="2"/>
  <c r="E692" i="2" s="1"/>
  <c r="F692" i="2" s="1"/>
  <c r="G691" i="2"/>
  <c r="B691" i="2"/>
  <c r="E691" i="2" s="1"/>
  <c r="F691" i="2" s="1"/>
  <c r="G690" i="2"/>
  <c r="B690" i="2"/>
  <c r="E690" i="2" s="1"/>
  <c r="F690" i="2" s="1"/>
  <c r="G689" i="2"/>
  <c r="B689" i="2"/>
  <c r="E689" i="2" s="1"/>
  <c r="F689" i="2" s="1"/>
  <c r="G688" i="2"/>
  <c r="B688" i="2"/>
  <c r="E688" i="2" s="1"/>
  <c r="F688" i="2" s="1"/>
  <c r="G687" i="2"/>
  <c r="B687" i="2"/>
  <c r="E687" i="2" s="1"/>
  <c r="F687" i="2" s="1"/>
  <c r="G686" i="2"/>
  <c r="B686" i="2"/>
  <c r="E686" i="2" s="1"/>
  <c r="F686" i="2" s="1"/>
  <c r="G685" i="2"/>
  <c r="B685" i="2"/>
  <c r="E685" i="2" s="1"/>
  <c r="F685" i="2" s="1"/>
  <c r="G684" i="2"/>
  <c r="B684" i="2"/>
  <c r="E684" i="2" s="1"/>
  <c r="F684" i="2" s="1"/>
  <c r="G683" i="2"/>
  <c r="B683" i="2"/>
  <c r="E683" i="2" s="1"/>
  <c r="F683" i="2" s="1"/>
  <c r="G682" i="2"/>
  <c r="B682" i="2"/>
  <c r="E682" i="2" s="1"/>
  <c r="F682" i="2" s="1"/>
  <c r="G681" i="2"/>
  <c r="B681" i="2"/>
  <c r="E681" i="2" s="1"/>
  <c r="F681" i="2" s="1"/>
  <c r="G680" i="2"/>
  <c r="B680" i="2"/>
  <c r="E680" i="2" s="1"/>
  <c r="F680" i="2" s="1"/>
  <c r="G679" i="2"/>
  <c r="B679" i="2"/>
  <c r="E679" i="2" s="1"/>
  <c r="F679" i="2" s="1"/>
  <c r="G678" i="2"/>
  <c r="B678" i="2"/>
  <c r="E678" i="2" s="1"/>
  <c r="F678" i="2" s="1"/>
  <c r="G677" i="2"/>
  <c r="B677" i="2"/>
  <c r="E677" i="2" s="1"/>
  <c r="F677" i="2" s="1"/>
  <c r="G676" i="2"/>
  <c r="B676" i="2"/>
  <c r="E676" i="2" s="1"/>
  <c r="F676" i="2" s="1"/>
  <c r="G675" i="2"/>
  <c r="B675" i="2"/>
  <c r="E675" i="2" s="1"/>
  <c r="F675" i="2" s="1"/>
  <c r="G674" i="2"/>
  <c r="B674" i="2"/>
  <c r="E674" i="2" s="1"/>
  <c r="F674" i="2" s="1"/>
  <c r="G673" i="2"/>
  <c r="B673" i="2"/>
  <c r="E673" i="2" s="1"/>
  <c r="F673" i="2" s="1"/>
  <c r="G672" i="2"/>
  <c r="B672" i="2"/>
  <c r="E672" i="2" s="1"/>
  <c r="F672" i="2" s="1"/>
  <c r="G671" i="2"/>
  <c r="B671" i="2"/>
  <c r="E671" i="2" s="1"/>
  <c r="F671" i="2" s="1"/>
  <c r="G670" i="2"/>
  <c r="B670" i="2"/>
  <c r="E670" i="2" s="1"/>
  <c r="F670" i="2" s="1"/>
  <c r="G669" i="2"/>
  <c r="B669" i="2"/>
  <c r="E669" i="2" s="1"/>
  <c r="F669" i="2" s="1"/>
  <c r="G668" i="2"/>
  <c r="B668" i="2"/>
  <c r="E668" i="2" s="1"/>
  <c r="F668" i="2" s="1"/>
  <c r="G667" i="2"/>
  <c r="B667" i="2"/>
  <c r="E667" i="2" s="1"/>
  <c r="F667" i="2" s="1"/>
  <c r="G666" i="2"/>
  <c r="B666" i="2"/>
  <c r="E666" i="2" s="1"/>
  <c r="F666" i="2" s="1"/>
  <c r="G665" i="2"/>
  <c r="B665" i="2"/>
  <c r="E665" i="2" s="1"/>
  <c r="F665" i="2" s="1"/>
  <c r="G664" i="2"/>
  <c r="B664" i="2"/>
  <c r="E664" i="2" s="1"/>
  <c r="F664" i="2" s="1"/>
  <c r="G663" i="2"/>
  <c r="B663" i="2"/>
  <c r="E663" i="2" s="1"/>
  <c r="F663" i="2" s="1"/>
  <c r="G662" i="2"/>
  <c r="B662" i="2"/>
  <c r="E662" i="2" s="1"/>
  <c r="F662" i="2" s="1"/>
  <c r="G661" i="2"/>
  <c r="B661" i="2"/>
  <c r="E661" i="2" s="1"/>
  <c r="F661" i="2" s="1"/>
  <c r="G660" i="2"/>
  <c r="B660" i="2"/>
  <c r="E660" i="2" s="1"/>
  <c r="F660" i="2" s="1"/>
  <c r="G659" i="2"/>
  <c r="B659" i="2"/>
  <c r="E659" i="2" s="1"/>
  <c r="F659" i="2" s="1"/>
  <c r="G658" i="2"/>
  <c r="B658" i="2"/>
  <c r="E658" i="2" s="1"/>
  <c r="F658" i="2" s="1"/>
  <c r="G657" i="2"/>
  <c r="B657" i="2"/>
  <c r="E657" i="2" s="1"/>
  <c r="F657" i="2" s="1"/>
  <c r="G656" i="2"/>
  <c r="B656" i="2"/>
  <c r="E656" i="2" s="1"/>
  <c r="F656" i="2" s="1"/>
  <c r="G655" i="2"/>
  <c r="B655" i="2"/>
  <c r="E655" i="2" s="1"/>
  <c r="F655" i="2" s="1"/>
  <c r="G654" i="2"/>
  <c r="B654" i="2"/>
  <c r="E654" i="2" s="1"/>
  <c r="F654" i="2" s="1"/>
  <c r="G653" i="2"/>
  <c r="B653" i="2"/>
  <c r="E653" i="2" s="1"/>
  <c r="F653" i="2" s="1"/>
  <c r="G652" i="2"/>
  <c r="B652" i="2"/>
  <c r="E652" i="2" s="1"/>
  <c r="F652" i="2" s="1"/>
  <c r="G651" i="2"/>
  <c r="B651" i="2"/>
  <c r="E651" i="2" s="1"/>
  <c r="F651" i="2" s="1"/>
  <c r="G650" i="2"/>
  <c r="B650" i="2"/>
  <c r="E650" i="2" s="1"/>
  <c r="F650" i="2" s="1"/>
  <c r="G649" i="2"/>
  <c r="B649" i="2"/>
  <c r="E649" i="2" s="1"/>
  <c r="F649" i="2" s="1"/>
  <c r="G648" i="2"/>
  <c r="B648" i="2"/>
  <c r="E648" i="2" s="1"/>
  <c r="F648" i="2" s="1"/>
  <c r="G647" i="2"/>
  <c r="B647" i="2"/>
  <c r="E647" i="2" s="1"/>
  <c r="F647" i="2" s="1"/>
  <c r="G646" i="2"/>
  <c r="B646" i="2"/>
  <c r="E646" i="2" s="1"/>
  <c r="F646" i="2" s="1"/>
  <c r="G645" i="2"/>
  <c r="B645" i="2"/>
  <c r="E645" i="2" s="1"/>
  <c r="F645" i="2" s="1"/>
  <c r="G644" i="2"/>
  <c r="B644" i="2"/>
  <c r="E644" i="2" s="1"/>
  <c r="F644" i="2" s="1"/>
  <c r="G643" i="2"/>
  <c r="B643" i="2"/>
  <c r="E643" i="2" s="1"/>
  <c r="F643" i="2" s="1"/>
  <c r="G642" i="2"/>
  <c r="B642" i="2"/>
  <c r="E642" i="2" s="1"/>
  <c r="F642" i="2" s="1"/>
  <c r="G641" i="2"/>
  <c r="B641" i="2"/>
  <c r="E641" i="2" s="1"/>
  <c r="F641" i="2" s="1"/>
  <c r="G640" i="2"/>
  <c r="B640" i="2"/>
  <c r="E640" i="2" s="1"/>
  <c r="F640" i="2" s="1"/>
  <c r="G639" i="2"/>
  <c r="B639" i="2"/>
  <c r="E639" i="2" s="1"/>
  <c r="F639" i="2" s="1"/>
  <c r="G638" i="2"/>
  <c r="B638" i="2"/>
  <c r="E638" i="2" s="1"/>
  <c r="F638" i="2" s="1"/>
  <c r="G637" i="2"/>
  <c r="B637" i="2"/>
  <c r="E637" i="2" s="1"/>
  <c r="F637" i="2" s="1"/>
  <c r="G636" i="2"/>
  <c r="B636" i="2"/>
  <c r="E636" i="2" s="1"/>
  <c r="F636" i="2" s="1"/>
  <c r="G635" i="2"/>
  <c r="B635" i="2"/>
  <c r="E635" i="2" s="1"/>
  <c r="F635" i="2" s="1"/>
  <c r="G634" i="2"/>
  <c r="B634" i="2"/>
  <c r="E634" i="2" s="1"/>
  <c r="F634" i="2" s="1"/>
  <c r="G633" i="2"/>
  <c r="B633" i="2"/>
  <c r="E633" i="2" s="1"/>
  <c r="F633" i="2" s="1"/>
  <c r="G632" i="2"/>
  <c r="B632" i="2"/>
  <c r="E632" i="2" s="1"/>
  <c r="F632" i="2" s="1"/>
  <c r="G631" i="2"/>
  <c r="B631" i="2"/>
  <c r="E631" i="2" s="1"/>
  <c r="F631" i="2" s="1"/>
  <c r="G630" i="2"/>
  <c r="B630" i="2"/>
  <c r="E630" i="2" s="1"/>
  <c r="F630" i="2" s="1"/>
  <c r="G629" i="2"/>
  <c r="B629" i="2"/>
  <c r="E629" i="2" s="1"/>
  <c r="F629" i="2" s="1"/>
  <c r="G628" i="2"/>
  <c r="B628" i="2"/>
  <c r="E628" i="2" s="1"/>
  <c r="F628" i="2" s="1"/>
  <c r="G627" i="2"/>
  <c r="B627" i="2"/>
  <c r="E627" i="2" s="1"/>
  <c r="F627" i="2" s="1"/>
  <c r="G626" i="2"/>
  <c r="B626" i="2"/>
  <c r="E626" i="2" s="1"/>
  <c r="F626" i="2" s="1"/>
  <c r="G625" i="2"/>
  <c r="B625" i="2"/>
  <c r="E625" i="2" s="1"/>
  <c r="F625" i="2" s="1"/>
  <c r="G624" i="2"/>
  <c r="B624" i="2"/>
  <c r="E624" i="2" s="1"/>
  <c r="F624" i="2" s="1"/>
  <c r="G623" i="2"/>
  <c r="B623" i="2"/>
  <c r="E623" i="2" s="1"/>
  <c r="F623" i="2" s="1"/>
  <c r="G622" i="2"/>
  <c r="B622" i="2"/>
  <c r="E622" i="2" s="1"/>
  <c r="F622" i="2" s="1"/>
  <c r="G621" i="2"/>
  <c r="B621" i="2"/>
  <c r="E621" i="2" s="1"/>
  <c r="F621" i="2" s="1"/>
  <c r="G620" i="2"/>
  <c r="B620" i="2"/>
  <c r="E620" i="2" s="1"/>
  <c r="F620" i="2" s="1"/>
  <c r="G619" i="2"/>
  <c r="B619" i="2"/>
  <c r="E619" i="2" s="1"/>
  <c r="F619" i="2" s="1"/>
  <c r="G618" i="2"/>
  <c r="B618" i="2"/>
  <c r="E618" i="2" s="1"/>
  <c r="F618" i="2" s="1"/>
  <c r="G617" i="2"/>
  <c r="B617" i="2"/>
  <c r="E617" i="2" s="1"/>
  <c r="F617" i="2" s="1"/>
  <c r="G616" i="2"/>
  <c r="B616" i="2"/>
  <c r="E616" i="2" s="1"/>
  <c r="F616" i="2" s="1"/>
  <c r="G615" i="2"/>
  <c r="B615" i="2"/>
  <c r="E615" i="2" s="1"/>
  <c r="F615" i="2" s="1"/>
  <c r="G614" i="2"/>
  <c r="B614" i="2"/>
  <c r="E614" i="2" s="1"/>
  <c r="F614" i="2" s="1"/>
  <c r="G613" i="2"/>
  <c r="B613" i="2"/>
  <c r="E613" i="2" s="1"/>
  <c r="F613" i="2" s="1"/>
  <c r="G612" i="2"/>
  <c r="B612" i="2"/>
  <c r="E612" i="2" s="1"/>
  <c r="F612" i="2" s="1"/>
  <c r="G611" i="2"/>
  <c r="B611" i="2"/>
  <c r="E611" i="2" s="1"/>
  <c r="F611" i="2" s="1"/>
  <c r="G610" i="2"/>
  <c r="B610" i="2"/>
  <c r="E610" i="2" s="1"/>
  <c r="F610" i="2" s="1"/>
  <c r="G609" i="2"/>
  <c r="B609" i="2"/>
  <c r="E609" i="2" s="1"/>
  <c r="F609" i="2" s="1"/>
  <c r="G608" i="2"/>
  <c r="B608" i="2"/>
  <c r="E608" i="2" s="1"/>
  <c r="F608" i="2" s="1"/>
  <c r="G607" i="2"/>
  <c r="B607" i="2"/>
  <c r="E607" i="2" s="1"/>
  <c r="F607" i="2" s="1"/>
  <c r="G606" i="2"/>
  <c r="B606" i="2"/>
  <c r="E606" i="2" s="1"/>
  <c r="F606" i="2" s="1"/>
  <c r="G605" i="2"/>
  <c r="B605" i="2"/>
  <c r="E605" i="2" s="1"/>
  <c r="F605" i="2" s="1"/>
  <c r="G604" i="2"/>
  <c r="B604" i="2"/>
  <c r="E604" i="2" s="1"/>
  <c r="F604" i="2" s="1"/>
  <c r="G603" i="2"/>
  <c r="B603" i="2"/>
  <c r="E603" i="2" s="1"/>
  <c r="F603" i="2" s="1"/>
  <c r="G602" i="2"/>
  <c r="B602" i="2"/>
  <c r="E602" i="2" s="1"/>
  <c r="F602" i="2" s="1"/>
  <c r="G601" i="2"/>
  <c r="B601" i="2"/>
  <c r="E601" i="2" s="1"/>
  <c r="F601" i="2" s="1"/>
  <c r="G600" i="2"/>
  <c r="E600" i="2"/>
  <c r="F600" i="2" s="1"/>
  <c r="B600" i="2"/>
  <c r="G599" i="2"/>
  <c r="B599" i="2"/>
  <c r="E599" i="2" s="1"/>
  <c r="F599" i="2" s="1"/>
  <c r="G598" i="2"/>
  <c r="B598" i="2"/>
  <c r="E598" i="2" s="1"/>
  <c r="F598" i="2" s="1"/>
  <c r="G597" i="2"/>
  <c r="B597" i="2"/>
  <c r="E597" i="2" s="1"/>
  <c r="F597" i="2" s="1"/>
  <c r="G596" i="2"/>
  <c r="E596" i="2"/>
  <c r="F596" i="2" s="1"/>
  <c r="B596" i="2"/>
  <c r="G595" i="2"/>
  <c r="B595" i="2"/>
  <c r="E595" i="2" s="1"/>
  <c r="F595" i="2" s="1"/>
  <c r="G594" i="2"/>
  <c r="B594" i="2"/>
  <c r="E594" i="2" s="1"/>
  <c r="F594" i="2" s="1"/>
  <c r="G593" i="2"/>
  <c r="B593" i="2"/>
  <c r="E593" i="2" s="1"/>
  <c r="F593" i="2" s="1"/>
  <c r="G592" i="2"/>
  <c r="E592" i="2"/>
  <c r="F592" i="2" s="1"/>
  <c r="B592" i="2"/>
  <c r="G591" i="2"/>
  <c r="B591" i="2"/>
  <c r="E591" i="2" s="1"/>
  <c r="F591" i="2" s="1"/>
  <c r="G590" i="2"/>
  <c r="B590" i="2"/>
  <c r="E590" i="2" s="1"/>
  <c r="F590" i="2" s="1"/>
  <c r="G589" i="2"/>
  <c r="B589" i="2"/>
  <c r="E589" i="2" s="1"/>
  <c r="F589" i="2" s="1"/>
  <c r="G588" i="2"/>
  <c r="E588" i="2"/>
  <c r="F588" i="2" s="1"/>
  <c r="B588" i="2"/>
  <c r="G587" i="2"/>
  <c r="B587" i="2"/>
  <c r="E587" i="2" s="1"/>
  <c r="F587" i="2" s="1"/>
  <c r="G586" i="2"/>
  <c r="B586" i="2"/>
  <c r="E586" i="2" s="1"/>
  <c r="F586" i="2" s="1"/>
  <c r="G585" i="2"/>
  <c r="B585" i="2"/>
  <c r="E585" i="2" s="1"/>
  <c r="F585" i="2" s="1"/>
  <c r="G584" i="2"/>
  <c r="E584" i="2"/>
  <c r="F584" i="2" s="1"/>
  <c r="B584" i="2"/>
  <c r="G583" i="2"/>
  <c r="B583" i="2"/>
  <c r="E583" i="2" s="1"/>
  <c r="F583" i="2" s="1"/>
  <c r="G582" i="2"/>
  <c r="B582" i="2"/>
  <c r="E582" i="2" s="1"/>
  <c r="F582" i="2" s="1"/>
  <c r="G581" i="2"/>
  <c r="B581" i="2"/>
  <c r="E581" i="2" s="1"/>
  <c r="F581" i="2" s="1"/>
  <c r="G580" i="2"/>
  <c r="E580" i="2"/>
  <c r="F580" i="2" s="1"/>
  <c r="B580" i="2"/>
  <c r="G579" i="2"/>
  <c r="B579" i="2"/>
  <c r="E579" i="2" s="1"/>
  <c r="F579" i="2" s="1"/>
  <c r="G578" i="2"/>
  <c r="B578" i="2"/>
  <c r="E578" i="2" s="1"/>
  <c r="F578" i="2" s="1"/>
  <c r="G577" i="2"/>
  <c r="B577" i="2"/>
  <c r="E577" i="2" s="1"/>
  <c r="F577" i="2" s="1"/>
  <c r="G576" i="2"/>
  <c r="E576" i="2"/>
  <c r="F576" i="2" s="1"/>
  <c r="B576" i="2"/>
  <c r="G575" i="2"/>
  <c r="B575" i="2"/>
  <c r="E575" i="2" s="1"/>
  <c r="F575" i="2" s="1"/>
  <c r="G574" i="2"/>
  <c r="B574" i="2"/>
  <c r="E574" i="2" s="1"/>
  <c r="F574" i="2" s="1"/>
  <c r="G573" i="2"/>
  <c r="B573" i="2"/>
  <c r="E573" i="2" s="1"/>
  <c r="F573" i="2" s="1"/>
  <c r="G572" i="2"/>
  <c r="E572" i="2"/>
  <c r="F572" i="2" s="1"/>
  <c r="B572" i="2"/>
  <c r="G571" i="2"/>
  <c r="B571" i="2"/>
  <c r="E571" i="2" s="1"/>
  <c r="F571" i="2" s="1"/>
  <c r="G570" i="2"/>
  <c r="B570" i="2"/>
  <c r="E570" i="2" s="1"/>
  <c r="F570" i="2" s="1"/>
  <c r="G569" i="2"/>
  <c r="B569" i="2"/>
  <c r="E569" i="2" s="1"/>
  <c r="F569" i="2" s="1"/>
  <c r="G568" i="2"/>
  <c r="E568" i="2"/>
  <c r="F568" i="2" s="1"/>
  <c r="B568" i="2"/>
  <c r="G567" i="2"/>
  <c r="B567" i="2"/>
  <c r="E567" i="2" s="1"/>
  <c r="F567" i="2" s="1"/>
  <c r="G566" i="2"/>
  <c r="B566" i="2"/>
  <c r="E566" i="2" s="1"/>
  <c r="F566" i="2" s="1"/>
  <c r="G565" i="2"/>
  <c r="B565" i="2"/>
  <c r="E565" i="2" s="1"/>
  <c r="F565" i="2" s="1"/>
  <c r="G564" i="2"/>
  <c r="E564" i="2"/>
  <c r="F564" i="2" s="1"/>
  <c r="B564" i="2"/>
  <c r="G563" i="2"/>
  <c r="B563" i="2"/>
  <c r="E563" i="2" s="1"/>
  <c r="F563" i="2" s="1"/>
  <c r="G562" i="2"/>
  <c r="B562" i="2"/>
  <c r="E562" i="2" s="1"/>
  <c r="F562" i="2" s="1"/>
  <c r="G561" i="2"/>
  <c r="B561" i="2"/>
  <c r="E561" i="2" s="1"/>
  <c r="F561" i="2" s="1"/>
  <c r="G560" i="2"/>
  <c r="E560" i="2"/>
  <c r="F560" i="2" s="1"/>
  <c r="B560" i="2"/>
  <c r="G559" i="2"/>
  <c r="B559" i="2"/>
  <c r="E559" i="2" s="1"/>
  <c r="F559" i="2" s="1"/>
  <c r="G558" i="2"/>
  <c r="B558" i="2"/>
  <c r="E558" i="2" s="1"/>
  <c r="F558" i="2" s="1"/>
  <c r="G557" i="2"/>
  <c r="B557" i="2"/>
  <c r="E557" i="2" s="1"/>
  <c r="F557" i="2" s="1"/>
  <c r="G556" i="2"/>
  <c r="E556" i="2"/>
  <c r="F556" i="2" s="1"/>
  <c r="B556" i="2"/>
  <c r="G555" i="2"/>
  <c r="B555" i="2"/>
  <c r="E555" i="2" s="1"/>
  <c r="F555" i="2" s="1"/>
  <c r="G554" i="2"/>
  <c r="B554" i="2"/>
  <c r="E554" i="2" s="1"/>
  <c r="F554" i="2" s="1"/>
  <c r="G553" i="2"/>
  <c r="B553" i="2"/>
  <c r="E553" i="2" s="1"/>
  <c r="F553" i="2" s="1"/>
  <c r="G552" i="2"/>
  <c r="E552" i="2"/>
  <c r="F552" i="2" s="1"/>
  <c r="B552" i="2"/>
  <c r="G551" i="2"/>
  <c r="B551" i="2"/>
  <c r="E551" i="2" s="1"/>
  <c r="F551" i="2" s="1"/>
  <c r="G550" i="2"/>
  <c r="B550" i="2"/>
  <c r="E550" i="2" s="1"/>
  <c r="F550" i="2" s="1"/>
  <c r="G549" i="2"/>
  <c r="B549" i="2"/>
  <c r="E549" i="2" s="1"/>
  <c r="F549" i="2" s="1"/>
  <c r="G548" i="2"/>
  <c r="E548" i="2"/>
  <c r="F548" i="2" s="1"/>
  <c r="B548" i="2"/>
  <c r="G547" i="2"/>
  <c r="B547" i="2"/>
  <c r="E547" i="2" s="1"/>
  <c r="F547" i="2" s="1"/>
  <c r="G546" i="2"/>
  <c r="B546" i="2"/>
  <c r="E546" i="2" s="1"/>
  <c r="F546" i="2" s="1"/>
  <c r="G545" i="2"/>
  <c r="B545" i="2"/>
  <c r="E545" i="2" s="1"/>
  <c r="F545" i="2" s="1"/>
  <c r="G544" i="2"/>
  <c r="E544" i="2"/>
  <c r="F544" i="2" s="1"/>
  <c r="B544" i="2"/>
  <c r="G543" i="2"/>
  <c r="B543" i="2"/>
  <c r="E543" i="2" s="1"/>
  <c r="F543" i="2" s="1"/>
  <c r="G542" i="2"/>
  <c r="B542" i="2"/>
  <c r="E542" i="2" s="1"/>
  <c r="F542" i="2" s="1"/>
  <c r="G541" i="2"/>
  <c r="B541" i="2"/>
  <c r="E541" i="2" s="1"/>
  <c r="F541" i="2" s="1"/>
  <c r="G540" i="2"/>
  <c r="E540" i="2"/>
  <c r="F540" i="2" s="1"/>
  <c r="B540" i="2"/>
  <c r="G539" i="2"/>
  <c r="B539" i="2"/>
  <c r="E539" i="2" s="1"/>
  <c r="F539" i="2" s="1"/>
  <c r="G538" i="2"/>
  <c r="B538" i="2"/>
  <c r="E538" i="2" s="1"/>
  <c r="F538" i="2" s="1"/>
  <c r="G537" i="2"/>
  <c r="B537" i="2"/>
  <c r="E537" i="2" s="1"/>
  <c r="F537" i="2" s="1"/>
  <c r="G536" i="2"/>
  <c r="E536" i="2"/>
  <c r="F536" i="2" s="1"/>
  <c r="B536" i="2"/>
  <c r="G535" i="2"/>
  <c r="B535" i="2"/>
  <c r="E535" i="2" s="1"/>
  <c r="F535" i="2" s="1"/>
  <c r="G534" i="2"/>
  <c r="B534" i="2"/>
  <c r="E534" i="2" s="1"/>
  <c r="F534" i="2" s="1"/>
  <c r="G533" i="2"/>
  <c r="B533" i="2"/>
  <c r="E533" i="2" s="1"/>
  <c r="F533" i="2" s="1"/>
  <c r="G532" i="2"/>
  <c r="E532" i="2"/>
  <c r="F532" i="2" s="1"/>
  <c r="B532" i="2"/>
  <c r="G531" i="2"/>
  <c r="B531" i="2"/>
  <c r="E531" i="2" s="1"/>
  <c r="F531" i="2" s="1"/>
  <c r="G530" i="2"/>
  <c r="B530" i="2"/>
  <c r="E530" i="2" s="1"/>
  <c r="F530" i="2" s="1"/>
  <c r="G529" i="2"/>
  <c r="B529" i="2"/>
  <c r="E529" i="2" s="1"/>
  <c r="F529" i="2" s="1"/>
  <c r="G528" i="2"/>
  <c r="B528" i="2"/>
  <c r="E528" i="2" s="1"/>
  <c r="F528" i="2" s="1"/>
  <c r="G527" i="2"/>
  <c r="E527" i="2"/>
  <c r="F527" i="2" s="1"/>
  <c r="B527" i="2"/>
  <c r="G526" i="2"/>
  <c r="B526" i="2"/>
  <c r="E526" i="2" s="1"/>
  <c r="F526" i="2" s="1"/>
  <c r="G525" i="2"/>
  <c r="E525" i="2"/>
  <c r="F525" i="2" s="1"/>
  <c r="B525" i="2"/>
  <c r="G524" i="2"/>
  <c r="B524" i="2"/>
  <c r="E524" i="2" s="1"/>
  <c r="F524" i="2" s="1"/>
  <c r="G523" i="2"/>
  <c r="E523" i="2"/>
  <c r="F523" i="2" s="1"/>
  <c r="B523" i="2"/>
  <c r="G522" i="2"/>
  <c r="B522" i="2"/>
  <c r="E522" i="2" s="1"/>
  <c r="F522" i="2" s="1"/>
  <c r="G521" i="2"/>
  <c r="E521" i="2"/>
  <c r="F521" i="2" s="1"/>
  <c r="B521" i="2"/>
  <c r="G520" i="2"/>
  <c r="B520" i="2"/>
  <c r="E520" i="2" s="1"/>
  <c r="F520" i="2" s="1"/>
  <c r="G519" i="2"/>
  <c r="E519" i="2"/>
  <c r="F519" i="2" s="1"/>
  <c r="B519" i="2"/>
  <c r="G518" i="2"/>
  <c r="B518" i="2"/>
  <c r="E518" i="2" s="1"/>
  <c r="F518" i="2" s="1"/>
  <c r="G517" i="2"/>
  <c r="E517" i="2"/>
  <c r="F517" i="2" s="1"/>
  <c r="B517" i="2"/>
  <c r="G516" i="2"/>
  <c r="B516" i="2"/>
  <c r="E516" i="2" s="1"/>
  <c r="F516" i="2" s="1"/>
  <c r="G515" i="2"/>
  <c r="E515" i="2"/>
  <c r="F515" i="2" s="1"/>
  <c r="B515" i="2"/>
  <c r="G514" i="2"/>
  <c r="B514" i="2"/>
  <c r="E514" i="2" s="1"/>
  <c r="F514" i="2" s="1"/>
  <c r="G513" i="2"/>
  <c r="E513" i="2"/>
  <c r="F513" i="2" s="1"/>
  <c r="B513" i="2"/>
  <c r="G512" i="2"/>
  <c r="B512" i="2"/>
  <c r="E512" i="2" s="1"/>
  <c r="F512" i="2" s="1"/>
  <c r="G511" i="2"/>
  <c r="E511" i="2"/>
  <c r="F511" i="2" s="1"/>
  <c r="B511" i="2"/>
  <c r="G510" i="2"/>
  <c r="B510" i="2"/>
  <c r="E510" i="2" s="1"/>
  <c r="F510" i="2" s="1"/>
  <c r="G509" i="2"/>
  <c r="E509" i="2"/>
  <c r="F509" i="2" s="1"/>
  <c r="B509" i="2"/>
  <c r="G508" i="2"/>
  <c r="B508" i="2"/>
  <c r="E508" i="2" s="1"/>
  <c r="F508" i="2" s="1"/>
  <c r="G507" i="2"/>
  <c r="E507" i="2"/>
  <c r="F507" i="2" s="1"/>
  <c r="B507" i="2"/>
  <c r="G506" i="2"/>
  <c r="B506" i="2"/>
  <c r="E506" i="2" s="1"/>
  <c r="F506" i="2" s="1"/>
  <c r="G505" i="2"/>
  <c r="E505" i="2"/>
  <c r="F505" i="2" s="1"/>
  <c r="B505" i="2"/>
  <c r="G504" i="2"/>
  <c r="B504" i="2"/>
  <c r="E504" i="2" s="1"/>
  <c r="F504" i="2" s="1"/>
  <c r="G503" i="2"/>
  <c r="E503" i="2"/>
  <c r="F503" i="2" s="1"/>
  <c r="B503" i="2"/>
  <c r="G502" i="2"/>
  <c r="B502" i="2"/>
  <c r="E502" i="2" s="1"/>
  <c r="F502" i="2" s="1"/>
  <c r="G501" i="2"/>
  <c r="E501" i="2"/>
  <c r="F501" i="2" s="1"/>
  <c r="B501" i="2"/>
  <c r="G500" i="2"/>
  <c r="B500" i="2"/>
  <c r="E500" i="2" s="1"/>
  <c r="F500" i="2" s="1"/>
  <c r="G499" i="2"/>
  <c r="E499" i="2"/>
  <c r="F499" i="2" s="1"/>
  <c r="B499" i="2"/>
  <c r="G498" i="2"/>
  <c r="B498" i="2"/>
  <c r="E498" i="2" s="1"/>
  <c r="F498" i="2" s="1"/>
  <c r="G497" i="2"/>
  <c r="E497" i="2"/>
  <c r="F497" i="2" s="1"/>
  <c r="B497" i="2"/>
  <c r="G496" i="2"/>
  <c r="B496" i="2"/>
  <c r="E496" i="2" s="1"/>
  <c r="F496" i="2" s="1"/>
  <c r="G495" i="2"/>
  <c r="E495" i="2"/>
  <c r="F495" i="2" s="1"/>
  <c r="B495" i="2"/>
  <c r="G494" i="2"/>
  <c r="B494" i="2"/>
  <c r="E494" i="2" s="1"/>
  <c r="F494" i="2" s="1"/>
  <c r="G493" i="2"/>
  <c r="E493" i="2"/>
  <c r="F493" i="2" s="1"/>
  <c r="B493" i="2"/>
  <c r="G492" i="2"/>
  <c r="B492" i="2"/>
  <c r="E492" i="2" s="1"/>
  <c r="F492" i="2" s="1"/>
  <c r="G491" i="2"/>
  <c r="E491" i="2"/>
  <c r="F491" i="2" s="1"/>
  <c r="B491" i="2"/>
  <c r="G490" i="2"/>
  <c r="B490" i="2"/>
  <c r="E490" i="2" s="1"/>
  <c r="F490" i="2" s="1"/>
  <c r="G489" i="2"/>
  <c r="E489" i="2"/>
  <c r="F489" i="2" s="1"/>
  <c r="B489" i="2"/>
  <c r="G488" i="2"/>
  <c r="B488" i="2"/>
  <c r="E488" i="2" s="1"/>
  <c r="F488" i="2" s="1"/>
  <c r="G487" i="2"/>
  <c r="E487" i="2"/>
  <c r="F487" i="2" s="1"/>
  <c r="B487" i="2"/>
  <c r="G486" i="2"/>
  <c r="B486" i="2"/>
  <c r="E486" i="2" s="1"/>
  <c r="F486" i="2" s="1"/>
  <c r="G485" i="2"/>
  <c r="E485" i="2"/>
  <c r="F485" i="2" s="1"/>
  <c r="B485" i="2"/>
  <c r="G484" i="2"/>
  <c r="B484" i="2"/>
  <c r="E484" i="2" s="1"/>
  <c r="F484" i="2" s="1"/>
  <c r="G483" i="2"/>
  <c r="E483" i="2"/>
  <c r="F483" i="2" s="1"/>
  <c r="B483" i="2"/>
  <c r="G482" i="2"/>
  <c r="B482" i="2"/>
  <c r="E482" i="2" s="1"/>
  <c r="F482" i="2" s="1"/>
  <c r="G481" i="2"/>
  <c r="E481" i="2"/>
  <c r="F481" i="2" s="1"/>
  <c r="B481" i="2"/>
  <c r="G480" i="2"/>
  <c r="B480" i="2"/>
  <c r="E480" i="2" s="1"/>
  <c r="F480" i="2" s="1"/>
  <c r="G479" i="2"/>
  <c r="E479" i="2"/>
  <c r="F479" i="2" s="1"/>
  <c r="B479" i="2"/>
  <c r="G478" i="2"/>
  <c r="B478" i="2"/>
  <c r="E478" i="2" s="1"/>
  <c r="F478" i="2" s="1"/>
  <c r="G477" i="2"/>
  <c r="E477" i="2"/>
  <c r="F477" i="2" s="1"/>
  <c r="B477" i="2"/>
  <c r="G476" i="2"/>
  <c r="B476" i="2"/>
  <c r="E476" i="2" s="1"/>
  <c r="F476" i="2" s="1"/>
  <c r="G475" i="2"/>
  <c r="E475" i="2"/>
  <c r="F475" i="2" s="1"/>
  <c r="B475" i="2"/>
  <c r="G474" i="2"/>
  <c r="B474" i="2"/>
  <c r="E474" i="2" s="1"/>
  <c r="F474" i="2" s="1"/>
  <c r="G473" i="2"/>
  <c r="E473" i="2"/>
  <c r="F473" i="2" s="1"/>
  <c r="B473" i="2"/>
  <c r="G472" i="2"/>
  <c r="B472" i="2"/>
  <c r="E472" i="2" s="1"/>
  <c r="F472" i="2" s="1"/>
  <c r="G471" i="2"/>
  <c r="E471" i="2"/>
  <c r="F471" i="2" s="1"/>
  <c r="B471" i="2"/>
  <c r="G470" i="2"/>
  <c r="B470" i="2"/>
  <c r="E470" i="2" s="1"/>
  <c r="F470" i="2" s="1"/>
  <c r="G469" i="2"/>
  <c r="E469" i="2"/>
  <c r="F469" i="2" s="1"/>
  <c r="B469" i="2"/>
  <c r="G468" i="2"/>
  <c r="B468" i="2"/>
  <c r="E468" i="2" s="1"/>
  <c r="F468" i="2" s="1"/>
  <c r="G467" i="2"/>
  <c r="E467" i="2"/>
  <c r="F467" i="2" s="1"/>
  <c r="B467" i="2"/>
  <c r="G466" i="2"/>
  <c r="B466" i="2"/>
  <c r="E466" i="2" s="1"/>
  <c r="F466" i="2" s="1"/>
  <c r="G465" i="2"/>
  <c r="E465" i="2"/>
  <c r="F465" i="2" s="1"/>
  <c r="B465" i="2"/>
  <c r="G464" i="2"/>
  <c r="B464" i="2"/>
  <c r="E464" i="2" s="1"/>
  <c r="F464" i="2" s="1"/>
  <c r="G463" i="2"/>
  <c r="E463" i="2"/>
  <c r="F463" i="2" s="1"/>
  <c r="B463" i="2"/>
  <c r="G462" i="2"/>
  <c r="B462" i="2"/>
  <c r="E462" i="2" s="1"/>
  <c r="F462" i="2" s="1"/>
  <c r="G461" i="2"/>
  <c r="E461" i="2"/>
  <c r="F461" i="2" s="1"/>
  <c r="B461" i="2"/>
  <c r="G460" i="2"/>
  <c r="B460" i="2"/>
  <c r="E460" i="2" s="1"/>
  <c r="F460" i="2" s="1"/>
  <c r="G459" i="2"/>
  <c r="E459" i="2"/>
  <c r="F459" i="2" s="1"/>
  <c r="B459" i="2"/>
  <c r="G458" i="2"/>
  <c r="B458" i="2"/>
  <c r="E458" i="2" s="1"/>
  <c r="F458" i="2" s="1"/>
  <c r="G457" i="2"/>
  <c r="E457" i="2"/>
  <c r="F457" i="2" s="1"/>
  <c r="B457" i="2"/>
  <c r="G456" i="2"/>
  <c r="B456" i="2"/>
  <c r="E456" i="2" s="1"/>
  <c r="F456" i="2" s="1"/>
  <c r="G455" i="2"/>
  <c r="E455" i="2"/>
  <c r="F455" i="2" s="1"/>
  <c r="B455" i="2"/>
  <c r="G454" i="2"/>
  <c r="B454" i="2"/>
  <c r="E454" i="2" s="1"/>
  <c r="F454" i="2" s="1"/>
  <c r="G453" i="2"/>
  <c r="E453" i="2"/>
  <c r="F453" i="2" s="1"/>
  <c r="B453" i="2"/>
  <c r="G452" i="2"/>
  <c r="B452" i="2"/>
  <c r="E452" i="2" s="1"/>
  <c r="F452" i="2" s="1"/>
  <c r="G451" i="2"/>
  <c r="E451" i="2"/>
  <c r="F451" i="2" s="1"/>
  <c r="B451" i="2"/>
  <c r="G450" i="2"/>
  <c r="B450" i="2"/>
  <c r="E450" i="2" s="1"/>
  <c r="F450" i="2" s="1"/>
  <c r="G449" i="2"/>
  <c r="E449" i="2"/>
  <c r="F449" i="2" s="1"/>
  <c r="B449" i="2"/>
  <c r="G448" i="2"/>
  <c r="B448" i="2"/>
  <c r="E448" i="2" s="1"/>
  <c r="F448" i="2" s="1"/>
  <c r="G447" i="2"/>
  <c r="E447" i="2"/>
  <c r="F447" i="2" s="1"/>
  <c r="B447" i="2"/>
  <c r="G446" i="2"/>
  <c r="B446" i="2"/>
  <c r="E446" i="2" s="1"/>
  <c r="F446" i="2" s="1"/>
  <c r="G445" i="2"/>
  <c r="B445" i="2"/>
  <c r="E445" i="2" s="1"/>
  <c r="F445" i="2" s="1"/>
  <c r="G444" i="2"/>
  <c r="B444" i="2"/>
  <c r="E444" i="2" s="1"/>
  <c r="F444" i="2" s="1"/>
  <c r="G443" i="2"/>
  <c r="E443" i="2"/>
  <c r="F443" i="2" s="1"/>
  <c r="B443" i="2"/>
  <c r="G442" i="2"/>
  <c r="B442" i="2"/>
  <c r="E442" i="2" s="1"/>
  <c r="F442" i="2" s="1"/>
  <c r="G441" i="2"/>
  <c r="B441" i="2"/>
  <c r="E441" i="2" s="1"/>
  <c r="F441" i="2" s="1"/>
  <c r="G440" i="2"/>
  <c r="B440" i="2"/>
  <c r="E440" i="2" s="1"/>
  <c r="F440" i="2" s="1"/>
  <c r="G439" i="2"/>
  <c r="E439" i="2"/>
  <c r="F439" i="2" s="1"/>
  <c r="B439" i="2"/>
  <c r="G438" i="2"/>
  <c r="B438" i="2"/>
  <c r="E438" i="2" s="1"/>
  <c r="F438" i="2" s="1"/>
  <c r="G437" i="2"/>
  <c r="B437" i="2"/>
  <c r="E437" i="2" s="1"/>
  <c r="F437" i="2" s="1"/>
  <c r="G436" i="2"/>
  <c r="B436" i="2"/>
  <c r="E436" i="2" s="1"/>
  <c r="F436" i="2" s="1"/>
  <c r="G435" i="2"/>
  <c r="E435" i="2"/>
  <c r="F435" i="2" s="1"/>
  <c r="B435" i="2"/>
  <c r="G434" i="2"/>
  <c r="B434" i="2"/>
  <c r="E434" i="2" s="1"/>
  <c r="F434" i="2" s="1"/>
  <c r="G433" i="2"/>
  <c r="B433" i="2"/>
  <c r="E433" i="2" s="1"/>
  <c r="F433" i="2" s="1"/>
  <c r="G432" i="2"/>
  <c r="B432" i="2"/>
  <c r="E432" i="2" s="1"/>
  <c r="F432" i="2" s="1"/>
  <c r="G431" i="2"/>
  <c r="E431" i="2"/>
  <c r="F431" i="2" s="1"/>
  <c r="B431" i="2"/>
  <c r="G430" i="2"/>
  <c r="B430" i="2"/>
  <c r="E430" i="2" s="1"/>
  <c r="F430" i="2" s="1"/>
  <c r="G429" i="2"/>
  <c r="B429" i="2"/>
  <c r="E429" i="2" s="1"/>
  <c r="F429" i="2" s="1"/>
  <c r="G428" i="2"/>
  <c r="B428" i="2"/>
  <c r="E428" i="2" s="1"/>
  <c r="F428" i="2" s="1"/>
  <c r="G427" i="2"/>
  <c r="E427" i="2"/>
  <c r="F427" i="2" s="1"/>
  <c r="B427" i="2"/>
  <c r="G426" i="2"/>
  <c r="B426" i="2"/>
  <c r="E426" i="2" s="1"/>
  <c r="F426" i="2" s="1"/>
  <c r="G425" i="2"/>
  <c r="B425" i="2"/>
  <c r="E425" i="2" s="1"/>
  <c r="F425" i="2" s="1"/>
  <c r="G424" i="2"/>
  <c r="B424" i="2"/>
  <c r="E424" i="2" s="1"/>
  <c r="F424" i="2" s="1"/>
  <c r="G423" i="2"/>
  <c r="E423" i="2"/>
  <c r="F423" i="2" s="1"/>
  <c r="B423" i="2"/>
  <c r="G422" i="2"/>
  <c r="B422" i="2"/>
  <c r="E422" i="2" s="1"/>
  <c r="F422" i="2" s="1"/>
  <c r="G421" i="2"/>
  <c r="B421" i="2"/>
  <c r="E421" i="2" s="1"/>
  <c r="F421" i="2" s="1"/>
  <c r="G420" i="2"/>
  <c r="B420" i="2"/>
  <c r="E420" i="2" s="1"/>
  <c r="F420" i="2" s="1"/>
  <c r="G419" i="2"/>
  <c r="E419" i="2"/>
  <c r="F419" i="2" s="1"/>
  <c r="B419" i="2"/>
  <c r="G418" i="2"/>
  <c r="B418" i="2"/>
  <c r="E418" i="2" s="1"/>
  <c r="F418" i="2" s="1"/>
  <c r="G417" i="2"/>
  <c r="B417" i="2"/>
  <c r="E417" i="2" s="1"/>
  <c r="F417" i="2" s="1"/>
  <c r="G416" i="2"/>
  <c r="B416" i="2"/>
  <c r="E416" i="2" s="1"/>
  <c r="F416" i="2" s="1"/>
  <c r="G415" i="2"/>
  <c r="E415" i="2"/>
  <c r="F415" i="2" s="1"/>
  <c r="B415" i="2"/>
  <c r="G414" i="2"/>
  <c r="B414" i="2"/>
  <c r="E414" i="2" s="1"/>
  <c r="F414" i="2" s="1"/>
  <c r="G413" i="2"/>
  <c r="B413" i="2"/>
  <c r="E413" i="2" s="1"/>
  <c r="F413" i="2" s="1"/>
  <c r="G412" i="2"/>
  <c r="B412" i="2"/>
  <c r="E412" i="2" s="1"/>
  <c r="F412" i="2" s="1"/>
  <c r="G411" i="2"/>
  <c r="E411" i="2"/>
  <c r="F411" i="2" s="1"/>
  <c r="B411" i="2"/>
  <c r="G410" i="2"/>
  <c r="B410" i="2"/>
  <c r="E410" i="2" s="1"/>
  <c r="F410" i="2" s="1"/>
  <c r="G409" i="2"/>
  <c r="B409" i="2"/>
  <c r="E409" i="2" s="1"/>
  <c r="F409" i="2" s="1"/>
  <c r="G408" i="2"/>
  <c r="B408" i="2"/>
  <c r="E408" i="2" s="1"/>
  <c r="F408" i="2" s="1"/>
  <c r="G407" i="2"/>
  <c r="E407" i="2"/>
  <c r="F407" i="2" s="1"/>
  <c r="B407" i="2"/>
  <c r="G406" i="2"/>
  <c r="B406" i="2"/>
  <c r="E406" i="2" s="1"/>
  <c r="F406" i="2" s="1"/>
  <c r="G405" i="2"/>
  <c r="B405" i="2"/>
  <c r="E405" i="2" s="1"/>
  <c r="F405" i="2" s="1"/>
  <c r="G404" i="2"/>
  <c r="B404" i="2"/>
  <c r="E404" i="2" s="1"/>
  <c r="F404" i="2" s="1"/>
  <c r="G403" i="2"/>
  <c r="E403" i="2"/>
  <c r="F403" i="2" s="1"/>
  <c r="B403" i="2"/>
  <c r="G402" i="2"/>
  <c r="B402" i="2"/>
  <c r="E402" i="2" s="1"/>
  <c r="F402" i="2" s="1"/>
  <c r="G401" i="2"/>
  <c r="B401" i="2"/>
  <c r="E401" i="2" s="1"/>
  <c r="F401" i="2" s="1"/>
  <c r="G400" i="2"/>
  <c r="B400" i="2"/>
  <c r="E400" i="2" s="1"/>
  <c r="F400" i="2" s="1"/>
  <c r="G399" i="2"/>
  <c r="B399" i="2"/>
  <c r="E399" i="2" s="1"/>
  <c r="F399" i="2" s="1"/>
  <c r="G398" i="2"/>
  <c r="B398" i="2"/>
  <c r="E398" i="2" s="1"/>
  <c r="F398" i="2" s="1"/>
  <c r="G397" i="2"/>
  <c r="B397" i="2"/>
  <c r="E397" i="2" s="1"/>
  <c r="F397" i="2" s="1"/>
  <c r="G396" i="2"/>
  <c r="B396" i="2"/>
  <c r="E396" i="2" s="1"/>
  <c r="F396" i="2" s="1"/>
  <c r="G395" i="2"/>
  <c r="B395" i="2"/>
  <c r="E395" i="2" s="1"/>
  <c r="F395" i="2" s="1"/>
  <c r="G394" i="2"/>
  <c r="B394" i="2"/>
  <c r="E394" i="2" s="1"/>
  <c r="F394" i="2" s="1"/>
  <c r="G393" i="2"/>
  <c r="B393" i="2"/>
  <c r="E393" i="2" s="1"/>
  <c r="F393" i="2" s="1"/>
  <c r="G392" i="2"/>
  <c r="B392" i="2"/>
  <c r="E392" i="2" s="1"/>
  <c r="F392" i="2" s="1"/>
  <c r="G391" i="2"/>
  <c r="B391" i="2"/>
  <c r="E391" i="2" s="1"/>
  <c r="F391" i="2" s="1"/>
  <c r="G390" i="2"/>
  <c r="B390" i="2"/>
  <c r="E390" i="2" s="1"/>
  <c r="F390" i="2" s="1"/>
  <c r="G389" i="2"/>
  <c r="B389" i="2"/>
  <c r="E389" i="2" s="1"/>
  <c r="F389" i="2" s="1"/>
  <c r="G388" i="2"/>
  <c r="B388" i="2"/>
  <c r="E388" i="2" s="1"/>
  <c r="F388" i="2" s="1"/>
  <c r="G387" i="2"/>
  <c r="B387" i="2"/>
  <c r="E387" i="2" s="1"/>
  <c r="F387" i="2" s="1"/>
  <c r="G386" i="2"/>
  <c r="B386" i="2"/>
  <c r="E386" i="2" s="1"/>
  <c r="F386" i="2" s="1"/>
  <c r="G385" i="2"/>
  <c r="B385" i="2"/>
  <c r="E385" i="2" s="1"/>
  <c r="F385" i="2" s="1"/>
  <c r="G384" i="2"/>
  <c r="B384" i="2"/>
  <c r="E384" i="2" s="1"/>
  <c r="F384" i="2" s="1"/>
  <c r="G383" i="2"/>
  <c r="E383" i="2"/>
  <c r="F383" i="2" s="1"/>
  <c r="B383" i="2"/>
  <c r="G382" i="2"/>
  <c r="B382" i="2"/>
  <c r="E382" i="2" s="1"/>
  <c r="F382" i="2" s="1"/>
  <c r="G381" i="2"/>
  <c r="B381" i="2"/>
  <c r="E381" i="2" s="1"/>
  <c r="F381" i="2" s="1"/>
  <c r="G380" i="2"/>
  <c r="B380" i="2"/>
  <c r="E380" i="2" s="1"/>
  <c r="F380" i="2" s="1"/>
  <c r="G379" i="2"/>
  <c r="B379" i="2"/>
  <c r="E379" i="2" s="1"/>
  <c r="F379" i="2" s="1"/>
  <c r="G378" i="2"/>
  <c r="B378" i="2"/>
  <c r="E378" i="2" s="1"/>
  <c r="F378" i="2" s="1"/>
  <c r="G377" i="2"/>
  <c r="B377" i="2"/>
  <c r="E377" i="2" s="1"/>
  <c r="F377" i="2" s="1"/>
  <c r="G376" i="2"/>
  <c r="B376" i="2"/>
  <c r="E376" i="2" s="1"/>
  <c r="F376" i="2" s="1"/>
  <c r="G375" i="2"/>
  <c r="E375" i="2"/>
  <c r="F375" i="2" s="1"/>
  <c r="B375" i="2"/>
  <c r="G374" i="2"/>
  <c r="B374" i="2"/>
  <c r="E374" i="2" s="1"/>
  <c r="F374" i="2" s="1"/>
  <c r="G373" i="2"/>
  <c r="B373" i="2"/>
  <c r="E373" i="2" s="1"/>
  <c r="F373" i="2" s="1"/>
  <c r="G372" i="2"/>
  <c r="B372" i="2"/>
  <c r="E372" i="2" s="1"/>
  <c r="F372" i="2" s="1"/>
  <c r="G371" i="2"/>
  <c r="B371" i="2"/>
  <c r="E371" i="2" s="1"/>
  <c r="F371" i="2" s="1"/>
  <c r="G370" i="2"/>
  <c r="B370" i="2"/>
  <c r="E370" i="2" s="1"/>
  <c r="F370" i="2" s="1"/>
  <c r="G369" i="2"/>
  <c r="B369" i="2"/>
  <c r="E369" i="2" s="1"/>
  <c r="F369" i="2" s="1"/>
  <c r="G368" i="2"/>
  <c r="B368" i="2"/>
  <c r="E368" i="2" s="1"/>
  <c r="F368" i="2" s="1"/>
  <c r="G367" i="2"/>
  <c r="E367" i="2"/>
  <c r="F367" i="2" s="1"/>
  <c r="B367" i="2"/>
  <c r="G366" i="2"/>
  <c r="B366" i="2"/>
  <c r="E366" i="2" s="1"/>
  <c r="F366" i="2" s="1"/>
  <c r="G365" i="2"/>
  <c r="B365" i="2"/>
  <c r="E365" i="2" s="1"/>
  <c r="F365" i="2" s="1"/>
  <c r="G364" i="2"/>
  <c r="B364" i="2"/>
  <c r="E364" i="2" s="1"/>
  <c r="F364" i="2" s="1"/>
  <c r="G363" i="2"/>
  <c r="B363" i="2"/>
  <c r="E363" i="2" s="1"/>
  <c r="F363" i="2" s="1"/>
  <c r="G362" i="2"/>
  <c r="B362" i="2"/>
  <c r="E362" i="2" s="1"/>
  <c r="F362" i="2" s="1"/>
  <c r="G361" i="2"/>
  <c r="B361" i="2"/>
  <c r="E361" i="2" s="1"/>
  <c r="F361" i="2" s="1"/>
  <c r="G360" i="2"/>
  <c r="B360" i="2"/>
  <c r="E360" i="2" s="1"/>
  <c r="F360" i="2" s="1"/>
  <c r="G359" i="2"/>
  <c r="B359" i="2"/>
  <c r="E359" i="2" s="1"/>
  <c r="F359" i="2" s="1"/>
  <c r="G358" i="2"/>
  <c r="B358" i="2"/>
  <c r="E358" i="2" s="1"/>
  <c r="F358" i="2" s="1"/>
  <c r="G357" i="2"/>
  <c r="B357" i="2"/>
  <c r="E357" i="2" s="1"/>
  <c r="F357" i="2" s="1"/>
  <c r="G356" i="2"/>
  <c r="B356" i="2"/>
  <c r="E356" i="2" s="1"/>
  <c r="F356" i="2" s="1"/>
  <c r="G355" i="2"/>
  <c r="B355" i="2"/>
  <c r="E355" i="2" s="1"/>
  <c r="F355" i="2" s="1"/>
  <c r="G354" i="2"/>
  <c r="B354" i="2"/>
  <c r="E354" i="2" s="1"/>
  <c r="F354" i="2" s="1"/>
  <c r="G353" i="2"/>
  <c r="B353" i="2"/>
  <c r="E353" i="2" s="1"/>
  <c r="F353" i="2" s="1"/>
  <c r="G352" i="2"/>
  <c r="B352" i="2"/>
  <c r="E352" i="2" s="1"/>
  <c r="F352" i="2" s="1"/>
  <c r="G351" i="2"/>
  <c r="B351" i="2"/>
  <c r="E351" i="2" s="1"/>
  <c r="F351" i="2" s="1"/>
  <c r="G350" i="2"/>
  <c r="B350" i="2"/>
  <c r="E350" i="2" s="1"/>
  <c r="F350" i="2" s="1"/>
  <c r="G349" i="2"/>
  <c r="B349" i="2"/>
  <c r="E349" i="2" s="1"/>
  <c r="F349" i="2" s="1"/>
  <c r="G348" i="2"/>
  <c r="B348" i="2"/>
  <c r="E348" i="2" s="1"/>
  <c r="F348" i="2" s="1"/>
  <c r="G347" i="2"/>
  <c r="B347" i="2"/>
  <c r="E347" i="2" s="1"/>
  <c r="F347" i="2" s="1"/>
  <c r="G346" i="2"/>
  <c r="B346" i="2"/>
  <c r="E346" i="2" s="1"/>
  <c r="F346" i="2" s="1"/>
  <c r="G345" i="2"/>
  <c r="B345" i="2"/>
  <c r="E345" i="2" s="1"/>
  <c r="F345" i="2" s="1"/>
  <c r="G344" i="2"/>
  <c r="B344" i="2"/>
  <c r="E344" i="2" s="1"/>
  <c r="F344" i="2" s="1"/>
  <c r="G343" i="2"/>
  <c r="B343" i="2"/>
  <c r="E343" i="2" s="1"/>
  <c r="F343" i="2" s="1"/>
  <c r="G342" i="2"/>
  <c r="B342" i="2"/>
  <c r="E342" i="2" s="1"/>
  <c r="F342" i="2" s="1"/>
  <c r="G341" i="2"/>
  <c r="B341" i="2"/>
  <c r="E341" i="2" s="1"/>
  <c r="F341" i="2" s="1"/>
  <c r="G340" i="2"/>
  <c r="B340" i="2"/>
  <c r="E340" i="2" s="1"/>
  <c r="F340" i="2" s="1"/>
  <c r="G339" i="2"/>
  <c r="B339" i="2"/>
  <c r="E339" i="2" s="1"/>
  <c r="F339" i="2" s="1"/>
  <c r="G338" i="2"/>
  <c r="B338" i="2"/>
  <c r="E338" i="2" s="1"/>
  <c r="F338" i="2" s="1"/>
  <c r="G337" i="2"/>
  <c r="B337" i="2"/>
  <c r="E337" i="2" s="1"/>
  <c r="F337" i="2" s="1"/>
  <c r="G336" i="2"/>
  <c r="B336" i="2"/>
  <c r="E336" i="2" s="1"/>
  <c r="F336" i="2" s="1"/>
  <c r="G335" i="2"/>
  <c r="B335" i="2"/>
  <c r="E335" i="2" s="1"/>
  <c r="F335" i="2" s="1"/>
  <c r="G334" i="2"/>
  <c r="B334" i="2"/>
  <c r="E334" i="2" s="1"/>
  <c r="F334" i="2" s="1"/>
  <c r="G333" i="2"/>
  <c r="B333" i="2"/>
  <c r="E333" i="2" s="1"/>
  <c r="F333" i="2" s="1"/>
  <c r="G332" i="2"/>
  <c r="B332" i="2"/>
  <c r="E332" i="2" s="1"/>
  <c r="F332" i="2" s="1"/>
  <c r="G331" i="2"/>
  <c r="B331" i="2"/>
  <c r="E331" i="2" s="1"/>
  <c r="F331" i="2" s="1"/>
  <c r="G330" i="2"/>
  <c r="B330" i="2"/>
  <c r="E330" i="2" s="1"/>
  <c r="F330" i="2" s="1"/>
  <c r="G329" i="2"/>
  <c r="B329" i="2"/>
  <c r="E329" i="2" s="1"/>
  <c r="F329" i="2" s="1"/>
  <c r="G328" i="2"/>
  <c r="B328" i="2"/>
  <c r="E328" i="2" s="1"/>
  <c r="F328" i="2" s="1"/>
  <c r="G327" i="2"/>
  <c r="B327" i="2"/>
  <c r="E327" i="2" s="1"/>
  <c r="F327" i="2" s="1"/>
  <c r="G326" i="2"/>
  <c r="B326" i="2"/>
  <c r="E326" i="2" s="1"/>
  <c r="F326" i="2" s="1"/>
  <c r="G325" i="2"/>
  <c r="B325" i="2"/>
  <c r="E325" i="2" s="1"/>
  <c r="F325" i="2" s="1"/>
  <c r="G324" i="2"/>
  <c r="B324" i="2"/>
  <c r="E324" i="2" s="1"/>
  <c r="F324" i="2" s="1"/>
  <c r="G323" i="2"/>
  <c r="B323" i="2"/>
  <c r="E323" i="2" s="1"/>
  <c r="F323" i="2" s="1"/>
  <c r="G322" i="2"/>
  <c r="B322" i="2"/>
  <c r="E322" i="2" s="1"/>
  <c r="F322" i="2" s="1"/>
  <c r="G321" i="2"/>
  <c r="B321" i="2"/>
  <c r="E321" i="2" s="1"/>
  <c r="F321" i="2" s="1"/>
  <c r="G320" i="2"/>
  <c r="B320" i="2"/>
  <c r="E320" i="2" s="1"/>
  <c r="F320" i="2" s="1"/>
  <c r="G319" i="2"/>
  <c r="B319" i="2"/>
  <c r="E319" i="2" s="1"/>
  <c r="F319" i="2" s="1"/>
  <c r="G318" i="2"/>
  <c r="B318" i="2"/>
  <c r="E318" i="2" s="1"/>
  <c r="F318" i="2" s="1"/>
  <c r="G317" i="2"/>
  <c r="B317" i="2"/>
  <c r="E317" i="2" s="1"/>
  <c r="F317" i="2" s="1"/>
  <c r="G316" i="2"/>
  <c r="B316" i="2"/>
  <c r="E316" i="2" s="1"/>
  <c r="F316" i="2" s="1"/>
  <c r="G315" i="2"/>
  <c r="B315" i="2"/>
  <c r="E315" i="2" s="1"/>
  <c r="F315" i="2" s="1"/>
  <c r="G314" i="2"/>
  <c r="B314" i="2"/>
  <c r="E314" i="2" s="1"/>
  <c r="F314" i="2" s="1"/>
  <c r="G313" i="2"/>
  <c r="B313" i="2"/>
  <c r="E313" i="2" s="1"/>
  <c r="F313" i="2" s="1"/>
  <c r="G312" i="2"/>
  <c r="B312" i="2"/>
  <c r="E312" i="2" s="1"/>
  <c r="F312" i="2" s="1"/>
  <c r="G311" i="2"/>
  <c r="B311" i="2"/>
  <c r="E311" i="2" s="1"/>
  <c r="F311" i="2" s="1"/>
  <c r="G310" i="2"/>
  <c r="B310" i="2"/>
  <c r="E310" i="2" s="1"/>
  <c r="F310" i="2" s="1"/>
  <c r="G309" i="2"/>
  <c r="B309" i="2"/>
  <c r="E309" i="2" s="1"/>
  <c r="F309" i="2" s="1"/>
  <c r="G308" i="2"/>
  <c r="B308" i="2"/>
  <c r="E308" i="2" s="1"/>
  <c r="F308" i="2" s="1"/>
  <c r="G307" i="2"/>
  <c r="B307" i="2"/>
  <c r="E307" i="2" s="1"/>
  <c r="F307" i="2" s="1"/>
  <c r="G306" i="2"/>
  <c r="B306" i="2"/>
  <c r="E306" i="2" s="1"/>
  <c r="F306" i="2" s="1"/>
  <c r="G305" i="2"/>
  <c r="B305" i="2"/>
  <c r="E305" i="2" s="1"/>
  <c r="F305" i="2" s="1"/>
  <c r="G304" i="2"/>
  <c r="B304" i="2"/>
  <c r="E304" i="2" s="1"/>
  <c r="F304" i="2" s="1"/>
  <c r="G303" i="2"/>
  <c r="B303" i="2"/>
  <c r="E303" i="2" s="1"/>
  <c r="F303" i="2" s="1"/>
  <c r="G302" i="2"/>
  <c r="B302" i="2"/>
  <c r="E302" i="2" s="1"/>
  <c r="F302" i="2" s="1"/>
  <c r="G301" i="2"/>
  <c r="B301" i="2"/>
  <c r="E301" i="2" s="1"/>
  <c r="F301" i="2" s="1"/>
  <c r="G300" i="2"/>
  <c r="B300" i="2"/>
  <c r="E300" i="2" s="1"/>
  <c r="F300" i="2" s="1"/>
  <c r="G299" i="2"/>
  <c r="B299" i="2"/>
  <c r="E299" i="2" s="1"/>
  <c r="F299" i="2" s="1"/>
  <c r="G298" i="2"/>
  <c r="B298" i="2"/>
  <c r="E298" i="2" s="1"/>
  <c r="F298" i="2" s="1"/>
  <c r="G297" i="2"/>
  <c r="B297" i="2"/>
  <c r="E297" i="2" s="1"/>
  <c r="F297" i="2" s="1"/>
  <c r="G296" i="2"/>
  <c r="B296" i="2"/>
  <c r="E296" i="2" s="1"/>
  <c r="F296" i="2" s="1"/>
  <c r="G295" i="2"/>
  <c r="B295" i="2"/>
  <c r="E295" i="2" s="1"/>
  <c r="F295" i="2" s="1"/>
  <c r="G294" i="2"/>
  <c r="B294" i="2"/>
  <c r="E294" i="2" s="1"/>
  <c r="F294" i="2" s="1"/>
  <c r="G293" i="2"/>
  <c r="B293" i="2"/>
  <c r="E293" i="2" s="1"/>
  <c r="F293" i="2" s="1"/>
  <c r="G292" i="2"/>
  <c r="B292" i="2"/>
  <c r="E292" i="2" s="1"/>
  <c r="F292" i="2" s="1"/>
  <c r="G291" i="2"/>
  <c r="B291" i="2"/>
  <c r="E291" i="2" s="1"/>
  <c r="F291" i="2" s="1"/>
  <c r="G290" i="2"/>
  <c r="B290" i="2"/>
  <c r="E290" i="2" s="1"/>
  <c r="F290" i="2" s="1"/>
  <c r="G289" i="2"/>
  <c r="B289" i="2"/>
  <c r="E289" i="2" s="1"/>
  <c r="F289" i="2" s="1"/>
  <c r="G288" i="2"/>
  <c r="B288" i="2"/>
  <c r="E288" i="2" s="1"/>
  <c r="F288" i="2" s="1"/>
  <c r="G287" i="2"/>
  <c r="B287" i="2"/>
  <c r="E287" i="2" s="1"/>
  <c r="F287" i="2" s="1"/>
  <c r="G286" i="2"/>
  <c r="B286" i="2"/>
  <c r="E286" i="2" s="1"/>
  <c r="F286" i="2" s="1"/>
  <c r="G285" i="2"/>
  <c r="B285" i="2"/>
  <c r="E285" i="2" s="1"/>
  <c r="F285" i="2" s="1"/>
  <c r="G284" i="2"/>
  <c r="B284" i="2"/>
  <c r="E284" i="2" s="1"/>
  <c r="F284" i="2" s="1"/>
  <c r="G283" i="2"/>
  <c r="B283" i="2"/>
  <c r="E283" i="2" s="1"/>
  <c r="F283" i="2" s="1"/>
  <c r="G282" i="2"/>
  <c r="B282" i="2"/>
  <c r="E282" i="2" s="1"/>
  <c r="F282" i="2" s="1"/>
  <c r="G281" i="2"/>
  <c r="B281" i="2"/>
  <c r="E281" i="2" s="1"/>
  <c r="F281" i="2" s="1"/>
  <c r="G280" i="2"/>
  <c r="B280" i="2"/>
  <c r="E280" i="2" s="1"/>
  <c r="F280" i="2" s="1"/>
  <c r="G279" i="2"/>
  <c r="B279" i="2"/>
  <c r="E279" i="2" s="1"/>
  <c r="F279" i="2" s="1"/>
  <c r="G278" i="2"/>
  <c r="B278" i="2"/>
  <c r="E278" i="2" s="1"/>
  <c r="F278" i="2" s="1"/>
  <c r="G277" i="2"/>
  <c r="B277" i="2"/>
  <c r="E277" i="2" s="1"/>
  <c r="F277" i="2" s="1"/>
  <c r="G276" i="2"/>
  <c r="B276" i="2"/>
  <c r="E276" i="2" s="1"/>
  <c r="F276" i="2" s="1"/>
  <c r="G275" i="2"/>
  <c r="B275" i="2"/>
  <c r="E275" i="2" s="1"/>
  <c r="F275" i="2" s="1"/>
  <c r="G274" i="2"/>
  <c r="B274" i="2"/>
  <c r="E274" i="2" s="1"/>
  <c r="F274" i="2" s="1"/>
  <c r="G273" i="2"/>
  <c r="B273" i="2"/>
  <c r="E273" i="2" s="1"/>
  <c r="F273" i="2" s="1"/>
  <c r="G272" i="2"/>
  <c r="B272" i="2"/>
  <c r="E272" i="2" s="1"/>
  <c r="F272" i="2" s="1"/>
  <c r="G271" i="2"/>
  <c r="B271" i="2"/>
  <c r="E271" i="2" s="1"/>
  <c r="F271" i="2" s="1"/>
  <c r="G270" i="2"/>
  <c r="B270" i="2"/>
  <c r="E270" i="2" s="1"/>
  <c r="F270" i="2" s="1"/>
  <c r="G269" i="2"/>
  <c r="B269" i="2"/>
  <c r="E269" i="2" s="1"/>
  <c r="F269" i="2" s="1"/>
  <c r="G268" i="2"/>
  <c r="B268" i="2"/>
  <c r="E268" i="2" s="1"/>
  <c r="F268" i="2" s="1"/>
  <c r="G267" i="2"/>
  <c r="B267" i="2"/>
  <c r="E267" i="2" s="1"/>
  <c r="F267" i="2" s="1"/>
  <c r="G266" i="2"/>
  <c r="B266" i="2"/>
  <c r="E266" i="2" s="1"/>
  <c r="F266" i="2" s="1"/>
  <c r="G265" i="2"/>
  <c r="B265" i="2"/>
  <c r="E265" i="2" s="1"/>
  <c r="F265" i="2" s="1"/>
  <c r="G264" i="2"/>
  <c r="B264" i="2"/>
  <c r="E264" i="2" s="1"/>
  <c r="F264" i="2" s="1"/>
  <c r="G263" i="2"/>
  <c r="B263" i="2"/>
  <c r="E263" i="2" s="1"/>
  <c r="F263" i="2" s="1"/>
  <c r="G262" i="2"/>
  <c r="B262" i="2"/>
  <c r="E262" i="2" s="1"/>
  <c r="F262" i="2" s="1"/>
  <c r="G261" i="2"/>
  <c r="B261" i="2"/>
  <c r="E261" i="2" s="1"/>
  <c r="F261" i="2" s="1"/>
  <c r="G260" i="2"/>
  <c r="B260" i="2"/>
  <c r="E260" i="2" s="1"/>
  <c r="F260" i="2" s="1"/>
  <c r="G259" i="2"/>
  <c r="B259" i="2"/>
  <c r="E259" i="2" s="1"/>
  <c r="F259" i="2" s="1"/>
  <c r="G258" i="2"/>
  <c r="B258" i="2"/>
  <c r="E258" i="2" s="1"/>
  <c r="F258" i="2" s="1"/>
  <c r="G257" i="2"/>
  <c r="B257" i="2"/>
  <c r="E257" i="2" s="1"/>
  <c r="F257" i="2" s="1"/>
  <c r="G256" i="2"/>
  <c r="B256" i="2"/>
  <c r="E256" i="2" s="1"/>
  <c r="F256" i="2" s="1"/>
  <c r="G255" i="2"/>
  <c r="B255" i="2"/>
  <c r="E255" i="2" s="1"/>
  <c r="F255" i="2" s="1"/>
  <c r="G254" i="2"/>
  <c r="B254" i="2"/>
  <c r="E254" i="2" s="1"/>
  <c r="F254" i="2" s="1"/>
  <c r="G253" i="2"/>
  <c r="B253" i="2"/>
  <c r="E253" i="2" s="1"/>
  <c r="F253" i="2" s="1"/>
  <c r="G252" i="2"/>
  <c r="B252" i="2"/>
  <c r="E252" i="2" s="1"/>
  <c r="F252" i="2" s="1"/>
  <c r="G251" i="2"/>
  <c r="E251" i="2"/>
  <c r="F251" i="2" s="1"/>
  <c r="B251" i="2"/>
  <c r="G250" i="2"/>
  <c r="B250" i="2"/>
  <c r="E250" i="2" s="1"/>
  <c r="F250" i="2" s="1"/>
  <c r="G249" i="2"/>
  <c r="B249" i="2"/>
  <c r="E249" i="2" s="1"/>
  <c r="F249" i="2" s="1"/>
  <c r="G248" i="2"/>
  <c r="B248" i="2"/>
  <c r="E248" i="2" s="1"/>
  <c r="F248" i="2" s="1"/>
  <c r="G247" i="2"/>
  <c r="B247" i="2"/>
  <c r="E247" i="2" s="1"/>
  <c r="F247" i="2" s="1"/>
  <c r="G246" i="2"/>
  <c r="B246" i="2"/>
  <c r="E246" i="2" s="1"/>
  <c r="F246" i="2" s="1"/>
  <c r="G245" i="2"/>
  <c r="B245" i="2"/>
  <c r="E245" i="2" s="1"/>
  <c r="F245" i="2" s="1"/>
  <c r="G244" i="2"/>
  <c r="B244" i="2"/>
  <c r="E244" i="2" s="1"/>
  <c r="F244" i="2" s="1"/>
  <c r="G243" i="2"/>
  <c r="E243" i="2"/>
  <c r="F243" i="2" s="1"/>
  <c r="B243" i="2"/>
  <c r="G242" i="2"/>
  <c r="B242" i="2"/>
  <c r="E242" i="2" s="1"/>
  <c r="F242" i="2" s="1"/>
  <c r="G241" i="2"/>
  <c r="B241" i="2"/>
  <c r="E241" i="2" s="1"/>
  <c r="F241" i="2" s="1"/>
  <c r="G240" i="2"/>
  <c r="B240" i="2"/>
  <c r="E240" i="2" s="1"/>
  <c r="F240" i="2" s="1"/>
  <c r="G239" i="2"/>
  <c r="E239" i="2"/>
  <c r="F239" i="2" s="1"/>
  <c r="B239" i="2"/>
  <c r="G238" i="2"/>
  <c r="B238" i="2"/>
  <c r="E238" i="2" s="1"/>
  <c r="F238" i="2" s="1"/>
  <c r="G237" i="2"/>
  <c r="B237" i="2"/>
  <c r="E237" i="2" s="1"/>
  <c r="F237" i="2" s="1"/>
  <c r="G236" i="2"/>
  <c r="B236" i="2"/>
  <c r="E236" i="2" s="1"/>
  <c r="F236" i="2" s="1"/>
  <c r="G235" i="2"/>
  <c r="E235" i="2"/>
  <c r="F235" i="2" s="1"/>
  <c r="B235" i="2"/>
  <c r="G234" i="2"/>
  <c r="B234" i="2"/>
  <c r="E234" i="2" s="1"/>
  <c r="F234" i="2" s="1"/>
  <c r="G233" i="2"/>
  <c r="B233" i="2"/>
  <c r="E233" i="2" s="1"/>
  <c r="F233" i="2" s="1"/>
  <c r="G232" i="2"/>
  <c r="B232" i="2"/>
  <c r="E232" i="2" s="1"/>
  <c r="F232" i="2" s="1"/>
  <c r="G231" i="2"/>
  <c r="B231" i="2"/>
  <c r="E231" i="2" s="1"/>
  <c r="F231" i="2" s="1"/>
  <c r="G230" i="2"/>
  <c r="E230" i="2"/>
  <c r="F230" i="2" s="1"/>
  <c r="B230" i="2"/>
  <c r="G229" i="2"/>
  <c r="B229" i="2"/>
  <c r="E229" i="2" s="1"/>
  <c r="F229" i="2" s="1"/>
  <c r="G228" i="2"/>
  <c r="B228" i="2"/>
  <c r="E228" i="2" s="1"/>
  <c r="F228" i="2" s="1"/>
  <c r="G227" i="2"/>
  <c r="B227" i="2"/>
  <c r="E227" i="2" s="1"/>
  <c r="F227" i="2" s="1"/>
  <c r="G226" i="2"/>
  <c r="B226" i="2"/>
  <c r="E226" i="2" s="1"/>
  <c r="F226" i="2" s="1"/>
  <c r="G225" i="2"/>
  <c r="B225" i="2"/>
  <c r="E225" i="2" s="1"/>
  <c r="F225" i="2" s="1"/>
  <c r="G224" i="2"/>
  <c r="B224" i="2"/>
  <c r="E224" i="2" s="1"/>
  <c r="F224" i="2" s="1"/>
  <c r="G223" i="2"/>
  <c r="B223" i="2"/>
  <c r="E223" i="2" s="1"/>
  <c r="F223" i="2" s="1"/>
  <c r="G222" i="2"/>
  <c r="B222" i="2"/>
  <c r="E222" i="2" s="1"/>
  <c r="F222" i="2" s="1"/>
  <c r="G221" i="2"/>
  <c r="B221" i="2"/>
  <c r="E221" i="2" s="1"/>
  <c r="F221" i="2" s="1"/>
  <c r="G220" i="2"/>
  <c r="B220" i="2"/>
  <c r="E220" i="2" s="1"/>
  <c r="F220" i="2" s="1"/>
  <c r="G219" i="2"/>
  <c r="B219" i="2"/>
  <c r="E219" i="2" s="1"/>
  <c r="F219" i="2" s="1"/>
  <c r="G218" i="2"/>
  <c r="B218" i="2"/>
  <c r="E218" i="2" s="1"/>
  <c r="F218" i="2" s="1"/>
  <c r="G217" i="2"/>
  <c r="B217" i="2"/>
  <c r="E217" i="2" s="1"/>
  <c r="F217" i="2" s="1"/>
  <c r="G216" i="2"/>
  <c r="B216" i="2"/>
  <c r="E216" i="2" s="1"/>
  <c r="F216" i="2" s="1"/>
  <c r="G215" i="2"/>
  <c r="B215" i="2"/>
  <c r="E215" i="2" s="1"/>
  <c r="F215" i="2" s="1"/>
  <c r="G214" i="2"/>
  <c r="B214" i="2"/>
  <c r="E214" i="2" s="1"/>
  <c r="F214" i="2" s="1"/>
  <c r="G213" i="2"/>
  <c r="B213" i="2"/>
  <c r="E213" i="2" s="1"/>
  <c r="F213" i="2" s="1"/>
  <c r="G212" i="2"/>
  <c r="B212" i="2"/>
  <c r="E212" i="2" s="1"/>
  <c r="F212" i="2" s="1"/>
  <c r="G211" i="2"/>
  <c r="B211" i="2"/>
  <c r="E211" i="2" s="1"/>
  <c r="F211" i="2" s="1"/>
  <c r="G210" i="2"/>
  <c r="B210" i="2"/>
  <c r="E210" i="2" s="1"/>
  <c r="F210" i="2" s="1"/>
  <c r="G209" i="2"/>
  <c r="B209" i="2"/>
  <c r="E209" i="2" s="1"/>
  <c r="F209" i="2" s="1"/>
  <c r="G208" i="2"/>
  <c r="B208" i="2"/>
  <c r="E208" i="2" s="1"/>
  <c r="F208" i="2" s="1"/>
  <c r="G207" i="2"/>
  <c r="B207" i="2"/>
  <c r="E207" i="2" s="1"/>
  <c r="F207" i="2" s="1"/>
  <c r="G206" i="2"/>
  <c r="B206" i="2"/>
  <c r="E206" i="2" s="1"/>
  <c r="F206" i="2" s="1"/>
  <c r="G205" i="2"/>
  <c r="B205" i="2"/>
  <c r="E205" i="2" s="1"/>
  <c r="F205" i="2" s="1"/>
  <c r="G204" i="2"/>
  <c r="B204" i="2"/>
  <c r="E204" i="2" s="1"/>
  <c r="F204" i="2" s="1"/>
  <c r="G203" i="2"/>
  <c r="B203" i="2"/>
  <c r="E203" i="2" s="1"/>
  <c r="F203" i="2" s="1"/>
  <c r="G202" i="2"/>
  <c r="B202" i="2"/>
  <c r="E202" i="2" s="1"/>
  <c r="F202" i="2" s="1"/>
  <c r="G201" i="2"/>
  <c r="B201" i="2"/>
  <c r="E201" i="2" s="1"/>
  <c r="F201" i="2" s="1"/>
  <c r="G200" i="2"/>
  <c r="B200" i="2"/>
  <c r="E200" i="2" s="1"/>
  <c r="F200" i="2" s="1"/>
  <c r="G199" i="2"/>
  <c r="B199" i="2"/>
  <c r="E199" i="2" s="1"/>
  <c r="F199" i="2" s="1"/>
  <c r="G198" i="2"/>
  <c r="B198" i="2"/>
  <c r="E198" i="2" s="1"/>
  <c r="F198" i="2" s="1"/>
  <c r="G197" i="2"/>
  <c r="B197" i="2"/>
  <c r="E197" i="2" s="1"/>
  <c r="F197" i="2" s="1"/>
  <c r="G196" i="2"/>
  <c r="B196" i="2"/>
  <c r="E196" i="2" s="1"/>
  <c r="F196" i="2" s="1"/>
  <c r="G195" i="2"/>
  <c r="B195" i="2"/>
  <c r="E195" i="2" s="1"/>
  <c r="F195" i="2" s="1"/>
  <c r="G194" i="2"/>
  <c r="B194" i="2"/>
  <c r="E194" i="2" s="1"/>
  <c r="F194" i="2" s="1"/>
  <c r="G193" i="2"/>
  <c r="B193" i="2"/>
  <c r="E193" i="2" s="1"/>
  <c r="F193" i="2" s="1"/>
  <c r="G192" i="2"/>
  <c r="B192" i="2"/>
  <c r="E192" i="2" s="1"/>
  <c r="F192" i="2" s="1"/>
  <c r="G191" i="2"/>
  <c r="B191" i="2"/>
  <c r="E191" i="2" s="1"/>
  <c r="F191" i="2" s="1"/>
  <c r="G190" i="2"/>
  <c r="B190" i="2"/>
  <c r="E190" i="2" s="1"/>
  <c r="F190" i="2" s="1"/>
  <c r="G189" i="2"/>
  <c r="B189" i="2"/>
  <c r="E189" i="2" s="1"/>
  <c r="F189" i="2" s="1"/>
  <c r="G188" i="2"/>
  <c r="B188" i="2"/>
  <c r="E188" i="2" s="1"/>
  <c r="F188" i="2" s="1"/>
  <c r="G187" i="2"/>
  <c r="B187" i="2"/>
  <c r="E187" i="2" s="1"/>
  <c r="F187" i="2" s="1"/>
  <c r="G186" i="2"/>
  <c r="B186" i="2"/>
  <c r="E186" i="2" s="1"/>
  <c r="F186" i="2" s="1"/>
  <c r="G185" i="2"/>
  <c r="B185" i="2"/>
  <c r="E185" i="2" s="1"/>
  <c r="F185" i="2" s="1"/>
  <c r="G184" i="2"/>
  <c r="B184" i="2"/>
  <c r="E184" i="2" s="1"/>
  <c r="F184" i="2" s="1"/>
  <c r="G183" i="2"/>
  <c r="B183" i="2"/>
  <c r="E183" i="2" s="1"/>
  <c r="F183" i="2" s="1"/>
  <c r="G182" i="2"/>
  <c r="B182" i="2"/>
  <c r="E182" i="2" s="1"/>
  <c r="F182" i="2" s="1"/>
  <c r="G181" i="2"/>
  <c r="B181" i="2"/>
  <c r="E181" i="2" s="1"/>
  <c r="F181" i="2" s="1"/>
  <c r="G180" i="2"/>
  <c r="B180" i="2"/>
  <c r="E180" i="2" s="1"/>
  <c r="F180" i="2" s="1"/>
  <c r="G179" i="2"/>
  <c r="B179" i="2"/>
  <c r="E179" i="2" s="1"/>
  <c r="F179" i="2" s="1"/>
  <c r="G178" i="2"/>
  <c r="B178" i="2"/>
  <c r="E178" i="2" s="1"/>
  <c r="F178" i="2" s="1"/>
  <c r="G177" i="2"/>
  <c r="B177" i="2"/>
  <c r="E177" i="2" s="1"/>
  <c r="F177" i="2" s="1"/>
  <c r="G176" i="2"/>
  <c r="B176" i="2"/>
  <c r="E176" i="2" s="1"/>
  <c r="F176" i="2" s="1"/>
  <c r="G175" i="2"/>
  <c r="B175" i="2"/>
  <c r="E175" i="2" s="1"/>
  <c r="F175" i="2" s="1"/>
  <c r="G174" i="2"/>
  <c r="B174" i="2"/>
  <c r="E174" i="2" s="1"/>
  <c r="F174" i="2" s="1"/>
  <c r="G173" i="2"/>
  <c r="B173" i="2"/>
  <c r="E173" i="2" s="1"/>
  <c r="F173" i="2" s="1"/>
  <c r="G172" i="2"/>
  <c r="B172" i="2"/>
  <c r="E172" i="2" s="1"/>
  <c r="F172" i="2" s="1"/>
  <c r="G171" i="2"/>
  <c r="B171" i="2"/>
  <c r="E171" i="2" s="1"/>
  <c r="F171" i="2" s="1"/>
  <c r="G170" i="2"/>
  <c r="B170" i="2"/>
  <c r="E170" i="2" s="1"/>
  <c r="F170" i="2" s="1"/>
  <c r="G169" i="2"/>
  <c r="B169" i="2"/>
  <c r="E169" i="2" s="1"/>
  <c r="F169" i="2" s="1"/>
  <c r="G168" i="2"/>
  <c r="B168" i="2"/>
  <c r="E168" i="2" s="1"/>
  <c r="F168" i="2" s="1"/>
  <c r="G167" i="2"/>
  <c r="B167" i="2"/>
  <c r="E167" i="2" s="1"/>
  <c r="F167" i="2" s="1"/>
  <c r="G166" i="2"/>
  <c r="B166" i="2"/>
  <c r="E166" i="2" s="1"/>
  <c r="F166" i="2" s="1"/>
  <c r="G165" i="2"/>
  <c r="B165" i="2"/>
  <c r="E165" i="2" s="1"/>
  <c r="F165" i="2" s="1"/>
  <c r="G164" i="2"/>
  <c r="B164" i="2"/>
  <c r="E164" i="2" s="1"/>
  <c r="F164" i="2" s="1"/>
  <c r="G163" i="2"/>
  <c r="B163" i="2"/>
  <c r="E163" i="2" s="1"/>
  <c r="F163" i="2" s="1"/>
  <c r="G162" i="2"/>
  <c r="B162" i="2"/>
  <c r="E162" i="2" s="1"/>
  <c r="F162" i="2" s="1"/>
  <c r="G161" i="2"/>
  <c r="B161" i="2"/>
  <c r="E161" i="2" s="1"/>
  <c r="F161" i="2" s="1"/>
  <c r="G160" i="2"/>
  <c r="B160" i="2"/>
  <c r="E160" i="2" s="1"/>
  <c r="F160" i="2" s="1"/>
  <c r="G159" i="2"/>
  <c r="B159" i="2"/>
  <c r="E159" i="2" s="1"/>
  <c r="F159" i="2" s="1"/>
  <c r="G158" i="2"/>
  <c r="B158" i="2"/>
  <c r="E158" i="2" s="1"/>
  <c r="F158" i="2" s="1"/>
  <c r="G157" i="2"/>
  <c r="B157" i="2"/>
  <c r="E157" i="2" s="1"/>
  <c r="F157" i="2" s="1"/>
  <c r="G156" i="2"/>
  <c r="B156" i="2"/>
  <c r="E156" i="2" s="1"/>
  <c r="F156" i="2" s="1"/>
  <c r="G155" i="2"/>
  <c r="B155" i="2"/>
  <c r="E155" i="2" s="1"/>
  <c r="F155" i="2" s="1"/>
  <c r="G154" i="2"/>
  <c r="B154" i="2"/>
  <c r="E154" i="2" s="1"/>
  <c r="F154" i="2" s="1"/>
  <c r="G153" i="2"/>
  <c r="B153" i="2"/>
  <c r="E153" i="2" s="1"/>
  <c r="F153" i="2" s="1"/>
  <c r="G152" i="2"/>
  <c r="B152" i="2"/>
  <c r="E152" i="2" s="1"/>
  <c r="F152" i="2" s="1"/>
  <c r="G151" i="2"/>
  <c r="B151" i="2"/>
  <c r="E151" i="2" s="1"/>
  <c r="F151" i="2" s="1"/>
  <c r="G150" i="2"/>
  <c r="B150" i="2"/>
  <c r="E150" i="2" s="1"/>
  <c r="F150" i="2" s="1"/>
  <c r="G149" i="2"/>
  <c r="B149" i="2"/>
  <c r="E149" i="2" s="1"/>
  <c r="F149" i="2" s="1"/>
  <c r="G148" i="2"/>
  <c r="B148" i="2"/>
  <c r="E148" i="2" s="1"/>
  <c r="F148" i="2" s="1"/>
  <c r="G147" i="2"/>
  <c r="B147" i="2"/>
  <c r="E147" i="2" s="1"/>
  <c r="F147" i="2" s="1"/>
  <c r="G146" i="2"/>
  <c r="B146" i="2"/>
  <c r="E146" i="2" s="1"/>
  <c r="F146" i="2" s="1"/>
  <c r="G145" i="2"/>
  <c r="B145" i="2"/>
  <c r="E145" i="2" s="1"/>
  <c r="F145" i="2" s="1"/>
  <c r="G144" i="2"/>
  <c r="B144" i="2"/>
  <c r="E144" i="2" s="1"/>
  <c r="F144" i="2" s="1"/>
  <c r="G143" i="2"/>
  <c r="B143" i="2"/>
  <c r="E143" i="2" s="1"/>
  <c r="F143" i="2" s="1"/>
  <c r="G142" i="2"/>
  <c r="B142" i="2"/>
  <c r="E142" i="2" s="1"/>
  <c r="F142" i="2" s="1"/>
  <c r="G141" i="2"/>
  <c r="B141" i="2"/>
  <c r="E141" i="2" s="1"/>
  <c r="F141" i="2" s="1"/>
  <c r="G140" i="2"/>
  <c r="B140" i="2"/>
  <c r="E140" i="2" s="1"/>
  <c r="F140" i="2" s="1"/>
  <c r="G139" i="2"/>
  <c r="B139" i="2"/>
  <c r="E139" i="2" s="1"/>
  <c r="F139" i="2" s="1"/>
  <c r="G138" i="2"/>
  <c r="B138" i="2"/>
  <c r="E138" i="2" s="1"/>
  <c r="F138" i="2" s="1"/>
  <c r="G137" i="2"/>
  <c r="B137" i="2"/>
  <c r="E137" i="2" s="1"/>
  <c r="F137" i="2" s="1"/>
  <c r="G136" i="2"/>
  <c r="B136" i="2"/>
  <c r="E136" i="2" s="1"/>
  <c r="F136" i="2" s="1"/>
  <c r="G135" i="2"/>
  <c r="B135" i="2"/>
  <c r="E135" i="2" s="1"/>
  <c r="F135" i="2" s="1"/>
  <c r="G134" i="2"/>
  <c r="B134" i="2"/>
  <c r="E134" i="2" s="1"/>
  <c r="F134" i="2" s="1"/>
  <c r="G133" i="2"/>
  <c r="B133" i="2"/>
  <c r="E133" i="2" s="1"/>
  <c r="F133" i="2" s="1"/>
  <c r="G132" i="2"/>
  <c r="B132" i="2"/>
  <c r="E132" i="2" s="1"/>
  <c r="F132" i="2" s="1"/>
  <c r="G131" i="2"/>
  <c r="B131" i="2"/>
  <c r="E131" i="2" s="1"/>
  <c r="F131" i="2" s="1"/>
  <c r="G130" i="2"/>
  <c r="B130" i="2"/>
  <c r="E130" i="2" s="1"/>
  <c r="F130" i="2" s="1"/>
  <c r="G129" i="2"/>
  <c r="B129" i="2"/>
  <c r="E129" i="2" s="1"/>
  <c r="F129" i="2" s="1"/>
  <c r="G128" i="2"/>
  <c r="B128" i="2"/>
  <c r="E128" i="2" s="1"/>
  <c r="F128" i="2" s="1"/>
  <c r="G127" i="2"/>
  <c r="B127" i="2"/>
  <c r="E127" i="2" s="1"/>
  <c r="F127" i="2" s="1"/>
  <c r="G126" i="2"/>
  <c r="B126" i="2"/>
  <c r="E126" i="2" s="1"/>
  <c r="F126" i="2" s="1"/>
  <c r="G125" i="2"/>
  <c r="B125" i="2"/>
  <c r="E125" i="2" s="1"/>
  <c r="F125" i="2" s="1"/>
  <c r="G124" i="2"/>
  <c r="B124" i="2"/>
  <c r="E124" i="2" s="1"/>
  <c r="F124" i="2" s="1"/>
  <c r="G123" i="2"/>
  <c r="B123" i="2"/>
  <c r="E123" i="2" s="1"/>
  <c r="F123" i="2" s="1"/>
  <c r="G122" i="2"/>
  <c r="B122" i="2"/>
  <c r="E122" i="2" s="1"/>
  <c r="F122" i="2" s="1"/>
  <c r="G121" i="2"/>
  <c r="B121" i="2"/>
  <c r="E121" i="2" s="1"/>
  <c r="F121" i="2" s="1"/>
  <c r="G120" i="2"/>
  <c r="B120" i="2"/>
  <c r="E120" i="2" s="1"/>
  <c r="F120" i="2" s="1"/>
  <c r="G119" i="2"/>
  <c r="B119" i="2"/>
  <c r="E119" i="2" s="1"/>
  <c r="F119" i="2" s="1"/>
  <c r="G118" i="2"/>
  <c r="B118" i="2"/>
  <c r="E118" i="2" s="1"/>
  <c r="F118" i="2" s="1"/>
  <c r="G117" i="2"/>
  <c r="B117" i="2"/>
  <c r="E117" i="2" s="1"/>
  <c r="F117" i="2" s="1"/>
  <c r="G116" i="2"/>
  <c r="B116" i="2"/>
  <c r="E116" i="2" s="1"/>
  <c r="F116" i="2" s="1"/>
  <c r="G115" i="2"/>
  <c r="B115" i="2"/>
  <c r="E115" i="2" s="1"/>
  <c r="F115" i="2" s="1"/>
  <c r="G114" i="2"/>
  <c r="B114" i="2"/>
  <c r="E114" i="2" s="1"/>
  <c r="F114" i="2" s="1"/>
  <c r="G113" i="2"/>
  <c r="B113" i="2"/>
  <c r="E113" i="2" s="1"/>
  <c r="F113" i="2" s="1"/>
  <c r="G112" i="2"/>
  <c r="B112" i="2"/>
  <c r="E112" i="2" s="1"/>
  <c r="F112" i="2" s="1"/>
  <c r="G111" i="2"/>
  <c r="B111" i="2"/>
  <c r="E111" i="2" s="1"/>
  <c r="F111" i="2" s="1"/>
  <c r="G110" i="2"/>
  <c r="B110" i="2"/>
  <c r="E110" i="2" s="1"/>
  <c r="F110" i="2" s="1"/>
  <c r="G109" i="2"/>
  <c r="B109" i="2"/>
  <c r="E109" i="2" s="1"/>
  <c r="F109" i="2" s="1"/>
  <c r="G108" i="2"/>
  <c r="B108" i="2"/>
  <c r="E108" i="2" s="1"/>
  <c r="F108" i="2" s="1"/>
  <c r="G107" i="2"/>
  <c r="B107" i="2"/>
  <c r="E107" i="2" s="1"/>
  <c r="F107" i="2" s="1"/>
  <c r="G106" i="2"/>
  <c r="B106" i="2"/>
  <c r="E106" i="2" s="1"/>
  <c r="F106" i="2" s="1"/>
  <c r="G105" i="2"/>
  <c r="B105" i="2"/>
  <c r="E105" i="2" s="1"/>
  <c r="F105" i="2" s="1"/>
  <c r="G104" i="2"/>
  <c r="B104" i="2"/>
  <c r="E104" i="2" s="1"/>
  <c r="F104" i="2" s="1"/>
  <c r="G103" i="2"/>
  <c r="B103" i="2"/>
  <c r="E103" i="2" s="1"/>
  <c r="F103" i="2" s="1"/>
  <c r="G102" i="2"/>
  <c r="B102" i="2"/>
  <c r="E102" i="2" s="1"/>
  <c r="F102" i="2" s="1"/>
  <c r="G101" i="2"/>
  <c r="B101" i="2"/>
  <c r="E101" i="2" s="1"/>
  <c r="F101" i="2" s="1"/>
  <c r="G100" i="2"/>
  <c r="B100" i="2"/>
  <c r="E100" i="2" s="1"/>
  <c r="F100" i="2" s="1"/>
  <c r="G99" i="2"/>
  <c r="B99" i="2"/>
  <c r="E99" i="2" s="1"/>
  <c r="F99" i="2" s="1"/>
  <c r="G98" i="2"/>
  <c r="B98" i="2"/>
  <c r="E98" i="2" s="1"/>
  <c r="F98" i="2" s="1"/>
  <c r="G97" i="2"/>
  <c r="B97" i="2"/>
  <c r="E97" i="2" s="1"/>
  <c r="F97" i="2" s="1"/>
  <c r="G96" i="2"/>
  <c r="B96" i="2"/>
  <c r="E96" i="2" s="1"/>
  <c r="F96" i="2" s="1"/>
  <c r="G95" i="2"/>
  <c r="B95" i="2"/>
  <c r="E95" i="2" s="1"/>
  <c r="F95" i="2" s="1"/>
  <c r="G94" i="2"/>
  <c r="B94" i="2"/>
  <c r="E94" i="2" s="1"/>
  <c r="F94" i="2" s="1"/>
  <c r="G93" i="2"/>
  <c r="B93" i="2"/>
  <c r="E93" i="2" s="1"/>
  <c r="F93" i="2" s="1"/>
  <c r="G92" i="2"/>
  <c r="B92" i="2"/>
  <c r="E92" i="2" s="1"/>
  <c r="F92" i="2" s="1"/>
  <c r="G91" i="2"/>
  <c r="B91" i="2"/>
  <c r="E91" i="2" s="1"/>
  <c r="F91" i="2" s="1"/>
  <c r="G90" i="2"/>
  <c r="B90" i="2"/>
  <c r="E90" i="2" s="1"/>
  <c r="F90" i="2" s="1"/>
  <c r="G89" i="2"/>
  <c r="B89" i="2"/>
  <c r="E89" i="2" s="1"/>
  <c r="F89" i="2" s="1"/>
  <c r="G88" i="2"/>
  <c r="B88" i="2"/>
  <c r="E88" i="2" s="1"/>
  <c r="F88" i="2" s="1"/>
  <c r="G87" i="2"/>
  <c r="B87" i="2"/>
  <c r="E87" i="2" s="1"/>
  <c r="F87" i="2" s="1"/>
  <c r="G86" i="2"/>
  <c r="B86" i="2"/>
  <c r="E86" i="2" s="1"/>
  <c r="F86" i="2" s="1"/>
  <c r="G85" i="2"/>
  <c r="B85" i="2"/>
  <c r="E85" i="2" s="1"/>
  <c r="F85" i="2" s="1"/>
  <c r="G84" i="2"/>
  <c r="B84" i="2"/>
  <c r="E84" i="2" s="1"/>
  <c r="F84" i="2" s="1"/>
  <c r="G83" i="2"/>
  <c r="B83" i="2"/>
  <c r="E83" i="2" s="1"/>
  <c r="F83" i="2" s="1"/>
  <c r="G82" i="2"/>
  <c r="B82" i="2"/>
  <c r="E82" i="2" s="1"/>
  <c r="F82" i="2" s="1"/>
  <c r="G81" i="2"/>
  <c r="B81" i="2"/>
  <c r="E81" i="2" s="1"/>
  <c r="F81" i="2" s="1"/>
  <c r="G80" i="2"/>
  <c r="B80" i="2"/>
  <c r="E80" i="2" s="1"/>
  <c r="F80" i="2" s="1"/>
  <c r="G79" i="2"/>
  <c r="B79" i="2"/>
  <c r="E79" i="2" s="1"/>
  <c r="F79" i="2" s="1"/>
  <c r="G78" i="2"/>
  <c r="B78" i="2"/>
  <c r="E78" i="2" s="1"/>
  <c r="F78" i="2" s="1"/>
  <c r="G77" i="2"/>
  <c r="B77" i="2"/>
  <c r="E77" i="2" s="1"/>
  <c r="F77" i="2" s="1"/>
  <c r="G76" i="2"/>
  <c r="B76" i="2"/>
  <c r="E76" i="2" s="1"/>
  <c r="F76" i="2" s="1"/>
  <c r="G75" i="2"/>
  <c r="B75" i="2"/>
  <c r="E75" i="2" s="1"/>
  <c r="F75" i="2" s="1"/>
  <c r="G74" i="2"/>
  <c r="B74" i="2"/>
  <c r="E74" i="2" s="1"/>
  <c r="F74" i="2" s="1"/>
  <c r="G73" i="2"/>
  <c r="B73" i="2"/>
  <c r="E73" i="2" s="1"/>
  <c r="F73" i="2" s="1"/>
  <c r="G72" i="2"/>
  <c r="B72" i="2"/>
  <c r="E72" i="2" s="1"/>
  <c r="F72" i="2" s="1"/>
  <c r="G71" i="2"/>
  <c r="B71" i="2"/>
  <c r="E71" i="2" s="1"/>
  <c r="F71" i="2" s="1"/>
  <c r="G70" i="2"/>
  <c r="B70" i="2"/>
  <c r="E70" i="2" s="1"/>
  <c r="F70" i="2" s="1"/>
  <c r="G69" i="2"/>
  <c r="B69" i="2"/>
  <c r="E69" i="2" s="1"/>
  <c r="F69" i="2" s="1"/>
  <c r="G68" i="2"/>
  <c r="B68" i="2"/>
  <c r="E68" i="2" s="1"/>
  <c r="F68" i="2" s="1"/>
  <c r="G67" i="2"/>
  <c r="B67" i="2"/>
  <c r="E67" i="2" s="1"/>
  <c r="F67" i="2" s="1"/>
  <c r="G66" i="2"/>
  <c r="B66" i="2"/>
  <c r="E66" i="2" s="1"/>
  <c r="F66" i="2" s="1"/>
  <c r="G65" i="2"/>
  <c r="B65" i="2"/>
  <c r="E65" i="2" s="1"/>
  <c r="F65" i="2" s="1"/>
  <c r="G64" i="2"/>
  <c r="B64" i="2"/>
  <c r="E64" i="2" s="1"/>
  <c r="F64" i="2" s="1"/>
  <c r="G63" i="2"/>
  <c r="B63" i="2"/>
  <c r="E63" i="2" s="1"/>
  <c r="F63" i="2" s="1"/>
  <c r="G62" i="2"/>
  <c r="B62" i="2"/>
  <c r="E62" i="2" s="1"/>
  <c r="F62" i="2" s="1"/>
  <c r="G61" i="2"/>
  <c r="B61" i="2"/>
  <c r="E61" i="2" s="1"/>
  <c r="F61" i="2" s="1"/>
  <c r="G60" i="2"/>
  <c r="B60" i="2"/>
  <c r="E60" i="2" s="1"/>
  <c r="F60" i="2" s="1"/>
  <c r="G59" i="2"/>
  <c r="B59" i="2"/>
  <c r="E59" i="2" s="1"/>
  <c r="F59" i="2" s="1"/>
  <c r="G58" i="2"/>
  <c r="B58" i="2"/>
  <c r="E58" i="2" s="1"/>
  <c r="F58" i="2" s="1"/>
  <c r="G57" i="2"/>
  <c r="B57" i="2"/>
  <c r="E57" i="2" s="1"/>
  <c r="F57" i="2" s="1"/>
  <c r="G56" i="2"/>
  <c r="B56" i="2"/>
  <c r="E56" i="2" s="1"/>
  <c r="F56" i="2" s="1"/>
  <c r="G55" i="2"/>
  <c r="B55" i="2"/>
  <c r="E55" i="2" s="1"/>
  <c r="F55" i="2" s="1"/>
  <c r="G54" i="2"/>
  <c r="B54" i="2"/>
  <c r="E54" i="2" s="1"/>
  <c r="F54" i="2" s="1"/>
  <c r="G53" i="2"/>
  <c r="B53" i="2"/>
  <c r="E53" i="2" s="1"/>
  <c r="F53" i="2" s="1"/>
  <c r="G52" i="2"/>
  <c r="B52" i="2"/>
  <c r="E52" i="2" s="1"/>
  <c r="F52" i="2" s="1"/>
  <c r="G51" i="2"/>
  <c r="B51" i="2"/>
  <c r="E51" i="2" s="1"/>
  <c r="F51" i="2" s="1"/>
  <c r="G50" i="2"/>
  <c r="B50" i="2"/>
  <c r="E50" i="2" s="1"/>
  <c r="F50" i="2" s="1"/>
  <c r="G49" i="2"/>
  <c r="B49" i="2"/>
  <c r="E49" i="2" s="1"/>
  <c r="F49" i="2" s="1"/>
  <c r="G48" i="2"/>
  <c r="B48" i="2"/>
  <c r="E48" i="2" s="1"/>
  <c r="F48" i="2" s="1"/>
  <c r="G47" i="2"/>
  <c r="B47" i="2"/>
  <c r="E47" i="2" s="1"/>
  <c r="F47" i="2" s="1"/>
  <c r="G46" i="2"/>
  <c r="B46" i="2"/>
  <c r="E46" i="2" s="1"/>
  <c r="F46" i="2" s="1"/>
  <c r="G45" i="2"/>
  <c r="B45" i="2"/>
  <c r="E45" i="2" s="1"/>
  <c r="F45" i="2" s="1"/>
  <c r="G44" i="2"/>
  <c r="B44" i="2"/>
  <c r="E44" i="2" s="1"/>
  <c r="F44" i="2" s="1"/>
  <c r="G43" i="2"/>
  <c r="B43" i="2"/>
  <c r="E43" i="2" s="1"/>
  <c r="F43" i="2" s="1"/>
  <c r="G42" i="2"/>
  <c r="B42" i="2"/>
  <c r="E42" i="2" s="1"/>
  <c r="F42" i="2" s="1"/>
  <c r="G41" i="2"/>
  <c r="B41" i="2"/>
  <c r="E41" i="2" s="1"/>
  <c r="F41" i="2" s="1"/>
  <c r="G40" i="2"/>
  <c r="B40" i="2"/>
  <c r="E40" i="2" s="1"/>
  <c r="F40" i="2" s="1"/>
  <c r="G39" i="2"/>
  <c r="B39" i="2"/>
  <c r="E39" i="2" s="1"/>
  <c r="F39" i="2" s="1"/>
  <c r="G38" i="2"/>
  <c r="B38" i="2"/>
  <c r="E38" i="2" s="1"/>
  <c r="F38" i="2" s="1"/>
  <c r="G37" i="2"/>
  <c r="B37" i="2"/>
  <c r="E37" i="2" s="1"/>
  <c r="F37" i="2" s="1"/>
  <c r="G36" i="2"/>
  <c r="B36" i="2"/>
  <c r="E36" i="2" s="1"/>
  <c r="F36" i="2" s="1"/>
  <c r="G35" i="2"/>
  <c r="B35" i="2"/>
  <c r="E35" i="2" s="1"/>
  <c r="F35" i="2" s="1"/>
  <c r="G34" i="2"/>
  <c r="B34" i="2"/>
  <c r="E34" i="2" s="1"/>
  <c r="F34" i="2" s="1"/>
  <c r="G33" i="2"/>
  <c r="B33" i="2"/>
  <c r="E33" i="2" s="1"/>
  <c r="F33" i="2" s="1"/>
  <c r="G32" i="2"/>
  <c r="B32" i="2"/>
  <c r="E32" i="2" s="1"/>
  <c r="F32" i="2" s="1"/>
  <c r="G31" i="2"/>
  <c r="B31" i="2"/>
  <c r="E31" i="2" s="1"/>
  <c r="F31" i="2" s="1"/>
  <c r="G30" i="2"/>
  <c r="B30" i="2"/>
  <c r="E30" i="2" s="1"/>
  <c r="F30" i="2" s="1"/>
  <c r="G29" i="2"/>
  <c r="B29" i="2"/>
  <c r="E29" i="2" s="1"/>
  <c r="F29" i="2" s="1"/>
  <c r="G28" i="2"/>
  <c r="B28" i="2"/>
  <c r="E28" i="2" s="1"/>
  <c r="F28" i="2" s="1"/>
  <c r="G27" i="2"/>
  <c r="B27" i="2"/>
  <c r="E27" i="2" s="1"/>
  <c r="F27" i="2" s="1"/>
  <c r="G26" i="2"/>
  <c r="B26" i="2"/>
  <c r="E26" i="2" s="1"/>
  <c r="F26" i="2" s="1"/>
  <c r="G25" i="2"/>
  <c r="B25" i="2"/>
  <c r="E25" i="2" s="1"/>
  <c r="F25" i="2" s="1"/>
  <c r="G24" i="2"/>
  <c r="B24" i="2"/>
  <c r="E24" i="2" s="1"/>
  <c r="F24" i="2" s="1"/>
  <c r="G23" i="2"/>
  <c r="B23" i="2"/>
  <c r="E23" i="2" s="1"/>
  <c r="F23" i="2" s="1"/>
  <c r="G22" i="2"/>
  <c r="B22" i="2"/>
  <c r="E22" i="2" s="1"/>
  <c r="F22" i="2" s="1"/>
  <c r="G21" i="2"/>
  <c r="B21" i="2"/>
  <c r="E21" i="2" s="1"/>
  <c r="F21" i="2" s="1"/>
  <c r="G20" i="2"/>
  <c r="B20" i="2"/>
  <c r="E20" i="2" s="1"/>
  <c r="F20" i="2" s="1"/>
  <c r="G19" i="2"/>
  <c r="B19" i="2"/>
  <c r="E19" i="2" s="1"/>
  <c r="F19" i="2" s="1"/>
  <c r="G18" i="2"/>
  <c r="B18" i="2"/>
  <c r="E18" i="2" s="1"/>
  <c r="F18" i="2" s="1"/>
  <c r="G17" i="2"/>
  <c r="B17" i="2"/>
  <c r="E17" i="2" s="1"/>
  <c r="F17" i="2" s="1"/>
  <c r="G16" i="2"/>
  <c r="B16" i="2"/>
  <c r="E16" i="2" s="1"/>
  <c r="F16" i="2" s="1"/>
  <c r="G15" i="2"/>
  <c r="B15" i="2"/>
  <c r="E15" i="2" s="1"/>
  <c r="F15" i="2" s="1"/>
  <c r="G14" i="2"/>
  <c r="B14" i="2"/>
  <c r="E14" i="2" s="1"/>
  <c r="F14" i="2" s="1"/>
  <c r="G13" i="2"/>
  <c r="B13" i="2"/>
  <c r="E13" i="2" s="1"/>
  <c r="F13" i="2" s="1"/>
  <c r="G12" i="2"/>
  <c r="B12" i="2"/>
  <c r="E12" i="2" s="1"/>
  <c r="F12" i="2" s="1"/>
  <c r="G11" i="2"/>
  <c r="B11" i="2"/>
  <c r="E11" i="2" s="1"/>
  <c r="F11" i="2" s="1"/>
  <c r="G10" i="2"/>
  <c r="B10" i="2"/>
  <c r="E10" i="2" s="1"/>
  <c r="F10" i="2" s="1"/>
  <c r="P9" i="2"/>
  <c r="P10" i="2" s="1"/>
  <c r="G9" i="2"/>
  <c r="B9" i="2"/>
  <c r="E9" i="2" s="1"/>
  <c r="P8" i="2"/>
  <c r="J8" i="2"/>
  <c r="J9" i="2" s="1"/>
  <c r="J10" i="2" s="1"/>
  <c r="J11" i="2" s="1"/>
  <c r="J12" i="2" s="1"/>
  <c r="J13" i="2" s="1"/>
  <c r="J14" i="2" s="1"/>
  <c r="J15" i="2" s="1"/>
  <c r="J16" i="2" s="1"/>
  <c r="J17" i="2" s="1"/>
  <c r="J18" i="2" s="1"/>
  <c r="J19" i="2" s="1"/>
  <c r="J20" i="2" s="1"/>
  <c r="J21" i="2" s="1"/>
  <c r="J22" i="2" s="1"/>
  <c r="J23" i="2" s="1"/>
  <c r="J24" i="2" s="1"/>
  <c r="J25" i="2" s="1"/>
  <c r="J26" i="2" s="1"/>
  <c r="J27" i="2" s="1"/>
  <c r="J28" i="2" s="1"/>
  <c r="J29" i="2" s="1"/>
  <c r="J30" i="2" s="1"/>
  <c r="J31" i="2" s="1"/>
  <c r="J32" i="2" s="1"/>
  <c r="J33" i="2" s="1"/>
  <c r="J34" i="2" s="1"/>
  <c r="J35" i="2" s="1"/>
  <c r="J36" i="2" s="1"/>
  <c r="J37" i="2" s="1"/>
  <c r="J38" i="2" s="1"/>
  <c r="J39" i="2" s="1"/>
  <c r="J40" i="2" s="1"/>
  <c r="J41" i="2" s="1"/>
  <c r="J42" i="2" s="1"/>
  <c r="J43" i="2" s="1"/>
  <c r="J44" i="2" s="1"/>
  <c r="J45" i="2" s="1"/>
  <c r="J46" i="2" s="1"/>
  <c r="J47" i="2" s="1"/>
  <c r="J48" i="2" s="1"/>
  <c r="J49" i="2" s="1"/>
  <c r="J50" i="2" s="1"/>
  <c r="J51" i="2" s="1"/>
  <c r="J52" i="2" s="1"/>
  <c r="J53" i="2" s="1"/>
  <c r="J54" i="2" s="1"/>
  <c r="J55" i="2" s="1"/>
  <c r="J56" i="2" s="1"/>
  <c r="J57" i="2" s="1"/>
  <c r="J58" i="2" s="1"/>
  <c r="J59" i="2" s="1"/>
  <c r="J60" i="2" s="1"/>
  <c r="J61" i="2" s="1"/>
  <c r="J62" i="2" s="1"/>
  <c r="J63" i="2" s="1"/>
  <c r="J64" i="2" s="1"/>
  <c r="J65" i="2" s="1"/>
  <c r="J66" i="2" s="1"/>
  <c r="J67" i="2" s="1"/>
  <c r="J68" i="2" s="1"/>
  <c r="J69" i="2" s="1"/>
  <c r="J70" i="2" s="1"/>
  <c r="J71" i="2" s="1"/>
  <c r="J72" i="2" s="1"/>
  <c r="J73" i="2" s="1"/>
  <c r="J74" i="2" s="1"/>
  <c r="J75" i="2" s="1"/>
  <c r="J76" i="2" s="1"/>
  <c r="J77" i="2" s="1"/>
  <c r="J78" i="2" s="1"/>
  <c r="J79" i="2" s="1"/>
  <c r="J80" i="2" s="1"/>
  <c r="J81" i="2" s="1"/>
  <c r="J82" i="2" s="1"/>
  <c r="J83" i="2" s="1"/>
  <c r="J84" i="2" s="1"/>
  <c r="J85" i="2" s="1"/>
  <c r="J86" i="2" s="1"/>
  <c r="J87" i="2" s="1"/>
  <c r="J88" i="2" s="1"/>
  <c r="J89" i="2" s="1"/>
  <c r="J90" i="2" s="1"/>
  <c r="J91" i="2" s="1"/>
  <c r="J92" i="2" s="1"/>
  <c r="J93" i="2" s="1"/>
  <c r="J94" i="2" s="1"/>
  <c r="J95" i="2" s="1"/>
  <c r="J96" i="2" s="1"/>
  <c r="J97" i="2" s="1"/>
  <c r="J98" i="2" s="1"/>
  <c r="J99" i="2" s="1"/>
  <c r="J100" i="2" s="1"/>
  <c r="J101" i="2" s="1"/>
  <c r="J102" i="2" s="1"/>
  <c r="J103" i="2" s="1"/>
  <c r="J104" i="2" s="1"/>
  <c r="J105" i="2" s="1"/>
  <c r="J106" i="2" s="1"/>
  <c r="J107" i="2" s="1"/>
  <c r="J108" i="2" s="1"/>
  <c r="J109" i="2" s="1"/>
  <c r="J110" i="2" s="1"/>
  <c r="J111" i="2" s="1"/>
  <c r="J112" i="2" s="1"/>
  <c r="J113" i="2" s="1"/>
  <c r="J114" i="2" s="1"/>
  <c r="J115" i="2" s="1"/>
  <c r="J116" i="2" s="1"/>
  <c r="J117" i="2" s="1"/>
  <c r="J118" i="2" s="1"/>
  <c r="J119" i="2" s="1"/>
  <c r="J120" i="2" s="1"/>
  <c r="J121" i="2" s="1"/>
  <c r="J122" i="2" s="1"/>
  <c r="J123" i="2" s="1"/>
  <c r="J124" i="2" s="1"/>
  <c r="J125" i="2" s="1"/>
  <c r="J126" i="2" s="1"/>
  <c r="J127" i="2" s="1"/>
  <c r="J128" i="2" s="1"/>
  <c r="J129" i="2" s="1"/>
  <c r="J130" i="2" s="1"/>
  <c r="J131" i="2" s="1"/>
  <c r="J132" i="2" s="1"/>
  <c r="J133" i="2" s="1"/>
  <c r="J134" i="2" s="1"/>
  <c r="J135" i="2" s="1"/>
  <c r="J136" i="2" s="1"/>
  <c r="J137" i="2" s="1"/>
  <c r="J138" i="2" s="1"/>
  <c r="J139" i="2" s="1"/>
  <c r="J140" i="2" s="1"/>
  <c r="J141" i="2" s="1"/>
  <c r="J142" i="2" s="1"/>
  <c r="J143" i="2" s="1"/>
  <c r="J144" i="2" s="1"/>
  <c r="J145" i="2" s="1"/>
  <c r="J146" i="2" s="1"/>
  <c r="J147" i="2" s="1"/>
  <c r="J148" i="2" s="1"/>
  <c r="J149" i="2" s="1"/>
  <c r="J150" i="2" s="1"/>
  <c r="J151" i="2" s="1"/>
  <c r="J152" i="2" s="1"/>
  <c r="J153" i="2" s="1"/>
  <c r="J154" i="2" s="1"/>
  <c r="J155" i="2" s="1"/>
  <c r="J156" i="2" s="1"/>
  <c r="J157" i="2" s="1"/>
  <c r="J158" i="2" s="1"/>
  <c r="J159" i="2" s="1"/>
  <c r="J160" i="2" s="1"/>
  <c r="J161" i="2" s="1"/>
  <c r="J162" i="2" s="1"/>
  <c r="J163" i="2" s="1"/>
  <c r="J164" i="2" s="1"/>
  <c r="J165" i="2" s="1"/>
  <c r="J166" i="2" s="1"/>
  <c r="J167" i="2" s="1"/>
  <c r="J168" i="2" s="1"/>
  <c r="J169" i="2" s="1"/>
  <c r="J170" i="2" s="1"/>
  <c r="J171" i="2" s="1"/>
  <c r="J172" i="2" s="1"/>
  <c r="J173" i="2" s="1"/>
  <c r="J174" i="2" s="1"/>
  <c r="J175" i="2" s="1"/>
  <c r="J176" i="2" s="1"/>
  <c r="J177" i="2" s="1"/>
  <c r="J178" i="2" s="1"/>
  <c r="J179" i="2" s="1"/>
  <c r="J180" i="2" s="1"/>
  <c r="J181" i="2" s="1"/>
  <c r="J182" i="2" s="1"/>
  <c r="J183" i="2" s="1"/>
  <c r="J184" i="2" s="1"/>
  <c r="J185" i="2" s="1"/>
  <c r="J186" i="2" s="1"/>
  <c r="J187" i="2" s="1"/>
  <c r="J188" i="2" s="1"/>
  <c r="J189" i="2" s="1"/>
  <c r="J190" i="2" s="1"/>
  <c r="J191" i="2" s="1"/>
  <c r="J192" i="2" s="1"/>
  <c r="J193" i="2" s="1"/>
  <c r="J194" i="2" s="1"/>
  <c r="J195" i="2" s="1"/>
  <c r="J196" i="2" s="1"/>
  <c r="J197" i="2" s="1"/>
  <c r="J198" i="2" s="1"/>
  <c r="J199" i="2" s="1"/>
  <c r="J200" i="2" s="1"/>
  <c r="J201" i="2" s="1"/>
  <c r="J202" i="2" s="1"/>
  <c r="J203" i="2" s="1"/>
  <c r="J204" i="2" s="1"/>
  <c r="J205" i="2" s="1"/>
  <c r="J206" i="2" s="1"/>
  <c r="J207" i="2" s="1"/>
  <c r="J208" i="2" s="1"/>
  <c r="J209" i="2" s="1"/>
  <c r="J210" i="2" s="1"/>
  <c r="J211" i="2" s="1"/>
  <c r="J212" i="2" s="1"/>
  <c r="J213" i="2" s="1"/>
  <c r="J214" i="2" s="1"/>
  <c r="J215" i="2" s="1"/>
  <c r="J216" i="2" s="1"/>
  <c r="J217" i="2" s="1"/>
  <c r="J218" i="2" s="1"/>
  <c r="J219" i="2" s="1"/>
  <c r="J220" i="2" s="1"/>
  <c r="J221" i="2" s="1"/>
  <c r="J222" i="2" s="1"/>
  <c r="J223" i="2" s="1"/>
  <c r="J224" i="2" s="1"/>
  <c r="J225" i="2" s="1"/>
  <c r="J226" i="2" s="1"/>
  <c r="J227" i="2" s="1"/>
  <c r="J228" i="2" s="1"/>
  <c r="J229" i="2" s="1"/>
  <c r="J230" i="2" s="1"/>
  <c r="J231" i="2" s="1"/>
  <c r="J232" i="2" s="1"/>
  <c r="J233" i="2" s="1"/>
  <c r="J234" i="2" s="1"/>
  <c r="J235" i="2" s="1"/>
  <c r="J236" i="2" s="1"/>
  <c r="J237" i="2" s="1"/>
  <c r="J238" i="2" s="1"/>
  <c r="J239" i="2" s="1"/>
  <c r="J240" i="2" s="1"/>
  <c r="J241" i="2" s="1"/>
  <c r="J242" i="2" s="1"/>
  <c r="J243" i="2" s="1"/>
  <c r="J244" i="2" s="1"/>
  <c r="J245" i="2" s="1"/>
  <c r="J246" i="2" s="1"/>
  <c r="J247" i="2" s="1"/>
  <c r="J248" i="2" s="1"/>
  <c r="J249" i="2" s="1"/>
  <c r="J250" i="2" s="1"/>
  <c r="J251" i="2" s="1"/>
  <c r="J252" i="2" s="1"/>
  <c r="J253" i="2" s="1"/>
  <c r="J254" i="2" s="1"/>
  <c r="J255" i="2" s="1"/>
  <c r="J256" i="2" s="1"/>
  <c r="J257" i="2" s="1"/>
  <c r="J258" i="2" s="1"/>
  <c r="J259" i="2" s="1"/>
  <c r="J260" i="2" s="1"/>
  <c r="J261" i="2" s="1"/>
  <c r="J262" i="2" s="1"/>
  <c r="J263" i="2" s="1"/>
  <c r="J264" i="2" s="1"/>
  <c r="J265" i="2" s="1"/>
  <c r="J266" i="2" s="1"/>
  <c r="J267" i="2" s="1"/>
  <c r="J268" i="2" s="1"/>
  <c r="J269" i="2" s="1"/>
  <c r="J270" i="2" s="1"/>
  <c r="J271" i="2" s="1"/>
  <c r="J272" i="2" s="1"/>
  <c r="J273" i="2" s="1"/>
  <c r="J274" i="2" s="1"/>
  <c r="J275" i="2" s="1"/>
  <c r="J276" i="2" s="1"/>
  <c r="J277" i="2" s="1"/>
  <c r="J278" i="2" s="1"/>
  <c r="J279" i="2" s="1"/>
  <c r="J280" i="2" s="1"/>
  <c r="J281" i="2" s="1"/>
  <c r="J282" i="2" s="1"/>
  <c r="J283" i="2" s="1"/>
  <c r="J284" i="2" s="1"/>
  <c r="J285" i="2" s="1"/>
  <c r="J286" i="2" s="1"/>
  <c r="J287" i="2" s="1"/>
  <c r="J288" i="2" s="1"/>
  <c r="J289" i="2" s="1"/>
  <c r="J290" i="2" s="1"/>
  <c r="J291" i="2" s="1"/>
  <c r="J292" i="2" s="1"/>
  <c r="J293" i="2" s="1"/>
  <c r="J294" i="2" s="1"/>
  <c r="J295" i="2" s="1"/>
  <c r="J296" i="2" s="1"/>
  <c r="J297" i="2" s="1"/>
  <c r="J298" i="2" s="1"/>
  <c r="J299" i="2" s="1"/>
  <c r="J300" i="2" s="1"/>
  <c r="J301" i="2" s="1"/>
  <c r="J302" i="2" s="1"/>
  <c r="J303" i="2" s="1"/>
  <c r="J304" i="2" s="1"/>
  <c r="J305" i="2" s="1"/>
  <c r="J306" i="2" s="1"/>
  <c r="J307" i="2" s="1"/>
  <c r="J308" i="2" s="1"/>
  <c r="J309" i="2" s="1"/>
  <c r="J310" i="2" s="1"/>
  <c r="J311" i="2" s="1"/>
  <c r="J312" i="2" s="1"/>
  <c r="J313" i="2" s="1"/>
  <c r="J314" i="2" s="1"/>
  <c r="J315" i="2" s="1"/>
  <c r="J316" i="2" s="1"/>
  <c r="J317" i="2" s="1"/>
  <c r="J318" i="2" s="1"/>
  <c r="J319" i="2" s="1"/>
  <c r="J320" i="2" s="1"/>
  <c r="J321" i="2" s="1"/>
  <c r="J322" i="2" s="1"/>
  <c r="J323" i="2" s="1"/>
  <c r="J324" i="2" s="1"/>
  <c r="J325" i="2" s="1"/>
  <c r="J326" i="2" s="1"/>
  <c r="J327" i="2" s="1"/>
  <c r="J328" i="2" s="1"/>
  <c r="J329" i="2" s="1"/>
  <c r="J330" i="2" s="1"/>
  <c r="J331" i="2" s="1"/>
  <c r="J332" i="2" s="1"/>
  <c r="J333" i="2" s="1"/>
  <c r="J334" i="2" s="1"/>
  <c r="J335" i="2" s="1"/>
  <c r="J336" i="2" s="1"/>
  <c r="J337" i="2" s="1"/>
  <c r="J338" i="2" s="1"/>
  <c r="J339" i="2" s="1"/>
  <c r="J340" i="2" s="1"/>
  <c r="J341" i="2" s="1"/>
  <c r="J342" i="2" s="1"/>
  <c r="J343" i="2" s="1"/>
  <c r="J344" i="2" s="1"/>
  <c r="J345" i="2" s="1"/>
  <c r="J346" i="2" s="1"/>
  <c r="J347" i="2" s="1"/>
  <c r="J348" i="2" s="1"/>
  <c r="J349" i="2" s="1"/>
  <c r="J350" i="2" s="1"/>
  <c r="J351" i="2" s="1"/>
  <c r="J352" i="2" s="1"/>
  <c r="J353" i="2" s="1"/>
  <c r="J354" i="2" s="1"/>
  <c r="J355" i="2" s="1"/>
  <c r="J356" i="2" s="1"/>
  <c r="J357" i="2" s="1"/>
  <c r="J358" i="2" s="1"/>
  <c r="J359" i="2" s="1"/>
  <c r="J360" i="2" s="1"/>
  <c r="J361" i="2" s="1"/>
  <c r="J362" i="2" s="1"/>
  <c r="J363" i="2" s="1"/>
  <c r="J364" i="2" s="1"/>
  <c r="J365" i="2" s="1"/>
  <c r="J366" i="2" s="1"/>
  <c r="J367" i="2" s="1"/>
  <c r="J368" i="2" s="1"/>
  <c r="J369" i="2" s="1"/>
  <c r="J370" i="2" s="1"/>
  <c r="J371" i="2" s="1"/>
  <c r="J372" i="2" s="1"/>
  <c r="J373" i="2" s="1"/>
  <c r="J374" i="2" s="1"/>
  <c r="J375" i="2" s="1"/>
  <c r="J376" i="2" s="1"/>
  <c r="J377" i="2" s="1"/>
  <c r="J378" i="2" s="1"/>
  <c r="J379" i="2" s="1"/>
  <c r="J380" i="2" s="1"/>
  <c r="J381" i="2" s="1"/>
  <c r="J382" i="2" s="1"/>
  <c r="J383" i="2" s="1"/>
  <c r="J384" i="2" s="1"/>
  <c r="J385" i="2" s="1"/>
  <c r="J386" i="2" s="1"/>
  <c r="J387" i="2" s="1"/>
  <c r="J388" i="2" s="1"/>
  <c r="J389" i="2" s="1"/>
  <c r="J390" i="2" s="1"/>
  <c r="J391" i="2" s="1"/>
  <c r="J392" i="2" s="1"/>
  <c r="J393" i="2" s="1"/>
  <c r="J394" i="2" s="1"/>
  <c r="J395" i="2" s="1"/>
  <c r="J396" i="2" s="1"/>
  <c r="J397" i="2" s="1"/>
  <c r="J398" i="2" s="1"/>
  <c r="J399" i="2" s="1"/>
  <c r="J400" i="2" s="1"/>
  <c r="J401" i="2" s="1"/>
  <c r="J402" i="2" s="1"/>
  <c r="J403" i="2" s="1"/>
  <c r="J404" i="2" s="1"/>
  <c r="J405" i="2" s="1"/>
  <c r="J406" i="2" s="1"/>
  <c r="J407" i="2" s="1"/>
  <c r="J408" i="2" s="1"/>
  <c r="J409" i="2" s="1"/>
  <c r="J410" i="2" s="1"/>
  <c r="J411" i="2" s="1"/>
  <c r="J412" i="2" s="1"/>
  <c r="J413" i="2" s="1"/>
  <c r="J414" i="2" s="1"/>
  <c r="J415" i="2" s="1"/>
  <c r="J416" i="2" s="1"/>
  <c r="J417" i="2" s="1"/>
  <c r="J418" i="2" s="1"/>
  <c r="J419" i="2" s="1"/>
  <c r="J420" i="2" s="1"/>
  <c r="J421" i="2" s="1"/>
  <c r="J422" i="2" s="1"/>
  <c r="J423" i="2" s="1"/>
  <c r="J424" i="2" s="1"/>
  <c r="J425" i="2" s="1"/>
  <c r="J426" i="2" s="1"/>
  <c r="J427" i="2" s="1"/>
  <c r="J428" i="2" s="1"/>
  <c r="J429" i="2" s="1"/>
  <c r="J430" i="2" s="1"/>
  <c r="J431" i="2" s="1"/>
  <c r="J432" i="2" s="1"/>
  <c r="J433" i="2" s="1"/>
  <c r="J434" i="2" s="1"/>
  <c r="J435" i="2" s="1"/>
  <c r="J436" i="2" s="1"/>
  <c r="J437" i="2" s="1"/>
  <c r="J438" i="2" s="1"/>
  <c r="J439" i="2" s="1"/>
  <c r="J440" i="2" s="1"/>
  <c r="J441" i="2" s="1"/>
  <c r="J442" i="2" s="1"/>
  <c r="J443" i="2" s="1"/>
  <c r="J444" i="2" s="1"/>
  <c r="J445" i="2" s="1"/>
  <c r="J446" i="2" s="1"/>
  <c r="J447" i="2" s="1"/>
  <c r="J448" i="2" s="1"/>
  <c r="J449" i="2" s="1"/>
  <c r="J450" i="2" s="1"/>
  <c r="J451" i="2" s="1"/>
  <c r="J452" i="2" s="1"/>
  <c r="J453" i="2" s="1"/>
  <c r="J454" i="2" s="1"/>
  <c r="J455" i="2" s="1"/>
  <c r="J456" i="2" s="1"/>
  <c r="J457" i="2" s="1"/>
  <c r="J458" i="2" s="1"/>
  <c r="J459" i="2" s="1"/>
  <c r="J460" i="2" s="1"/>
  <c r="J461" i="2" s="1"/>
  <c r="J462" i="2" s="1"/>
  <c r="J463" i="2" s="1"/>
  <c r="J464" i="2" s="1"/>
  <c r="J465" i="2" s="1"/>
  <c r="J466" i="2" s="1"/>
  <c r="J467" i="2" s="1"/>
  <c r="J468" i="2" s="1"/>
  <c r="J469" i="2" s="1"/>
  <c r="J470" i="2" s="1"/>
  <c r="J471" i="2" s="1"/>
  <c r="J472" i="2" s="1"/>
  <c r="J473" i="2" s="1"/>
  <c r="J474" i="2" s="1"/>
  <c r="J475" i="2" s="1"/>
  <c r="J476" i="2" s="1"/>
  <c r="J477" i="2" s="1"/>
  <c r="J478" i="2" s="1"/>
  <c r="J479" i="2" s="1"/>
  <c r="J480" i="2" s="1"/>
  <c r="J481" i="2" s="1"/>
  <c r="J482" i="2" s="1"/>
  <c r="J483" i="2" s="1"/>
  <c r="J484" i="2" s="1"/>
  <c r="J485" i="2" s="1"/>
  <c r="J486" i="2" s="1"/>
  <c r="J487" i="2" s="1"/>
  <c r="J488" i="2" s="1"/>
  <c r="J489" i="2" s="1"/>
  <c r="J490" i="2" s="1"/>
  <c r="J491" i="2" s="1"/>
  <c r="J492" i="2" s="1"/>
  <c r="J493" i="2" s="1"/>
  <c r="J494" i="2" s="1"/>
  <c r="J495" i="2" s="1"/>
  <c r="J496" i="2" s="1"/>
  <c r="J497" i="2" s="1"/>
  <c r="J498" i="2" s="1"/>
  <c r="J499" i="2" s="1"/>
  <c r="J500" i="2" s="1"/>
  <c r="J501" i="2" s="1"/>
  <c r="J502" i="2" s="1"/>
  <c r="J503" i="2" s="1"/>
  <c r="J504" i="2" s="1"/>
  <c r="J505" i="2" s="1"/>
  <c r="J506" i="2" s="1"/>
  <c r="J507" i="2" s="1"/>
  <c r="J508" i="2" s="1"/>
  <c r="J509" i="2" s="1"/>
  <c r="J510" i="2" s="1"/>
  <c r="J511" i="2" s="1"/>
  <c r="J512" i="2" s="1"/>
  <c r="J513" i="2" s="1"/>
  <c r="J514" i="2" s="1"/>
  <c r="J515" i="2" s="1"/>
  <c r="J516" i="2" s="1"/>
  <c r="J517" i="2" s="1"/>
  <c r="J518" i="2" s="1"/>
  <c r="J519" i="2" s="1"/>
  <c r="J520" i="2" s="1"/>
  <c r="J521" i="2" s="1"/>
  <c r="J522" i="2" s="1"/>
  <c r="J523" i="2" s="1"/>
  <c r="J524" i="2" s="1"/>
  <c r="J525" i="2" s="1"/>
  <c r="J526" i="2" s="1"/>
  <c r="J527" i="2" s="1"/>
  <c r="J528" i="2" s="1"/>
  <c r="J529" i="2" s="1"/>
  <c r="J530" i="2" s="1"/>
  <c r="J531" i="2" s="1"/>
  <c r="J532" i="2" s="1"/>
  <c r="J533" i="2" s="1"/>
  <c r="J534" i="2" s="1"/>
  <c r="J535" i="2" s="1"/>
  <c r="J536" i="2" s="1"/>
  <c r="J537" i="2" s="1"/>
  <c r="J538" i="2" s="1"/>
  <c r="J539" i="2" s="1"/>
  <c r="J540" i="2" s="1"/>
  <c r="J541" i="2" s="1"/>
  <c r="J542" i="2" s="1"/>
  <c r="J543" i="2" s="1"/>
  <c r="J544" i="2" s="1"/>
  <c r="J545" i="2" s="1"/>
  <c r="J546" i="2" s="1"/>
  <c r="J547" i="2" s="1"/>
  <c r="J548" i="2" s="1"/>
  <c r="J549" i="2" s="1"/>
  <c r="J550" i="2" s="1"/>
  <c r="J551" i="2" s="1"/>
  <c r="J552" i="2" s="1"/>
  <c r="J553" i="2" s="1"/>
  <c r="J554" i="2" s="1"/>
  <c r="J555" i="2" s="1"/>
  <c r="J556" i="2" s="1"/>
  <c r="J557" i="2" s="1"/>
  <c r="J558" i="2" s="1"/>
  <c r="J559" i="2" s="1"/>
  <c r="J560" i="2" s="1"/>
  <c r="J561" i="2" s="1"/>
  <c r="J562" i="2" s="1"/>
  <c r="J563" i="2" s="1"/>
  <c r="J564" i="2" s="1"/>
  <c r="J565" i="2" s="1"/>
  <c r="J566" i="2" s="1"/>
  <c r="J567" i="2" s="1"/>
  <c r="J568" i="2" s="1"/>
  <c r="J569" i="2" s="1"/>
  <c r="J570" i="2" s="1"/>
  <c r="J571" i="2" s="1"/>
  <c r="J572" i="2" s="1"/>
  <c r="J573" i="2" s="1"/>
  <c r="J574" i="2" s="1"/>
  <c r="J575" i="2" s="1"/>
  <c r="J576" i="2" s="1"/>
  <c r="J577" i="2" s="1"/>
  <c r="J578" i="2" s="1"/>
  <c r="J579" i="2" s="1"/>
  <c r="J580" i="2" s="1"/>
  <c r="J581" i="2" s="1"/>
  <c r="J582" i="2" s="1"/>
  <c r="J583" i="2" s="1"/>
  <c r="J584" i="2" s="1"/>
  <c r="J585" i="2" s="1"/>
  <c r="J586" i="2" s="1"/>
  <c r="J587" i="2" s="1"/>
  <c r="J588" i="2" s="1"/>
  <c r="J589" i="2" s="1"/>
  <c r="J590" i="2" s="1"/>
  <c r="J591" i="2" s="1"/>
  <c r="J592" i="2" s="1"/>
  <c r="J593" i="2" s="1"/>
  <c r="J594" i="2" s="1"/>
  <c r="J595" i="2" s="1"/>
  <c r="J596" i="2" s="1"/>
  <c r="J597" i="2" s="1"/>
  <c r="J598" i="2" s="1"/>
  <c r="J599" i="2" s="1"/>
  <c r="J600" i="2" s="1"/>
  <c r="J601" i="2" s="1"/>
  <c r="J602" i="2" s="1"/>
  <c r="J603" i="2" s="1"/>
  <c r="J604" i="2" s="1"/>
  <c r="J605" i="2" s="1"/>
  <c r="J606" i="2" s="1"/>
  <c r="J607" i="2" s="1"/>
  <c r="J608" i="2" s="1"/>
  <c r="J609" i="2" s="1"/>
  <c r="J610" i="2" s="1"/>
  <c r="J611" i="2" s="1"/>
  <c r="J612" i="2" s="1"/>
  <c r="J613" i="2" s="1"/>
  <c r="J614" i="2" s="1"/>
  <c r="J615" i="2" s="1"/>
  <c r="J616" i="2" s="1"/>
  <c r="J617" i="2" s="1"/>
  <c r="J618" i="2" s="1"/>
  <c r="J619" i="2" s="1"/>
  <c r="J620" i="2" s="1"/>
  <c r="J621" i="2" s="1"/>
  <c r="J622" i="2" s="1"/>
  <c r="J623" i="2" s="1"/>
  <c r="J624" i="2" s="1"/>
  <c r="J625" i="2" s="1"/>
  <c r="J626" i="2" s="1"/>
  <c r="J627" i="2" s="1"/>
  <c r="J628" i="2" s="1"/>
  <c r="J629" i="2" s="1"/>
  <c r="J630" i="2" s="1"/>
  <c r="J631" i="2" s="1"/>
  <c r="J632" i="2" s="1"/>
  <c r="J633" i="2" s="1"/>
  <c r="J634" i="2" s="1"/>
  <c r="J635" i="2" s="1"/>
  <c r="J636" i="2" s="1"/>
  <c r="J637" i="2" s="1"/>
  <c r="J638" i="2" s="1"/>
  <c r="J639" i="2" s="1"/>
  <c r="J640" i="2" s="1"/>
  <c r="J641" i="2" s="1"/>
  <c r="J642" i="2" s="1"/>
  <c r="J643" i="2" s="1"/>
  <c r="J644" i="2" s="1"/>
  <c r="J645" i="2" s="1"/>
  <c r="J646" i="2" s="1"/>
  <c r="J647" i="2" s="1"/>
  <c r="J648" i="2" s="1"/>
  <c r="J649" i="2" s="1"/>
  <c r="J650" i="2" s="1"/>
  <c r="J651" i="2" s="1"/>
  <c r="J652" i="2" s="1"/>
  <c r="J653" i="2" s="1"/>
  <c r="J654" i="2" s="1"/>
  <c r="J655" i="2" s="1"/>
  <c r="J656" i="2" s="1"/>
  <c r="J657" i="2" s="1"/>
  <c r="J658" i="2" s="1"/>
  <c r="J659" i="2" s="1"/>
  <c r="J660" i="2" s="1"/>
  <c r="J661" i="2" s="1"/>
  <c r="J662" i="2" s="1"/>
  <c r="J663" i="2" s="1"/>
  <c r="J664" i="2" s="1"/>
  <c r="J665" i="2" s="1"/>
  <c r="J666" i="2" s="1"/>
  <c r="J667" i="2" s="1"/>
  <c r="J668" i="2" s="1"/>
  <c r="J669" i="2" s="1"/>
  <c r="J670" i="2" s="1"/>
  <c r="J671" i="2" s="1"/>
  <c r="J672" i="2" s="1"/>
  <c r="J673" i="2" s="1"/>
  <c r="J674" i="2" s="1"/>
  <c r="J675" i="2" s="1"/>
  <c r="J676" i="2" s="1"/>
  <c r="J677" i="2" s="1"/>
  <c r="J678" i="2" s="1"/>
  <c r="J679" i="2" s="1"/>
  <c r="J680" i="2" s="1"/>
  <c r="J681" i="2" s="1"/>
  <c r="J682" i="2" s="1"/>
  <c r="J683" i="2" s="1"/>
  <c r="J684" i="2" s="1"/>
  <c r="J685" i="2" s="1"/>
  <c r="J686" i="2" s="1"/>
  <c r="J687" i="2" s="1"/>
  <c r="J688" i="2" s="1"/>
  <c r="J689" i="2" s="1"/>
  <c r="J690" i="2" s="1"/>
  <c r="J691" i="2" s="1"/>
  <c r="J692" i="2" s="1"/>
  <c r="J693" i="2" s="1"/>
  <c r="J694" i="2" s="1"/>
  <c r="J695" i="2" s="1"/>
  <c r="J696" i="2" s="1"/>
  <c r="J697" i="2" s="1"/>
  <c r="J698" i="2" s="1"/>
  <c r="J699" i="2" s="1"/>
  <c r="J700" i="2" s="1"/>
  <c r="J701" i="2" s="1"/>
  <c r="J702" i="2" s="1"/>
  <c r="J703" i="2" s="1"/>
  <c r="J704" i="2" s="1"/>
  <c r="J705" i="2" s="1"/>
  <c r="J706" i="2" s="1"/>
  <c r="J707" i="2" s="1"/>
  <c r="J708" i="2" s="1"/>
  <c r="J709" i="2" s="1"/>
  <c r="J710" i="2" s="1"/>
  <c r="J711" i="2" s="1"/>
  <c r="J712" i="2" s="1"/>
  <c r="J713" i="2" s="1"/>
  <c r="J714" i="2" s="1"/>
  <c r="J715" i="2" s="1"/>
  <c r="J716" i="2" s="1"/>
  <c r="J717" i="2" s="1"/>
  <c r="J718" i="2" s="1"/>
  <c r="J719" i="2" s="1"/>
  <c r="J720" i="2" s="1"/>
  <c r="J721" i="2" s="1"/>
  <c r="J722" i="2" s="1"/>
  <c r="J723" i="2" s="1"/>
  <c r="J724" i="2" s="1"/>
  <c r="J725" i="2" s="1"/>
  <c r="J726" i="2" s="1"/>
  <c r="J727" i="2" s="1"/>
  <c r="J728" i="2" s="1"/>
  <c r="J729" i="2" s="1"/>
  <c r="J730" i="2" s="1"/>
  <c r="J731" i="2" s="1"/>
  <c r="J732" i="2" s="1"/>
  <c r="J733" i="2" s="1"/>
  <c r="J734" i="2" s="1"/>
  <c r="J735" i="2" s="1"/>
  <c r="J736" i="2" s="1"/>
  <c r="J737" i="2" s="1"/>
  <c r="J738" i="2" s="1"/>
  <c r="J739" i="2" s="1"/>
  <c r="J740" i="2" s="1"/>
  <c r="J741" i="2" s="1"/>
  <c r="J742" i="2" s="1"/>
  <c r="J743" i="2" s="1"/>
  <c r="J744" i="2" s="1"/>
  <c r="J745" i="2" s="1"/>
  <c r="J746" i="2" s="1"/>
  <c r="J747" i="2" s="1"/>
  <c r="J748" i="2" s="1"/>
  <c r="J749" i="2" s="1"/>
  <c r="J750" i="2" s="1"/>
  <c r="J751" i="2" s="1"/>
  <c r="J752" i="2" s="1"/>
  <c r="J753" i="2" s="1"/>
  <c r="J754" i="2" s="1"/>
  <c r="J755" i="2" s="1"/>
  <c r="J756" i="2" s="1"/>
  <c r="J757" i="2" s="1"/>
  <c r="J758" i="2" s="1"/>
  <c r="J759" i="2" s="1"/>
  <c r="J760" i="2" s="1"/>
  <c r="J761" i="2" s="1"/>
  <c r="J762" i="2" s="1"/>
  <c r="J763" i="2" s="1"/>
  <c r="J764" i="2" s="1"/>
  <c r="J765" i="2" s="1"/>
  <c r="J766" i="2" s="1"/>
  <c r="J767" i="2" s="1"/>
  <c r="J768" i="2" s="1"/>
  <c r="J769" i="2" s="1"/>
  <c r="J770" i="2" s="1"/>
  <c r="J771" i="2" s="1"/>
  <c r="J772" i="2" s="1"/>
  <c r="J773" i="2" s="1"/>
  <c r="J774" i="2" s="1"/>
  <c r="J775" i="2" s="1"/>
  <c r="J776" i="2" s="1"/>
  <c r="J777" i="2" s="1"/>
  <c r="J778" i="2" s="1"/>
  <c r="J779" i="2" s="1"/>
  <c r="J780" i="2" s="1"/>
  <c r="J781" i="2" s="1"/>
  <c r="J782" i="2" s="1"/>
  <c r="J783" i="2" s="1"/>
  <c r="J784" i="2" s="1"/>
  <c r="J785" i="2" s="1"/>
  <c r="J786" i="2" s="1"/>
  <c r="J787" i="2" s="1"/>
  <c r="J788" i="2" s="1"/>
  <c r="J789" i="2" s="1"/>
  <c r="J790" i="2" s="1"/>
  <c r="J791" i="2" s="1"/>
  <c r="J792" i="2" s="1"/>
  <c r="J793" i="2" s="1"/>
  <c r="J794" i="2" s="1"/>
  <c r="J795" i="2" s="1"/>
  <c r="J796" i="2" s="1"/>
  <c r="J797" i="2" s="1"/>
  <c r="J798" i="2" s="1"/>
  <c r="J799" i="2" s="1"/>
  <c r="J800" i="2" s="1"/>
  <c r="J801" i="2" s="1"/>
  <c r="J802" i="2" s="1"/>
  <c r="J803" i="2" s="1"/>
  <c r="J804" i="2" s="1"/>
  <c r="J805" i="2" s="1"/>
  <c r="J806" i="2" s="1"/>
  <c r="J807" i="2" s="1"/>
  <c r="J808" i="2" s="1"/>
  <c r="J809" i="2" s="1"/>
  <c r="J810" i="2" s="1"/>
  <c r="J811" i="2" s="1"/>
  <c r="J812" i="2" s="1"/>
  <c r="J813" i="2" s="1"/>
  <c r="J814" i="2" s="1"/>
  <c r="J815" i="2" s="1"/>
  <c r="J816" i="2" s="1"/>
  <c r="J817" i="2" s="1"/>
  <c r="J818" i="2" s="1"/>
  <c r="J819" i="2" s="1"/>
  <c r="J820" i="2" s="1"/>
  <c r="J821" i="2" s="1"/>
  <c r="J822" i="2" s="1"/>
  <c r="J823" i="2" s="1"/>
  <c r="J824" i="2" s="1"/>
  <c r="J825" i="2" s="1"/>
  <c r="J826" i="2" s="1"/>
  <c r="J827" i="2" s="1"/>
  <c r="J828" i="2" s="1"/>
  <c r="J829" i="2" s="1"/>
  <c r="J830" i="2" s="1"/>
  <c r="J831" i="2" s="1"/>
  <c r="J832" i="2" s="1"/>
  <c r="J833" i="2" s="1"/>
  <c r="J834" i="2" s="1"/>
  <c r="J835" i="2" s="1"/>
  <c r="J836" i="2" s="1"/>
  <c r="J837" i="2" s="1"/>
  <c r="J838" i="2" s="1"/>
  <c r="J839" i="2" s="1"/>
  <c r="J840" i="2" s="1"/>
  <c r="J841" i="2" s="1"/>
  <c r="J842" i="2" s="1"/>
  <c r="J843" i="2" s="1"/>
  <c r="J844" i="2" s="1"/>
  <c r="J845" i="2" s="1"/>
  <c r="J846" i="2" s="1"/>
  <c r="J847" i="2" s="1"/>
  <c r="J848" i="2" s="1"/>
  <c r="J849" i="2" s="1"/>
  <c r="J850" i="2" s="1"/>
  <c r="J851" i="2" s="1"/>
  <c r="J852" i="2" s="1"/>
  <c r="J853" i="2" s="1"/>
  <c r="J854" i="2" s="1"/>
  <c r="J855" i="2" s="1"/>
  <c r="J856" i="2" s="1"/>
  <c r="J857" i="2" s="1"/>
  <c r="J858" i="2" s="1"/>
  <c r="J859" i="2" s="1"/>
  <c r="J860" i="2" s="1"/>
  <c r="J861" i="2" s="1"/>
  <c r="J862" i="2" s="1"/>
  <c r="J863" i="2" s="1"/>
  <c r="J864" i="2" s="1"/>
  <c r="J865" i="2" s="1"/>
  <c r="J866" i="2" s="1"/>
  <c r="J867" i="2" s="1"/>
  <c r="J868" i="2" s="1"/>
  <c r="J869" i="2" s="1"/>
  <c r="J870" i="2" s="1"/>
  <c r="J871" i="2" s="1"/>
  <c r="J872" i="2" s="1"/>
  <c r="J873" i="2" s="1"/>
  <c r="J874" i="2" s="1"/>
  <c r="J875" i="2" s="1"/>
  <c r="J876" i="2" s="1"/>
  <c r="J877" i="2" s="1"/>
  <c r="J878" i="2" s="1"/>
  <c r="J879" i="2" s="1"/>
  <c r="J880" i="2" s="1"/>
  <c r="J881" i="2" s="1"/>
  <c r="J882" i="2" s="1"/>
  <c r="J883" i="2" s="1"/>
  <c r="J884" i="2" s="1"/>
  <c r="J885" i="2" s="1"/>
  <c r="J886" i="2" s="1"/>
  <c r="J887" i="2" s="1"/>
  <c r="J888" i="2" s="1"/>
  <c r="J889" i="2" s="1"/>
  <c r="J890" i="2" s="1"/>
  <c r="J891" i="2" s="1"/>
  <c r="J892" i="2" s="1"/>
  <c r="J893" i="2" s="1"/>
  <c r="J894" i="2" s="1"/>
  <c r="J895" i="2" s="1"/>
  <c r="J896" i="2" s="1"/>
  <c r="J897" i="2" s="1"/>
  <c r="J898" i="2" s="1"/>
  <c r="J899" i="2" s="1"/>
  <c r="J900" i="2" s="1"/>
  <c r="J901" i="2" s="1"/>
  <c r="J902" i="2" s="1"/>
  <c r="J903" i="2" s="1"/>
  <c r="J904" i="2" s="1"/>
  <c r="J905" i="2" s="1"/>
  <c r="J906" i="2" s="1"/>
  <c r="J907" i="2" s="1"/>
  <c r="J908" i="2" s="1"/>
  <c r="J909" i="2" s="1"/>
  <c r="J910" i="2" s="1"/>
  <c r="J911" i="2" s="1"/>
  <c r="J912" i="2" s="1"/>
  <c r="J913" i="2" s="1"/>
  <c r="J914" i="2" s="1"/>
  <c r="J915" i="2" s="1"/>
  <c r="J916" i="2" s="1"/>
  <c r="J917" i="2" s="1"/>
  <c r="J918" i="2" s="1"/>
  <c r="J919" i="2" s="1"/>
  <c r="J920" i="2" s="1"/>
  <c r="J921" i="2" s="1"/>
  <c r="J922" i="2" s="1"/>
  <c r="J923" i="2" s="1"/>
  <c r="J924" i="2" s="1"/>
  <c r="J925" i="2" s="1"/>
  <c r="J926" i="2" s="1"/>
  <c r="J927" i="2" s="1"/>
  <c r="J928" i="2" s="1"/>
  <c r="J929" i="2" s="1"/>
  <c r="J930" i="2" s="1"/>
  <c r="J931" i="2" s="1"/>
  <c r="J932" i="2" s="1"/>
  <c r="J933" i="2" s="1"/>
  <c r="J934" i="2" s="1"/>
  <c r="J935" i="2" s="1"/>
  <c r="J936" i="2" s="1"/>
  <c r="J937" i="2" s="1"/>
  <c r="J938" i="2" s="1"/>
  <c r="J939" i="2" s="1"/>
  <c r="J940" i="2" s="1"/>
  <c r="J941" i="2" s="1"/>
  <c r="J942" i="2" s="1"/>
  <c r="J943" i="2" s="1"/>
  <c r="J944" i="2" s="1"/>
  <c r="J945" i="2" s="1"/>
  <c r="J946" i="2" s="1"/>
  <c r="J947" i="2" s="1"/>
  <c r="J948" i="2" s="1"/>
  <c r="J949" i="2" s="1"/>
  <c r="J950" i="2" s="1"/>
  <c r="J951" i="2" s="1"/>
  <c r="J952" i="2" s="1"/>
  <c r="J953" i="2" s="1"/>
  <c r="J954" i="2" s="1"/>
  <c r="J955" i="2" s="1"/>
  <c r="J956" i="2" s="1"/>
  <c r="J957" i="2" s="1"/>
  <c r="J958" i="2" s="1"/>
  <c r="J959" i="2" s="1"/>
  <c r="J960" i="2" s="1"/>
  <c r="J961" i="2" s="1"/>
  <c r="J962" i="2" s="1"/>
  <c r="J963" i="2" s="1"/>
  <c r="J964" i="2" s="1"/>
  <c r="J965" i="2" s="1"/>
  <c r="J966" i="2" s="1"/>
  <c r="J967" i="2" s="1"/>
  <c r="J968" i="2" s="1"/>
  <c r="J969" i="2" s="1"/>
  <c r="J970" i="2" s="1"/>
  <c r="J971" i="2" s="1"/>
  <c r="J972" i="2" s="1"/>
  <c r="J973" i="2" s="1"/>
  <c r="J974" i="2" s="1"/>
  <c r="J975" i="2" s="1"/>
  <c r="J976" i="2" s="1"/>
  <c r="J977" i="2" s="1"/>
  <c r="J978" i="2" s="1"/>
  <c r="J979" i="2" s="1"/>
  <c r="J980" i="2" s="1"/>
  <c r="J981" i="2" s="1"/>
  <c r="J982" i="2" s="1"/>
  <c r="J983" i="2" s="1"/>
  <c r="J984" i="2" s="1"/>
  <c r="J985" i="2" s="1"/>
  <c r="J986" i="2" s="1"/>
  <c r="J987" i="2" s="1"/>
  <c r="J988" i="2" s="1"/>
  <c r="J989" i="2" s="1"/>
  <c r="J990" i="2" s="1"/>
  <c r="J991" i="2" s="1"/>
  <c r="J992" i="2" s="1"/>
  <c r="J993" i="2" s="1"/>
  <c r="J994" i="2" s="1"/>
  <c r="J995" i="2" s="1"/>
  <c r="J996" i="2" s="1"/>
  <c r="J997" i="2" s="1"/>
  <c r="J998" i="2" s="1"/>
  <c r="J999" i="2" s="1"/>
  <c r="J1000" i="2" s="1"/>
  <c r="J1001" i="2" s="1"/>
  <c r="J1002" i="2" s="1"/>
  <c r="J1003" i="2" s="1"/>
  <c r="J1004" i="2" s="1"/>
  <c r="J1005" i="2" s="1"/>
  <c r="J1006" i="2" s="1"/>
  <c r="J1007" i="2" s="1"/>
  <c r="J1008" i="2" s="1"/>
  <c r="J1009" i="2" s="1"/>
  <c r="J1010" i="2" s="1"/>
  <c r="J1011" i="2" s="1"/>
  <c r="J1012" i="2" s="1"/>
  <c r="J1013" i="2" s="1"/>
  <c r="J1014" i="2" s="1"/>
  <c r="J1015" i="2" s="1"/>
  <c r="J1016" i="2" s="1"/>
  <c r="J1017" i="2" s="1"/>
  <c r="J1018" i="2" s="1"/>
  <c r="J1019" i="2" s="1"/>
  <c r="J1020" i="2" s="1"/>
  <c r="J1021" i="2" s="1"/>
  <c r="J1022" i="2" s="1"/>
  <c r="J1023" i="2" s="1"/>
  <c r="J1024" i="2" s="1"/>
  <c r="J1025" i="2" s="1"/>
  <c r="J1026" i="2" s="1"/>
  <c r="J1027" i="2" s="1"/>
  <c r="J1028" i="2" s="1"/>
  <c r="J1029" i="2" s="1"/>
  <c r="J1030" i="2" s="1"/>
  <c r="J1031" i="2" s="1"/>
  <c r="J1032" i="2" s="1"/>
  <c r="J1033" i="2" s="1"/>
  <c r="J1034" i="2" s="1"/>
  <c r="J1035" i="2" s="1"/>
  <c r="J1036" i="2" s="1"/>
  <c r="J1037" i="2" s="1"/>
  <c r="J1038" i="2" s="1"/>
  <c r="J1039" i="2" s="1"/>
  <c r="J1040" i="2" s="1"/>
  <c r="J1041" i="2" s="1"/>
  <c r="J1042" i="2" s="1"/>
  <c r="J1043" i="2" s="1"/>
  <c r="J1044" i="2" s="1"/>
  <c r="J1045" i="2" s="1"/>
  <c r="J1046" i="2" s="1"/>
  <c r="J1047" i="2" s="1"/>
  <c r="J1048" i="2" s="1"/>
  <c r="J1049" i="2" s="1"/>
  <c r="J1050" i="2" s="1"/>
  <c r="J1051" i="2" s="1"/>
  <c r="J1052" i="2" s="1"/>
  <c r="J1053" i="2" s="1"/>
  <c r="J1054" i="2" s="1"/>
  <c r="J1055" i="2" s="1"/>
  <c r="J1056" i="2" s="1"/>
  <c r="J1057" i="2" s="1"/>
  <c r="J1058" i="2" s="1"/>
  <c r="J1059" i="2" s="1"/>
  <c r="J1060" i="2" s="1"/>
  <c r="J1061" i="2" s="1"/>
  <c r="J1062" i="2" s="1"/>
  <c r="J1063" i="2" s="1"/>
  <c r="J1064" i="2" s="1"/>
  <c r="J1065" i="2" s="1"/>
  <c r="J1066" i="2" s="1"/>
  <c r="J1067" i="2" s="1"/>
  <c r="J1068" i="2" s="1"/>
  <c r="J1069" i="2" s="1"/>
  <c r="J1070" i="2" s="1"/>
  <c r="J1071" i="2" s="1"/>
  <c r="J1072" i="2" s="1"/>
  <c r="J1073" i="2" s="1"/>
  <c r="J1074" i="2" s="1"/>
  <c r="J1075" i="2" s="1"/>
  <c r="J1076" i="2" s="1"/>
  <c r="J1077" i="2" s="1"/>
  <c r="J1078" i="2" s="1"/>
  <c r="J1079" i="2" s="1"/>
  <c r="J1080" i="2" s="1"/>
  <c r="J1081" i="2" s="1"/>
  <c r="J1082" i="2" s="1"/>
  <c r="J1083" i="2" s="1"/>
  <c r="J1084" i="2" s="1"/>
  <c r="J1085" i="2" s="1"/>
  <c r="J1086" i="2" s="1"/>
  <c r="J1087" i="2" s="1"/>
  <c r="J1088" i="2" s="1"/>
  <c r="J1089" i="2" s="1"/>
  <c r="J1090" i="2" s="1"/>
  <c r="J1091" i="2" s="1"/>
  <c r="J1092" i="2" s="1"/>
  <c r="J1093" i="2" s="1"/>
  <c r="J1094" i="2" s="1"/>
  <c r="J1095" i="2" s="1"/>
  <c r="J1096" i="2" s="1"/>
  <c r="J1097" i="2" s="1"/>
  <c r="J1098" i="2" s="1"/>
  <c r="J1099" i="2" s="1"/>
  <c r="J1100" i="2" s="1"/>
  <c r="J1101" i="2" s="1"/>
  <c r="J1102" i="2" s="1"/>
  <c r="J1103" i="2" s="1"/>
  <c r="J1104" i="2" s="1"/>
  <c r="J1105" i="2" s="1"/>
  <c r="J1106" i="2" s="1"/>
  <c r="J1107" i="2" s="1"/>
  <c r="J1108" i="2" s="1"/>
  <c r="J1109" i="2" s="1"/>
  <c r="J1110" i="2" s="1"/>
  <c r="J1111" i="2" s="1"/>
  <c r="J1112" i="2" s="1"/>
  <c r="J1113" i="2" s="1"/>
  <c r="J1114" i="2" s="1"/>
  <c r="J1115" i="2" s="1"/>
  <c r="J1116" i="2" s="1"/>
  <c r="J1117" i="2" s="1"/>
  <c r="J1118" i="2" s="1"/>
  <c r="J1119" i="2" s="1"/>
  <c r="J1120" i="2" s="1"/>
  <c r="J1121" i="2" s="1"/>
  <c r="J1122" i="2" s="1"/>
  <c r="J1123" i="2" s="1"/>
  <c r="J1124" i="2" s="1"/>
  <c r="J1125" i="2" s="1"/>
  <c r="J1126" i="2" s="1"/>
  <c r="J1127" i="2" s="1"/>
  <c r="J1128" i="2" s="1"/>
  <c r="J1129" i="2" s="1"/>
  <c r="J1130" i="2" s="1"/>
  <c r="J1131" i="2" s="1"/>
  <c r="J1132" i="2" s="1"/>
  <c r="J1133" i="2" s="1"/>
  <c r="J1134" i="2" s="1"/>
  <c r="J1135" i="2" s="1"/>
  <c r="J1136" i="2" s="1"/>
  <c r="J1137" i="2" s="1"/>
  <c r="J1138" i="2" s="1"/>
  <c r="J1139" i="2" s="1"/>
  <c r="J1140" i="2" s="1"/>
  <c r="J1141" i="2" s="1"/>
  <c r="J1142" i="2" s="1"/>
  <c r="J1143" i="2" s="1"/>
  <c r="J1144" i="2" s="1"/>
  <c r="J1145" i="2" s="1"/>
  <c r="J1146" i="2" s="1"/>
  <c r="J1147" i="2" s="1"/>
  <c r="J1148" i="2" s="1"/>
  <c r="J1149" i="2" s="1"/>
  <c r="J1150" i="2" s="1"/>
  <c r="J1151" i="2" s="1"/>
  <c r="J1152" i="2" s="1"/>
  <c r="J1153" i="2" s="1"/>
  <c r="J1154" i="2" s="1"/>
  <c r="J1155" i="2" s="1"/>
  <c r="J1156" i="2" s="1"/>
  <c r="J1157" i="2" s="1"/>
  <c r="J1158" i="2" s="1"/>
  <c r="G8" i="2"/>
  <c r="B8" i="2"/>
  <c r="E8" i="2" s="1"/>
  <c r="F8" i="2" s="1"/>
  <c r="B7" i="2"/>
  <c r="E7" i="2" s="1"/>
  <c r="F7" i="2" s="1"/>
  <c r="J1" i="2"/>
  <c r="O1157" i="2"/>
  <c r="O1158" i="2"/>
  <c r="O1156" i="2"/>
  <c r="O1154" i="2"/>
  <c r="O1152" i="2"/>
  <c r="O1150" i="2"/>
  <c r="O1148" i="2"/>
  <c r="O1146" i="2"/>
  <c r="O1144" i="2"/>
  <c r="O1142" i="2"/>
  <c r="O1140" i="2"/>
  <c r="O1138" i="2"/>
  <c r="O1136" i="2"/>
  <c r="O1134" i="2"/>
  <c r="O1132" i="2"/>
  <c r="O1130" i="2"/>
  <c r="O1128" i="2"/>
  <c r="O1126" i="2"/>
  <c r="O1124" i="2"/>
  <c r="O1155" i="2"/>
  <c r="O1153" i="2"/>
  <c r="O1149" i="2"/>
  <c r="O1145" i="2"/>
  <c r="O1141" i="2"/>
  <c r="O1151" i="2"/>
  <c r="O1147" i="2"/>
  <c r="O1143" i="2"/>
  <c r="O1139" i="2"/>
  <c r="O1135" i="2"/>
  <c r="O1131" i="2"/>
  <c r="O1133" i="2"/>
  <c r="O1120" i="2"/>
  <c r="O1119" i="2"/>
  <c r="O1117" i="2"/>
  <c r="O1115" i="2"/>
  <c r="O1113" i="2"/>
  <c r="O1111" i="2"/>
  <c r="O1109" i="2"/>
  <c r="O1107" i="2"/>
  <c r="O1105" i="2"/>
  <c r="O1103" i="2"/>
  <c r="O1101" i="2"/>
  <c r="O1099" i="2"/>
  <c r="O1097" i="2"/>
  <c r="O1095" i="2"/>
  <c r="O1093" i="2"/>
  <c r="O1137" i="2"/>
  <c r="O1129" i="2"/>
  <c r="O1127" i="2"/>
  <c r="O1125" i="2"/>
  <c r="O1123" i="2"/>
  <c r="O1122" i="2"/>
  <c r="O1121" i="2"/>
  <c r="O1118" i="2"/>
  <c r="O1116" i="2"/>
  <c r="O1114" i="2"/>
  <c r="O1112" i="2"/>
  <c r="O1110" i="2"/>
  <c r="O1108" i="2"/>
  <c r="O1106" i="2"/>
  <c r="O1104" i="2"/>
  <c r="O1096" i="2"/>
  <c r="O1102" i="2"/>
  <c r="O1098" i="2"/>
  <c r="O1094" i="2"/>
  <c r="O1090" i="2"/>
  <c r="O1088" i="2"/>
  <c r="O1086" i="2"/>
  <c r="O1084" i="2"/>
  <c r="O1082" i="2"/>
  <c r="O1080" i="2"/>
  <c r="O1078" i="2"/>
  <c r="O1076" i="2"/>
  <c r="O1074" i="2"/>
  <c r="O1072" i="2"/>
  <c r="O1070" i="2"/>
  <c r="O1068" i="2"/>
  <c r="O1066" i="2"/>
  <c r="O1064" i="2"/>
  <c r="O1062" i="2"/>
  <c r="O1060" i="2"/>
  <c r="O1058" i="2"/>
  <c r="O1056" i="2"/>
  <c r="O1054" i="2"/>
  <c r="O1052" i="2"/>
  <c r="O1050" i="2"/>
  <c r="O1048" i="2"/>
  <c r="O1046" i="2"/>
  <c r="O1044" i="2"/>
  <c r="O1042" i="2"/>
  <c r="O1091" i="2"/>
  <c r="O1087" i="2"/>
  <c r="O1083" i="2"/>
  <c r="O1079" i="2"/>
  <c r="O1075" i="2"/>
  <c r="O1071" i="2"/>
  <c r="O1067" i="2"/>
  <c r="O1063" i="2"/>
  <c r="O1059" i="2"/>
  <c r="O1055" i="2"/>
  <c r="O1051" i="2"/>
  <c r="O1100" i="2"/>
  <c r="O1092" i="2"/>
  <c r="O1089" i="2"/>
  <c r="O1085" i="2"/>
  <c r="O1081" i="2"/>
  <c r="O1077" i="2"/>
  <c r="O1073" i="2"/>
  <c r="O1069" i="2"/>
  <c r="O1065" i="2"/>
  <c r="O1061" i="2"/>
  <c r="O1057" i="2"/>
  <c r="O1053" i="2"/>
  <c r="O1049" i="2"/>
  <c r="O1045" i="2"/>
  <c r="O1047" i="2"/>
  <c r="O1043" i="2"/>
  <c r="O1039" i="2"/>
  <c r="O1038" i="2"/>
  <c r="O1035" i="2"/>
  <c r="O1033" i="2"/>
  <c r="O1031" i="2"/>
  <c r="O1029" i="2"/>
  <c r="O1027" i="2"/>
  <c r="O1025" i="2"/>
  <c r="O1023" i="2"/>
  <c r="O1021" i="2"/>
  <c r="O1019" i="2"/>
  <c r="O1017" i="2"/>
  <c r="O1015" i="2"/>
  <c r="O1013" i="2"/>
  <c r="O1011" i="2"/>
  <c r="O1009" i="2"/>
  <c r="O1007" i="2"/>
  <c r="O1005" i="2"/>
  <c r="O1003" i="2"/>
  <c r="O1001" i="2"/>
  <c r="O999" i="2"/>
  <c r="O997" i="2"/>
  <c r="O995" i="2"/>
  <c r="O993" i="2"/>
  <c r="O991" i="2"/>
  <c r="O989" i="2"/>
  <c r="O987" i="2"/>
  <c r="O985" i="2"/>
  <c r="O1041" i="2"/>
  <c r="O1040" i="2"/>
  <c r="O1037" i="2"/>
  <c r="O1036" i="2"/>
  <c r="O1034" i="2"/>
  <c r="O1032" i="2"/>
  <c r="O1030" i="2"/>
  <c r="O1028" i="2"/>
  <c r="O1026" i="2"/>
  <c r="O1024" i="2"/>
  <c r="O1022" i="2"/>
  <c r="O1020" i="2"/>
  <c r="O1018" i="2"/>
  <c r="O1016" i="2"/>
  <c r="O1014" i="2"/>
  <c r="O1012" i="2"/>
  <c r="O1010" i="2"/>
  <c r="O1008" i="2"/>
  <c r="O1006" i="2"/>
  <c r="O1004" i="2"/>
  <c r="O1002" i="2"/>
  <c r="O1000" i="2"/>
  <c r="O998" i="2"/>
  <c r="O996" i="2"/>
  <c r="O994" i="2"/>
  <c r="O992" i="2"/>
  <c r="O990" i="2"/>
  <c r="O988" i="2"/>
  <c r="O986" i="2"/>
  <c r="O984" i="2"/>
  <c r="O982" i="2"/>
  <c r="O980" i="2"/>
  <c r="O978" i="2"/>
  <c r="O976" i="2"/>
  <c r="O974" i="2"/>
  <c r="O972" i="2"/>
  <c r="O970" i="2"/>
  <c r="O968" i="2"/>
  <c r="O966" i="2"/>
  <c r="O964" i="2"/>
  <c r="O962" i="2"/>
  <c r="O960" i="2"/>
  <c r="O958" i="2"/>
  <c r="O956" i="2"/>
  <c r="O954" i="2"/>
  <c r="O952" i="2"/>
  <c r="O950" i="2"/>
  <c r="O948" i="2"/>
  <c r="O946" i="2"/>
  <c r="O944" i="2"/>
  <c r="O942" i="2"/>
  <c r="O940" i="2"/>
  <c r="O938" i="2"/>
  <c r="O936" i="2"/>
  <c r="O934" i="2"/>
  <c r="O932" i="2"/>
  <c r="O930" i="2"/>
  <c r="O928" i="2"/>
  <c r="O983" i="2"/>
  <c r="O979" i="2"/>
  <c r="O975" i="2"/>
  <c r="O971" i="2"/>
  <c r="O967" i="2"/>
  <c r="O963" i="2"/>
  <c r="O959" i="2"/>
  <c r="O955" i="2"/>
  <c r="O951" i="2"/>
  <c r="O949" i="2"/>
  <c r="O941" i="2"/>
  <c r="O933" i="2"/>
  <c r="O945" i="2"/>
  <c r="O937" i="2"/>
  <c r="O929" i="2"/>
  <c r="O981" i="2"/>
  <c r="O973" i="2"/>
  <c r="O965" i="2"/>
  <c r="O957" i="2"/>
  <c r="O943" i="2"/>
  <c r="O935" i="2"/>
  <c r="O927" i="2"/>
  <c r="O926" i="2"/>
  <c r="O923" i="2"/>
  <c r="O922" i="2"/>
  <c r="O919" i="2"/>
  <c r="O918" i="2"/>
  <c r="O915" i="2"/>
  <c r="O914" i="2"/>
  <c r="O911" i="2"/>
  <c r="O909" i="2"/>
  <c r="O907" i="2"/>
  <c r="O905" i="2"/>
  <c r="O903" i="2"/>
  <c r="O901" i="2"/>
  <c r="O899" i="2"/>
  <c r="O897" i="2"/>
  <c r="O895" i="2"/>
  <c r="O893" i="2"/>
  <c r="O891" i="2"/>
  <c r="O889" i="2"/>
  <c r="O887" i="2"/>
  <c r="O885" i="2"/>
  <c r="O883" i="2"/>
  <c r="O881" i="2"/>
  <c r="O879" i="2"/>
  <c r="O877" i="2"/>
  <c r="O875" i="2"/>
  <c r="O873" i="2"/>
  <c r="O871" i="2"/>
  <c r="O869" i="2"/>
  <c r="O867" i="2"/>
  <c r="O865" i="2"/>
  <c r="O863" i="2"/>
  <c r="O861" i="2"/>
  <c r="O859" i="2"/>
  <c r="O857" i="2"/>
  <c r="O855" i="2"/>
  <c r="O853" i="2"/>
  <c r="O851" i="2"/>
  <c r="O849" i="2"/>
  <c r="O847" i="2"/>
  <c r="O845" i="2"/>
  <c r="O843" i="2"/>
  <c r="O841" i="2"/>
  <c r="O839" i="2"/>
  <c r="O837" i="2"/>
  <c r="O835" i="2"/>
  <c r="O833" i="2"/>
  <c r="O831" i="2"/>
  <c r="O829" i="2"/>
  <c r="O827" i="2"/>
  <c r="O939" i="2"/>
  <c r="O920" i="2"/>
  <c r="O912" i="2"/>
  <c r="O910" i="2"/>
  <c r="O906" i="2"/>
  <c r="O902" i="2"/>
  <c r="O898" i="2"/>
  <c r="O894" i="2"/>
  <c r="O890" i="2"/>
  <c r="O886" i="2"/>
  <c r="O882" i="2"/>
  <c r="O878" i="2"/>
  <c r="O874" i="2"/>
  <c r="O870" i="2"/>
  <c r="O866" i="2"/>
  <c r="O862" i="2"/>
  <c r="O858" i="2"/>
  <c r="O854" i="2"/>
  <c r="O850" i="2"/>
  <c r="O846" i="2"/>
  <c r="O842" i="2"/>
  <c r="O969" i="2"/>
  <c r="O953" i="2"/>
  <c r="O947" i="2"/>
  <c r="O921" i="2"/>
  <c r="O917" i="2"/>
  <c r="O825" i="2"/>
  <c r="O823" i="2"/>
  <c r="O821" i="2"/>
  <c r="O819" i="2"/>
  <c r="O817" i="2"/>
  <c r="O815" i="2"/>
  <c r="O813" i="2"/>
  <c r="O811" i="2"/>
  <c r="O809" i="2"/>
  <c r="O807" i="2"/>
  <c r="O805" i="2"/>
  <c r="O803" i="2"/>
  <c r="O801" i="2"/>
  <c r="O799" i="2"/>
  <c r="O797" i="2"/>
  <c r="O795" i="2"/>
  <c r="O925" i="2"/>
  <c r="O913" i="2"/>
  <c r="O908" i="2"/>
  <c r="O904" i="2"/>
  <c r="O900" i="2"/>
  <c r="O896" i="2"/>
  <c r="O892" i="2"/>
  <c r="O888" i="2"/>
  <c r="O884" i="2"/>
  <c r="O880" i="2"/>
  <c r="O876" i="2"/>
  <c r="O872" i="2"/>
  <c r="O868" i="2"/>
  <c r="O864" i="2"/>
  <c r="O860" i="2"/>
  <c r="O856" i="2"/>
  <c r="O852" i="2"/>
  <c r="O848" i="2"/>
  <c r="O977" i="2"/>
  <c r="O961" i="2"/>
  <c r="O931" i="2"/>
  <c r="O924" i="2"/>
  <c r="O916" i="2"/>
  <c r="O824" i="2"/>
  <c r="O822" i="2"/>
  <c r="O820" i="2"/>
  <c r="O818" i="2"/>
  <c r="O816" i="2"/>
  <c r="O814" i="2"/>
  <c r="O812" i="2"/>
  <c r="O810" i="2"/>
  <c r="O808" i="2"/>
  <c r="O806" i="2"/>
  <c r="O804" i="2"/>
  <c r="O802" i="2"/>
  <c r="O800" i="2"/>
  <c r="O798" i="2"/>
  <c r="O796" i="2"/>
  <c r="O794" i="2"/>
  <c r="O792" i="2"/>
  <c r="O790" i="2"/>
  <c r="O788" i="2"/>
  <c r="O786" i="2"/>
  <c r="O784" i="2"/>
  <c r="O782" i="2"/>
  <c r="O780" i="2"/>
  <c r="O778" i="2"/>
  <c r="O776" i="2"/>
  <c r="O774" i="2"/>
  <c r="O772" i="2"/>
  <c r="O770" i="2"/>
  <c r="O768" i="2"/>
  <c r="O766" i="2"/>
  <c r="O764" i="2"/>
  <c r="O762" i="2"/>
  <c r="O760" i="2"/>
  <c r="O758" i="2"/>
  <c r="O756" i="2"/>
  <c r="O754" i="2"/>
  <c r="O752" i="2"/>
  <c r="O750" i="2"/>
  <c r="O748" i="2"/>
  <c r="O746" i="2"/>
  <c r="O744" i="2"/>
  <c r="O742" i="2"/>
  <c r="O740" i="2"/>
  <c r="O738" i="2"/>
  <c r="O736" i="2"/>
  <c r="O734" i="2"/>
  <c r="O732" i="2"/>
  <c r="O730" i="2"/>
  <c r="O728" i="2"/>
  <c r="O726" i="2"/>
  <c r="O724" i="2"/>
  <c r="O844" i="2"/>
  <c r="O840" i="2"/>
  <c r="O838" i="2"/>
  <c r="O836" i="2"/>
  <c r="O834" i="2"/>
  <c r="O832" i="2"/>
  <c r="O830" i="2"/>
  <c r="O828" i="2"/>
  <c r="O826" i="2"/>
  <c r="O793" i="2"/>
  <c r="O789" i="2"/>
  <c r="O785" i="2"/>
  <c r="O781" i="2"/>
  <c r="O791" i="2"/>
  <c r="O787" i="2"/>
  <c r="O783" i="2"/>
  <c r="O779" i="2"/>
  <c r="O775" i="2"/>
  <c r="O771" i="2"/>
  <c r="O763" i="2"/>
  <c r="O755" i="2"/>
  <c r="O747" i="2"/>
  <c r="O743" i="2"/>
  <c r="O739" i="2"/>
  <c r="O735" i="2"/>
  <c r="O731" i="2"/>
  <c r="O727" i="2"/>
  <c r="O723" i="2"/>
  <c r="O773" i="2"/>
  <c r="O769" i="2"/>
  <c r="O761" i="2"/>
  <c r="O753" i="2"/>
  <c r="O721" i="2"/>
  <c r="O719" i="2"/>
  <c r="O717" i="2"/>
  <c r="O715" i="2"/>
  <c r="O713" i="2"/>
  <c r="O711" i="2"/>
  <c r="O709" i="2"/>
  <c r="O707" i="2"/>
  <c r="O705" i="2"/>
  <c r="O703" i="2"/>
  <c r="O701" i="2"/>
  <c r="O699" i="2"/>
  <c r="O697" i="2"/>
  <c r="O695" i="2"/>
  <c r="O693" i="2"/>
  <c r="O691" i="2"/>
  <c r="O689" i="2"/>
  <c r="O687" i="2"/>
  <c r="O685" i="2"/>
  <c r="O683" i="2"/>
  <c r="O681" i="2"/>
  <c r="O679" i="2"/>
  <c r="O677" i="2"/>
  <c r="O675" i="2"/>
  <c r="O673" i="2"/>
  <c r="O671" i="2"/>
  <c r="O669" i="2"/>
  <c r="O667" i="2"/>
  <c r="O665" i="2"/>
  <c r="O663" i="2"/>
  <c r="O661" i="2"/>
  <c r="O659" i="2"/>
  <c r="O657" i="2"/>
  <c r="O655" i="2"/>
  <c r="O653" i="2"/>
  <c r="O651" i="2"/>
  <c r="O649" i="2"/>
  <c r="O647" i="2"/>
  <c r="O645" i="2"/>
  <c r="O643" i="2"/>
  <c r="O641" i="2"/>
  <c r="O639" i="2"/>
  <c r="O637" i="2"/>
  <c r="O635" i="2"/>
  <c r="O633" i="2"/>
  <c r="O631" i="2"/>
  <c r="O629" i="2"/>
  <c r="O627" i="2"/>
  <c r="O625" i="2"/>
  <c r="O623" i="2"/>
  <c r="O621" i="2"/>
  <c r="O619" i="2"/>
  <c r="O617" i="2"/>
  <c r="O615" i="2"/>
  <c r="O613" i="2"/>
  <c r="O611" i="2"/>
  <c r="O609" i="2"/>
  <c r="O607" i="2"/>
  <c r="O605" i="2"/>
  <c r="O603" i="2"/>
  <c r="O767" i="2"/>
  <c r="O759" i="2"/>
  <c r="O751" i="2"/>
  <c r="O745" i="2"/>
  <c r="O741" i="2"/>
  <c r="O737" i="2"/>
  <c r="O733" i="2"/>
  <c r="O729" i="2"/>
  <c r="O725" i="2"/>
  <c r="O777" i="2"/>
  <c r="O765" i="2"/>
  <c r="O757" i="2"/>
  <c r="O749" i="2"/>
  <c r="O722" i="2"/>
  <c r="O720" i="2"/>
  <c r="O718" i="2"/>
  <c r="O716" i="2"/>
  <c r="O714" i="2"/>
  <c r="O712" i="2"/>
  <c r="O710" i="2"/>
  <c r="O708" i="2"/>
  <c r="O706" i="2"/>
  <c r="O704" i="2"/>
  <c r="O702" i="2"/>
  <c r="O700" i="2"/>
  <c r="O698" i="2"/>
  <c r="O696" i="2"/>
  <c r="O694" i="2"/>
  <c r="O692" i="2"/>
  <c r="O690" i="2"/>
  <c r="O688" i="2"/>
  <c r="O686" i="2"/>
  <c r="O684" i="2"/>
  <c r="O682" i="2"/>
  <c r="O680" i="2"/>
  <c r="O678" i="2"/>
  <c r="O676" i="2"/>
  <c r="O674" i="2"/>
  <c r="O672" i="2"/>
  <c r="O670" i="2"/>
  <c r="O668" i="2"/>
  <c r="O666" i="2"/>
  <c r="O664" i="2"/>
  <c r="O662" i="2"/>
  <c r="O660" i="2"/>
  <c r="O658" i="2"/>
  <c r="O656" i="2"/>
  <c r="O654" i="2"/>
  <c r="O652" i="2"/>
  <c r="O650" i="2"/>
  <c r="O648" i="2"/>
  <c r="O646" i="2"/>
  <c r="O644" i="2"/>
  <c r="O642" i="2"/>
  <c r="O640" i="2"/>
  <c r="O638" i="2"/>
  <c r="O636" i="2"/>
  <c r="O634" i="2"/>
  <c r="O632" i="2"/>
  <c r="O630" i="2"/>
  <c r="O628" i="2"/>
  <c r="O626" i="2"/>
  <c r="O624" i="2"/>
  <c r="O622" i="2"/>
  <c r="O620" i="2"/>
  <c r="O618" i="2"/>
  <c r="O616" i="2"/>
  <c r="O614" i="2"/>
  <c r="O612" i="2"/>
  <c r="O610" i="2"/>
  <c r="O608" i="2"/>
  <c r="O606" i="2"/>
  <c r="O604" i="2"/>
  <c r="O602" i="2"/>
  <c r="O600" i="2"/>
  <c r="O598" i="2"/>
  <c r="O596" i="2"/>
  <c r="O594" i="2"/>
  <c r="O592" i="2"/>
  <c r="O590" i="2"/>
  <c r="O588" i="2"/>
  <c r="O586" i="2"/>
  <c r="O584" i="2"/>
  <c r="O582" i="2"/>
  <c r="O580" i="2"/>
  <c r="O578" i="2"/>
  <c r="O576" i="2"/>
  <c r="O574" i="2"/>
  <c r="O572" i="2"/>
  <c r="O570" i="2"/>
  <c r="O568" i="2"/>
  <c r="O566" i="2"/>
  <c r="O564" i="2"/>
  <c r="O562" i="2"/>
  <c r="O560" i="2"/>
  <c r="O558" i="2"/>
  <c r="O556" i="2"/>
  <c r="O554" i="2"/>
  <c r="O552" i="2"/>
  <c r="O550" i="2"/>
  <c r="O548" i="2"/>
  <c r="O546" i="2"/>
  <c r="O544" i="2"/>
  <c r="O542" i="2"/>
  <c r="O540" i="2"/>
  <c r="O538" i="2"/>
  <c r="O536" i="2"/>
  <c r="O534" i="2"/>
  <c r="O532" i="2"/>
  <c r="O530" i="2"/>
  <c r="O601" i="2"/>
  <c r="O597" i="2"/>
  <c r="O593" i="2"/>
  <c r="O589" i="2"/>
  <c r="O585" i="2"/>
  <c r="O581" i="2"/>
  <c r="O577" i="2"/>
  <c r="O573" i="2"/>
  <c r="O569" i="2"/>
  <c r="O565" i="2"/>
  <c r="O561" i="2"/>
  <c r="O557" i="2"/>
  <c r="O553" i="2"/>
  <c r="O549" i="2"/>
  <c r="O545" i="2"/>
  <c r="O541" i="2"/>
  <c r="O537" i="2"/>
  <c r="O533" i="2"/>
  <c r="O529" i="2"/>
  <c r="O527" i="2"/>
  <c r="O525" i="2"/>
  <c r="O523" i="2"/>
  <c r="O521" i="2"/>
  <c r="O519" i="2"/>
  <c r="O517" i="2"/>
  <c r="O515" i="2"/>
  <c r="O513" i="2"/>
  <c r="O511" i="2"/>
  <c r="O509" i="2"/>
  <c r="O507" i="2"/>
  <c r="O505" i="2"/>
  <c r="O503" i="2"/>
  <c r="O501" i="2"/>
  <c r="O499" i="2"/>
  <c r="O497" i="2"/>
  <c r="O495" i="2"/>
  <c r="O493" i="2"/>
  <c r="O491" i="2"/>
  <c r="O489" i="2"/>
  <c r="O487" i="2"/>
  <c r="O485" i="2"/>
  <c r="O483" i="2"/>
  <c r="O481" i="2"/>
  <c r="O479" i="2"/>
  <c r="O477" i="2"/>
  <c r="O475" i="2"/>
  <c r="O473" i="2"/>
  <c r="O471" i="2"/>
  <c r="O469" i="2"/>
  <c r="O467" i="2"/>
  <c r="O465" i="2"/>
  <c r="O463" i="2"/>
  <c r="O461" i="2"/>
  <c r="O459" i="2"/>
  <c r="O457" i="2"/>
  <c r="O455" i="2"/>
  <c r="O453" i="2"/>
  <c r="O451" i="2"/>
  <c r="O449" i="2"/>
  <c r="O447" i="2"/>
  <c r="O445" i="2"/>
  <c r="O443" i="2"/>
  <c r="O441" i="2"/>
  <c r="O439" i="2"/>
  <c r="O437" i="2"/>
  <c r="O435" i="2"/>
  <c r="O433" i="2"/>
  <c r="O431" i="2"/>
  <c r="O429" i="2"/>
  <c r="O427" i="2"/>
  <c r="O425" i="2"/>
  <c r="O423" i="2"/>
  <c r="O421" i="2"/>
  <c r="O419" i="2"/>
  <c r="O417" i="2"/>
  <c r="O415" i="2"/>
  <c r="O413" i="2"/>
  <c r="O411" i="2"/>
  <c r="O409" i="2"/>
  <c r="O407" i="2"/>
  <c r="O405" i="2"/>
  <c r="O403" i="2"/>
  <c r="O401" i="2"/>
  <c r="O399" i="2"/>
  <c r="O397" i="2"/>
  <c r="O395" i="2"/>
  <c r="O393" i="2"/>
  <c r="O391" i="2"/>
  <c r="O389" i="2"/>
  <c r="O387" i="2"/>
  <c r="O385" i="2"/>
  <c r="O383" i="2"/>
  <c r="O381" i="2"/>
  <c r="O379" i="2"/>
  <c r="O377" i="2"/>
  <c r="O375" i="2"/>
  <c r="O373" i="2"/>
  <c r="O371" i="2"/>
  <c r="O369" i="2"/>
  <c r="O367" i="2"/>
  <c r="O365" i="2"/>
  <c r="O363" i="2"/>
  <c r="O361" i="2"/>
  <c r="O359" i="2"/>
  <c r="O357" i="2"/>
  <c r="O355" i="2"/>
  <c r="O353" i="2"/>
  <c r="O351" i="2"/>
  <c r="O349" i="2"/>
  <c r="O347" i="2"/>
  <c r="O345" i="2"/>
  <c r="O343" i="2"/>
  <c r="O341" i="2"/>
  <c r="O339" i="2"/>
  <c r="O337" i="2"/>
  <c r="O335" i="2"/>
  <c r="O333" i="2"/>
  <c r="O331" i="2"/>
  <c r="O329" i="2"/>
  <c r="O327" i="2"/>
  <c r="O325" i="2"/>
  <c r="O323" i="2"/>
  <c r="O321" i="2"/>
  <c r="O319" i="2"/>
  <c r="O317" i="2"/>
  <c r="O315" i="2"/>
  <c r="O313" i="2"/>
  <c r="O311" i="2"/>
  <c r="O309" i="2"/>
  <c r="O307" i="2"/>
  <c r="O305" i="2"/>
  <c r="O303" i="2"/>
  <c r="O301" i="2"/>
  <c r="O299" i="2"/>
  <c r="O297" i="2"/>
  <c r="O295" i="2"/>
  <c r="O293" i="2"/>
  <c r="O291" i="2"/>
  <c r="O289" i="2"/>
  <c r="O287" i="2"/>
  <c r="O285" i="2"/>
  <c r="O283" i="2"/>
  <c r="O281" i="2"/>
  <c r="O279" i="2"/>
  <c r="O277" i="2"/>
  <c r="O275" i="2"/>
  <c r="O273" i="2"/>
  <c r="O271" i="2"/>
  <c r="O269" i="2"/>
  <c r="O267" i="2"/>
  <c r="O265" i="2"/>
  <c r="O263" i="2"/>
  <c r="O261" i="2"/>
  <c r="O259" i="2"/>
  <c r="O257" i="2"/>
  <c r="O255" i="2"/>
  <c r="O253" i="2"/>
  <c r="O251" i="2"/>
  <c r="O249" i="2"/>
  <c r="O247" i="2"/>
  <c r="O245" i="2"/>
  <c r="O243" i="2"/>
  <c r="O241" i="2"/>
  <c r="O239" i="2"/>
  <c r="O237" i="2"/>
  <c r="O235" i="2"/>
  <c r="O233" i="2"/>
  <c r="O595" i="2"/>
  <c r="O587" i="2"/>
  <c r="O579" i="2"/>
  <c r="O571" i="2"/>
  <c r="O563" i="2"/>
  <c r="O555" i="2"/>
  <c r="O547" i="2"/>
  <c r="O539" i="2"/>
  <c r="O531" i="2"/>
  <c r="O492" i="2"/>
  <c r="O488" i="2"/>
  <c r="O484" i="2"/>
  <c r="O480" i="2"/>
  <c r="O476" i="2"/>
  <c r="O472" i="2"/>
  <c r="O468" i="2"/>
  <c r="O464" i="2"/>
  <c r="O460" i="2"/>
  <c r="O456" i="2"/>
  <c r="O452" i="2"/>
  <c r="O448" i="2"/>
  <c r="O444" i="2"/>
  <c r="O440" i="2"/>
  <c r="O436" i="2"/>
  <c r="O432" i="2"/>
  <c r="O428" i="2"/>
  <c r="O424" i="2"/>
  <c r="O420" i="2"/>
  <c r="O416" i="2"/>
  <c r="O412" i="2"/>
  <c r="O408" i="2"/>
  <c r="O404" i="2"/>
  <c r="O400" i="2"/>
  <c r="O599" i="2"/>
  <c r="O591" i="2"/>
  <c r="O583" i="2"/>
  <c r="O575" i="2"/>
  <c r="O567" i="2"/>
  <c r="O559" i="2"/>
  <c r="O551" i="2"/>
  <c r="O543" i="2"/>
  <c r="O535" i="2"/>
  <c r="O494" i="2"/>
  <c r="O490" i="2"/>
  <c r="O486" i="2"/>
  <c r="O482" i="2"/>
  <c r="O478" i="2"/>
  <c r="O474" i="2"/>
  <c r="O470" i="2"/>
  <c r="O466" i="2"/>
  <c r="O462" i="2"/>
  <c r="O458" i="2"/>
  <c r="O454" i="2"/>
  <c r="O450" i="2"/>
  <c r="O446" i="2"/>
  <c r="O442" i="2"/>
  <c r="O438" i="2"/>
  <c r="O434" i="2"/>
  <c r="O430" i="2"/>
  <c r="O426" i="2"/>
  <c r="O422" i="2"/>
  <c r="O418" i="2"/>
  <c r="O414" i="2"/>
  <c r="O410" i="2"/>
  <c r="O406" i="2"/>
  <c r="O402" i="2"/>
  <c r="O398" i="2"/>
  <c r="O394" i="2"/>
  <c r="O390" i="2"/>
  <c r="O528" i="2"/>
  <c r="O526" i="2"/>
  <c r="O524" i="2"/>
  <c r="O522" i="2"/>
  <c r="O520" i="2"/>
  <c r="O518" i="2"/>
  <c r="O516" i="2"/>
  <c r="O514" i="2"/>
  <c r="O512" i="2"/>
  <c r="O510" i="2"/>
  <c r="O508" i="2"/>
  <c r="O506" i="2"/>
  <c r="O504" i="2"/>
  <c r="O502" i="2"/>
  <c r="O500" i="2"/>
  <c r="O498" i="2"/>
  <c r="O496" i="2"/>
  <c r="O382" i="2"/>
  <c r="O374" i="2"/>
  <c r="O366" i="2"/>
  <c r="O358" i="2"/>
  <c r="O350" i="2"/>
  <c r="O342" i="2"/>
  <c r="O334" i="2"/>
  <c r="O326" i="2"/>
  <c r="O318" i="2"/>
  <c r="O310" i="2"/>
  <c r="O302" i="2"/>
  <c r="O294" i="2"/>
  <c r="O286" i="2"/>
  <c r="O278" i="2"/>
  <c r="O270" i="2"/>
  <c r="O262" i="2"/>
  <c r="O392" i="2"/>
  <c r="O380" i="2"/>
  <c r="O372" i="2"/>
  <c r="O364" i="2"/>
  <c r="O356" i="2"/>
  <c r="O348" i="2"/>
  <c r="O340" i="2"/>
  <c r="O332" i="2"/>
  <c r="O324" i="2"/>
  <c r="O316" i="2"/>
  <c r="O308" i="2"/>
  <c r="O386" i="2"/>
  <c r="O378" i="2"/>
  <c r="O370" i="2"/>
  <c r="O362" i="2"/>
  <c r="O354" i="2"/>
  <c r="O346" i="2"/>
  <c r="O338" i="2"/>
  <c r="O330" i="2"/>
  <c r="O322" i="2"/>
  <c r="O314" i="2"/>
  <c r="O306" i="2"/>
  <c r="O298" i="2"/>
  <c r="O290" i="2"/>
  <c r="O282" i="2"/>
  <c r="O274" i="2"/>
  <c r="O266" i="2"/>
  <c r="O396" i="2"/>
  <c r="O388" i="2"/>
  <c r="O384" i="2"/>
  <c r="O376" i="2"/>
  <c r="O368" i="2"/>
  <c r="O360" i="2"/>
  <c r="O352" i="2"/>
  <c r="O344" i="2"/>
  <c r="O336" i="2"/>
  <c r="O328" i="2"/>
  <c r="O320" i="2"/>
  <c r="O312" i="2"/>
  <c r="O304" i="2"/>
  <c r="O296" i="2"/>
  <c r="O288" i="2"/>
  <c r="O280" i="2"/>
  <c r="O264" i="2"/>
  <c r="O248" i="2"/>
  <c r="O242" i="2"/>
  <c r="O238" i="2"/>
  <c r="O234" i="2"/>
  <c r="O292" i="2"/>
  <c r="O284" i="2"/>
  <c r="O268" i="2"/>
  <c r="O254" i="2"/>
  <c r="O246" i="2"/>
  <c r="O231" i="2"/>
  <c r="O229" i="2"/>
  <c r="O227" i="2"/>
  <c r="O225" i="2"/>
  <c r="O223" i="2"/>
  <c r="O221" i="2"/>
  <c r="O219" i="2"/>
  <c r="O217" i="2"/>
  <c r="O215" i="2"/>
  <c r="O213" i="2"/>
  <c r="O211" i="2"/>
  <c r="O209" i="2"/>
  <c r="O207" i="2"/>
  <c r="O205" i="2"/>
  <c r="O203" i="2"/>
  <c r="O201" i="2"/>
  <c r="O199" i="2"/>
  <c r="O197" i="2"/>
  <c r="O195" i="2"/>
  <c r="O193" i="2"/>
  <c r="O191" i="2"/>
  <c r="O189" i="2"/>
  <c r="O187" i="2"/>
  <c r="O185" i="2"/>
  <c r="O183" i="2"/>
  <c r="O181" i="2"/>
  <c r="O179" i="2"/>
  <c r="O177" i="2"/>
  <c r="O175" i="2"/>
  <c r="O173" i="2"/>
  <c r="O171" i="2"/>
  <c r="O169" i="2"/>
  <c r="O167" i="2"/>
  <c r="O165" i="2"/>
  <c r="O163" i="2"/>
  <c r="O161" i="2"/>
  <c r="O159" i="2"/>
  <c r="O157" i="2"/>
  <c r="O155" i="2"/>
  <c r="O153" i="2"/>
  <c r="O151" i="2"/>
  <c r="O149" i="2"/>
  <c r="O147" i="2"/>
  <c r="O145" i="2"/>
  <c r="O143" i="2"/>
  <c r="O141" i="2"/>
  <c r="O139" i="2"/>
  <c r="O137" i="2"/>
  <c r="O135" i="2"/>
  <c r="O133" i="2"/>
  <c r="O131" i="2"/>
  <c r="O129" i="2"/>
  <c r="O127" i="2"/>
  <c r="O125" i="2"/>
  <c r="O123" i="2"/>
  <c r="O121" i="2"/>
  <c r="O119" i="2"/>
  <c r="O117" i="2"/>
  <c r="O115" i="2"/>
  <c r="O113" i="2"/>
  <c r="O111" i="2"/>
  <c r="O109" i="2"/>
  <c r="O107" i="2"/>
  <c r="O105" i="2"/>
  <c r="O103" i="2"/>
  <c r="O101" i="2"/>
  <c r="O99" i="2"/>
  <c r="O97" i="2"/>
  <c r="O95" i="2"/>
  <c r="O93" i="2"/>
  <c r="O91" i="2"/>
  <c r="O89" i="2"/>
  <c r="O87" i="2"/>
  <c r="O85" i="2"/>
  <c r="O83" i="2"/>
  <c r="O81" i="2"/>
  <c r="O79" i="2"/>
  <c r="O77" i="2"/>
  <c r="O75" i="2"/>
  <c r="O73" i="2"/>
  <c r="O71" i="2"/>
  <c r="O69" i="2"/>
  <c r="O67" i="2"/>
  <c r="O65" i="2"/>
  <c r="O63" i="2"/>
  <c r="O61" i="2"/>
  <c r="O59" i="2"/>
  <c r="O57" i="2"/>
  <c r="O55" i="2"/>
  <c r="O53" i="2"/>
  <c r="O51" i="2"/>
  <c r="O49" i="2"/>
  <c r="O47" i="2"/>
  <c r="O45" i="2"/>
  <c r="O43" i="2"/>
  <c r="O41" i="2"/>
  <c r="O39" i="2"/>
  <c r="O37" i="2"/>
  <c r="O35" i="2"/>
  <c r="O33" i="2"/>
  <c r="O31" i="2"/>
  <c r="O29" i="2"/>
  <c r="O27" i="2"/>
  <c r="O25" i="2"/>
  <c r="O23" i="2"/>
  <c r="O21" i="2"/>
  <c r="O19" i="2"/>
  <c r="O17" i="2"/>
  <c r="O15" i="2"/>
  <c r="O13" i="2"/>
  <c r="O11" i="2"/>
  <c r="O9" i="2"/>
  <c r="N2" i="2"/>
  <c r="O300" i="2"/>
  <c r="O272" i="2"/>
  <c r="O258" i="2"/>
  <c r="O256" i="2"/>
  <c r="O252" i="2"/>
  <c r="O244" i="2"/>
  <c r="O240" i="2"/>
  <c r="O236" i="2"/>
  <c r="O232" i="2"/>
  <c r="P2" i="2"/>
  <c r="O7" i="2"/>
  <c r="O276" i="2"/>
  <c r="O260" i="2"/>
  <c r="O250" i="2"/>
  <c r="O230" i="2"/>
  <c r="O228" i="2"/>
  <c r="O226" i="2"/>
  <c r="O224" i="2"/>
  <c r="O222" i="2"/>
  <c r="O220" i="2"/>
  <c r="O218" i="2"/>
  <c r="O216" i="2"/>
  <c r="O214" i="2"/>
  <c r="O212" i="2"/>
  <c r="O210" i="2"/>
  <c r="O208" i="2"/>
  <c r="O206" i="2"/>
  <c r="O204" i="2"/>
  <c r="O202" i="2"/>
  <c r="O200" i="2"/>
  <c r="O198" i="2"/>
  <c r="O196" i="2"/>
  <c r="O194" i="2"/>
  <c r="O192" i="2"/>
  <c r="O190" i="2"/>
  <c r="O188" i="2"/>
  <c r="O186" i="2"/>
  <c r="O184" i="2"/>
  <c r="O182" i="2"/>
  <c r="O180" i="2"/>
  <c r="O178" i="2"/>
  <c r="O176" i="2"/>
  <c r="O174" i="2"/>
  <c r="O172" i="2"/>
  <c r="O170" i="2"/>
  <c r="O168" i="2"/>
  <c r="O166" i="2"/>
  <c r="O164" i="2"/>
  <c r="O162" i="2"/>
  <c r="O160" i="2"/>
  <c r="O158" i="2"/>
  <c r="O156" i="2"/>
  <c r="O154" i="2"/>
  <c r="O152" i="2"/>
  <c r="O150" i="2"/>
  <c r="O148" i="2"/>
  <c r="O146" i="2"/>
  <c r="O144" i="2"/>
  <c r="O142" i="2"/>
  <c r="O140" i="2"/>
  <c r="O138" i="2"/>
  <c r="O136" i="2"/>
  <c r="O134" i="2"/>
  <c r="O132" i="2"/>
  <c r="O130" i="2"/>
  <c r="O128" i="2"/>
  <c r="O126" i="2"/>
  <c r="O124" i="2"/>
  <c r="O122" i="2"/>
  <c r="O120" i="2"/>
  <c r="O118" i="2"/>
  <c r="O116" i="2"/>
  <c r="O114" i="2"/>
  <c r="O112" i="2"/>
  <c r="O110" i="2"/>
  <c r="O108" i="2"/>
  <c r="O106" i="2"/>
  <c r="O104" i="2"/>
  <c r="O102" i="2"/>
  <c r="O100" i="2"/>
  <c r="O98" i="2"/>
  <c r="O96" i="2"/>
  <c r="O94" i="2"/>
  <c r="O92" i="2"/>
  <c r="O90" i="2"/>
  <c r="O88" i="2"/>
  <c r="O86" i="2"/>
  <c r="O84" i="2"/>
  <c r="O82" i="2"/>
  <c r="O80" i="2"/>
  <c r="O78" i="2"/>
  <c r="O76" i="2"/>
  <c r="O74" i="2"/>
  <c r="O72" i="2"/>
  <c r="O70" i="2"/>
  <c r="O68" i="2"/>
  <c r="O66" i="2"/>
  <c r="O64" i="2"/>
  <c r="O62" i="2"/>
  <c r="O60" i="2"/>
  <c r="O58" i="2"/>
  <c r="O56" i="2"/>
  <c r="O54" i="2"/>
  <c r="O52" i="2"/>
  <c r="O50" i="2"/>
  <c r="O48" i="2"/>
  <c r="O46" i="2"/>
  <c r="O44" i="2"/>
  <c r="O42" i="2"/>
  <c r="O40" i="2"/>
  <c r="O38" i="2"/>
  <c r="O36" i="2"/>
  <c r="O34" i="2"/>
  <c r="O32" i="2"/>
  <c r="O30" i="2"/>
  <c r="O28" i="2"/>
  <c r="O26" i="2"/>
  <c r="O24" i="2"/>
  <c r="O22" i="2"/>
  <c r="O20" i="2"/>
  <c r="O18" i="2"/>
  <c r="O16" i="2"/>
  <c r="O14" i="2"/>
  <c r="O12" i="2"/>
  <c r="O10" i="2"/>
  <c r="O8" i="2"/>
  <c r="O2" i="2"/>
  <c r="F9" i="2" l="1"/>
  <c r="H7" i="2"/>
  <c r="H8" i="2" s="1"/>
  <c r="I8" i="2" s="1"/>
  <c r="Q7" i="2"/>
  <c r="P11" i="2"/>
  <c r="Q10" i="2"/>
  <c r="Q8" i="2"/>
  <c r="Q9" i="2"/>
  <c r="G1158" i="1"/>
  <c r="B1158" i="1"/>
  <c r="G1157" i="1"/>
  <c r="B1157" i="1"/>
  <c r="G1156" i="1"/>
  <c r="B1156" i="1"/>
  <c r="G1155" i="1"/>
  <c r="B1155" i="1"/>
  <c r="G1154" i="1"/>
  <c r="B1154" i="1"/>
  <c r="G1153" i="1"/>
  <c r="B1153" i="1"/>
  <c r="G1152" i="1"/>
  <c r="B1152" i="1"/>
  <c r="G1151" i="1"/>
  <c r="B1151" i="1"/>
  <c r="G1150" i="1"/>
  <c r="B1150" i="1"/>
  <c r="G1149" i="1"/>
  <c r="B1149" i="1"/>
  <c r="G1148" i="1"/>
  <c r="B1148" i="1"/>
  <c r="G1147" i="1"/>
  <c r="B1147" i="1"/>
  <c r="G1146" i="1"/>
  <c r="B1146" i="1"/>
  <c r="G1145" i="1"/>
  <c r="B1145" i="1"/>
  <c r="G1144" i="1"/>
  <c r="B1144" i="1"/>
  <c r="G1143" i="1"/>
  <c r="B1143" i="1"/>
  <c r="G1142" i="1"/>
  <c r="B1142" i="1"/>
  <c r="G1141" i="1"/>
  <c r="B1141" i="1"/>
  <c r="G1140" i="1"/>
  <c r="B1140" i="1"/>
  <c r="G1139" i="1"/>
  <c r="B1139" i="1"/>
  <c r="G1138" i="1"/>
  <c r="B1138" i="1"/>
  <c r="G1137" i="1"/>
  <c r="B1137" i="1"/>
  <c r="G1136" i="1"/>
  <c r="B1136" i="1"/>
  <c r="G1135" i="1"/>
  <c r="B1135" i="1"/>
  <c r="G1134" i="1"/>
  <c r="B1134" i="1"/>
  <c r="G1133" i="1"/>
  <c r="B1133" i="1"/>
  <c r="G1132" i="1"/>
  <c r="B1132" i="1"/>
  <c r="G1131" i="1"/>
  <c r="B1131" i="1"/>
  <c r="G1130" i="1"/>
  <c r="B1130" i="1"/>
  <c r="G1129" i="1"/>
  <c r="B1129" i="1"/>
  <c r="G1128" i="1"/>
  <c r="B1128" i="1"/>
  <c r="G1127" i="1"/>
  <c r="B1127" i="1"/>
  <c r="G1126" i="1"/>
  <c r="B1126" i="1"/>
  <c r="G1125" i="1"/>
  <c r="B1125" i="1"/>
  <c r="G1124" i="1"/>
  <c r="B1124" i="1"/>
  <c r="G1123" i="1"/>
  <c r="B1123" i="1"/>
  <c r="G1122" i="1"/>
  <c r="B1122" i="1"/>
  <c r="G1121" i="1"/>
  <c r="B1121" i="1"/>
  <c r="G1120" i="1"/>
  <c r="B1120" i="1"/>
  <c r="G1119" i="1"/>
  <c r="B1119" i="1"/>
  <c r="G1118" i="1"/>
  <c r="B1118" i="1"/>
  <c r="G1117" i="1"/>
  <c r="B1117" i="1"/>
  <c r="G1116" i="1"/>
  <c r="B1116" i="1"/>
  <c r="G1115" i="1"/>
  <c r="B1115" i="1"/>
  <c r="G1114" i="1"/>
  <c r="B1114" i="1"/>
  <c r="G1113" i="1"/>
  <c r="B1113" i="1"/>
  <c r="G1112" i="1"/>
  <c r="B1112" i="1"/>
  <c r="G1111" i="1"/>
  <c r="B1111" i="1"/>
  <c r="G1110" i="1"/>
  <c r="B1110" i="1"/>
  <c r="G1109" i="1"/>
  <c r="B1109" i="1"/>
  <c r="G1108" i="1"/>
  <c r="B1108" i="1"/>
  <c r="G1107" i="1"/>
  <c r="B1107" i="1"/>
  <c r="G1106" i="1"/>
  <c r="B1106" i="1"/>
  <c r="G1105" i="1"/>
  <c r="B1105" i="1"/>
  <c r="G1104" i="1"/>
  <c r="B1104" i="1"/>
  <c r="G1103" i="1"/>
  <c r="B1103" i="1"/>
  <c r="G1102" i="1"/>
  <c r="B1102" i="1"/>
  <c r="G1101" i="1"/>
  <c r="B1101" i="1"/>
  <c r="G1100" i="1"/>
  <c r="B1100" i="1"/>
  <c r="G1099" i="1"/>
  <c r="B1099" i="1"/>
  <c r="G1098" i="1"/>
  <c r="B1098" i="1"/>
  <c r="G1097" i="1"/>
  <c r="B1097" i="1"/>
  <c r="G1096" i="1"/>
  <c r="B1096" i="1"/>
  <c r="G1095" i="1"/>
  <c r="B1095" i="1"/>
  <c r="G1094" i="1"/>
  <c r="B1094" i="1"/>
  <c r="G1093" i="1"/>
  <c r="B1093" i="1"/>
  <c r="G1092" i="1"/>
  <c r="B1092" i="1"/>
  <c r="G1091" i="1"/>
  <c r="B1091" i="1"/>
  <c r="G1090" i="1"/>
  <c r="B1090" i="1"/>
  <c r="G1089" i="1"/>
  <c r="B1089" i="1"/>
  <c r="G1088" i="1"/>
  <c r="B1088" i="1"/>
  <c r="G1087" i="1"/>
  <c r="B1087" i="1"/>
  <c r="G1086" i="1"/>
  <c r="B1086" i="1"/>
  <c r="G1085" i="1"/>
  <c r="B1085" i="1"/>
  <c r="G1084" i="1"/>
  <c r="B1084" i="1"/>
  <c r="G1083" i="1"/>
  <c r="B1083" i="1"/>
  <c r="G1082" i="1"/>
  <c r="B1082" i="1"/>
  <c r="G1081" i="1"/>
  <c r="B1081" i="1"/>
  <c r="G1080" i="1"/>
  <c r="B1080" i="1"/>
  <c r="G1079" i="1"/>
  <c r="B1079" i="1"/>
  <c r="G1078" i="1"/>
  <c r="B1078" i="1"/>
  <c r="G1077" i="1"/>
  <c r="B1077" i="1"/>
  <c r="G1076" i="1"/>
  <c r="B1076" i="1"/>
  <c r="G1075" i="1"/>
  <c r="B1075" i="1"/>
  <c r="G1074" i="1"/>
  <c r="B1074" i="1"/>
  <c r="G1073" i="1"/>
  <c r="B1073" i="1"/>
  <c r="G1072" i="1"/>
  <c r="B1072" i="1"/>
  <c r="G1071" i="1"/>
  <c r="B1071" i="1"/>
  <c r="G1070" i="1"/>
  <c r="B1070" i="1"/>
  <c r="G1069" i="1"/>
  <c r="B1069" i="1"/>
  <c r="G1068" i="1"/>
  <c r="B1068" i="1"/>
  <c r="G1067" i="1"/>
  <c r="B1067" i="1"/>
  <c r="G1066" i="1"/>
  <c r="B1066" i="1"/>
  <c r="G1065" i="1"/>
  <c r="B1065" i="1"/>
  <c r="G1064" i="1"/>
  <c r="B1064" i="1"/>
  <c r="G1063" i="1"/>
  <c r="B1063" i="1"/>
  <c r="G1062" i="1"/>
  <c r="B1062" i="1"/>
  <c r="G1061" i="1"/>
  <c r="B1061" i="1"/>
  <c r="G1060" i="1"/>
  <c r="B1060" i="1"/>
  <c r="G1059" i="1"/>
  <c r="B1059" i="1"/>
  <c r="G1058" i="1"/>
  <c r="B1058" i="1"/>
  <c r="G1057" i="1"/>
  <c r="B1057" i="1"/>
  <c r="G1056" i="1"/>
  <c r="B1056" i="1"/>
  <c r="G1055" i="1"/>
  <c r="B1055" i="1"/>
  <c r="G1054" i="1"/>
  <c r="B1054" i="1"/>
  <c r="G1053" i="1"/>
  <c r="B1053" i="1"/>
  <c r="G1052" i="1"/>
  <c r="B1052" i="1"/>
  <c r="G1051" i="1"/>
  <c r="B1051" i="1"/>
  <c r="G1050" i="1"/>
  <c r="B1050" i="1"/>
  <c r="G1049" i="1"/>
  <c r="B1049" i="1"/>
  <c r="G1048" i="1"/>
  <c r="B1048" i="1"/>
  <c r="G1047" i="1"/>
  <c r="B1047" i="1"/>
  <c r="G1046" i="1"/>
  <c r="B1046" i="1"/>
  <c r="G1045" i="1"/>
  <c r="B1045" i="1"/>
  <c r="G1044" i="1"/>
  <c r="B1044" i="1"/>
  <c r="G1043" i="1"/>
  <c r="B1043" i="1"/>
  <c r="G1042" i="1"/>
  <c r="B1042" i="1"/>
  <c r="G1041" i="1"/>
  <c r="B1041" i="1"/>
  <c r="G1040" i="1"/>
  <c r="B1040" i="1"/>
  <c r="G1039" i="1"/>
  <c r="B1039" i="1"/>
  <c r="G1038" i="1"/>
  <c r="B1038" i="1"/>
  <c r="G1037" i="1"/>
  <c r="B1037" i="1"/>
  <c r="G1036" i="1"/>
  <c r="B1036" i="1"/>
  <c r="G1035" i="1"/>
  <c r="B1035" i="1"/>
  <c r="G1034" i="1"/>
  <c r="B1034" i="1"/>
  <c r="G1033" i="1"/>
  <c r="B1033" i="1"/>
  <c r="G1032" i="1"/>
  <c r="B1032" i="1"/>
  <c r="G1031" i="1"/>
  <c r="B1031" i="1"/>
  <c r="G1030" i="1"/>
  <c r="B1030" i="1"/>
  <c r="G1029" i="1"/>
  <c r="B1029" i="1"/>
  <c r="G1028" i="1"/>
  <c r="B1028" i="1"/>
  <c r="G1027" i="1"/>
  <c r="B1027" i="1"/>
  <c r="G1026" i="1"/>
  <c r="B1026" i="1"/>
  <c r="G1025" i="1"/>
  <c r="B1025" i="1"/>
  <c r="G1024" i="1"/>
  <c r="B1024" i="1"/>
  <c r="G1023" i="1"/>
  <c r="B1023" i="1"/>
  <c r="G1022" i="1"/>
  <c r="B1022" i="1"/>
  <c r="G1021" i="1"/>
  <c r="B1021" i="1"/>
  <c r="G1020" i="1"/>
  <c r="B1020" i="1"/>
  <c r="G1019" i="1"/>
  <c r="B1019" i="1"/>
  <c r="G1018" i="1"/>
  <c r="B1018" i="1"/>
  <c r="G1017" i="1"/>
  <c r="B1017" i="1"/>
  <c r="G1016" i="1"/>
  <c r="B1016" i="1"/>
  <c r="G1015" i="1"/>
  <c r="B1015" i="1"/>
  <c r="G1014" i="1"/>
  <c r="B1014" i="1"/>
  <c r="G1013" i="1"/>
  <c r="B1013" i="1"/>
  <c r="G1012" i="1"/>
  <c r="B1012" i="1"/>
  <c r="G1011" i="1"/>
  <c r="B1011" i="1"/>
  <c r="G1010" i="1"/>
  <c r="B1010" i="1"/>
  <c r="G1009" i="1"/>
  <c r="B1009" i="1"/>
  <c r="G1008" i="1"/>
  <c r="B1008" i="1"/>
  <c r="G1007" i="1"/>
  <c r="B1007" i="1"/>
  <c r="G1006" i="1"/>
  <c r="B1006" i="1"/>
  <c r="G1005" i="1"/>
  <c r="B1005" i="1"/>
  <c r="G1004" i="1"/>
  <c r="B1004" i="1"/>
  <c r="G1003" i="1"/>
  <c r="B1003" i="1"/>
  <c r="G1002" i="1"/>
  <c r="B1002" i="1"/>
  <c r="G1001" i="1"/>
  <c r="B1001" i="1"/>
  <c r="G1000" i="1"/>
  <c r="B1000" i="1"/>
  <c r="G999" i="1"/>
  <c r="B999" i="1"/>
  <c r="G998" i="1"/>
  <c r="B998" i="1"/>
  <c r="G997" i="1"/>
  <c r="B997" i="1"/>
  <c r="G996" i="1"/>
  <c r="B996" i="1"/>
  <c r="G995" i="1"/>
  <c r="B995" i="1"/>
  <c r="G994" i="1"/>
  <c r="B994" i="1"/>
  <c r="G993" i="1"/>
  <c r="B993" i="1"/>
  <c r="G992" i="1"/>
  <c r="B992" i="1"/>
  <c r="G991" i="1"/>
  <c r="B991" i="1"/>
  <c r="G990" i="1"/>
  <c r="B990" i="1"/>
  <c r="G989" i="1"/>
  <c r="B989" i="1"/>
  <c r="G988" i="1"/>
  <c r="B988" i="1"/>
  <c r="G987" i="1"/>
  <c r="B987" i="1"/>
  <c r="G986" i="1"/>
  <c r="B986" i="1"/>
  <c r="G985" i="1"/>
  <c r="B985" i="1"/>
  <c r="G984" i="1"/>
  <c r="B984" i="1"/>
  <c r="G983" i="1"/>
  <c r="B983" i="1"/>
  <c r="G982" i="1"/>
  <c r="B982" i="1"/>
  <c r="G981" i="1"/>
  <c r="B981" i="1"/>
  <c r="G980" i="1"/>
  <c r="B980" i="1"/>
  <c r="G979" i="1"/>
  <c r="B979" i="1"/>
  <c r="G978" i="1"/>
  <c r="B978" i="1"/>
  <c r="G977" i="1"/>
  <c r="B977" i="1"/>
  <c r="G976" i="1"/>
  <c r="B976" i="1"/>
  <c r="G975" i="1"/>
  <c r="B975" i="1"/>
  <c r="G974" i="1"/>
  <c r="B974" i="1"/>
  <c r="G973" i="1"/>
  <c r="B973" i="1"/>
  <c r="G972" i="1"/>
  <c r="B972" i="1"/>
  <c r="G971" i="1"/>
  <c r="B971" i="1"/>
  <c r="G970" i="1"/>
  <c r="B970" i="1"/>
  <c r="G969" i="1"/>
  <c r="B969" i="1"/>
  <c r="G968" i="1"/>
  <c r="B968" i="1"/>
  <c r="G967" i="1"/>
  <c r="B967" i="1"/>
  <c r="G966" i="1"/>
  <c r="B966" i="1"/>
  <c r="G965" i="1"/>
  <c r="B965" i="1"/>
  <c r="G964" i="1"/>
  <c r="B964" i="1"/>
  <c r="G963" i="1"/>
  <c r="B963" i="1"/>
  <c r="G962" i="1"/>
  <c r="B962" i="1"/>
  <c r="G961" i="1"/>
  <c r="B961" i="1"/>
  <c r="G960" i="1"/>
  <c r="B960" i="1"/>
  <c r="G959" i="1"/>
  <c r="B959" i="1"/>
  <c r="G958" i="1"/>
  <c r="B958" i="1"/>
  <c r="G957" i="1"/>
  <c r="B957" i="1"/>
  <c r="G956" i="1"/>
  <c r="B956" i="1"/>
  <c r="G955" i="1"/>
  <c r="B955" i="1"/>
  <c r="G954" i="1"/>
  <c r="B954" i="1"/>
  <c r="G953" i="1"/>
  <c r="B953" i="1"/>
  <c r="G952" i="1"/>
  <c r="B952" i="1"/>
  <c r="G951" i="1"/>
  <c r="B951" i="1"/>
  <c r="G950" i="1"/>
  <c r="B950" i="1"/>
  <c r="G949" i="1"/>
  <c r="B949" i="1"/>
  <c r="G948" i="1"/>
  <c r="B948" i="1"/>
  <c r="G947" i="1"/>
  <c r="B947" i="1"/>
  <c r="G946" i="1"/>
  <c r="B946" i="1"/>
  <c r="G945" i="1"/>
  <c r="B945" i="1"/>
  <c r="G944" i="1"/>
  <c r="B944" i="1"/>
  <c r="G943" i="1"/>
  <c r="B943" i="1"/>
  <c r="G942" i="1"/>
  <c r="B942" i="1"/>
  <c r="G941" i="1"/>
  <c r="B941" i="1"/>
  <c r="G940" i="1"/>
  <c r="B940" i="1"/>
  <c r="G939" i="1"/>
  <c r="B939" i="1"/>
  <c r="G938" i="1"/>
  <c r="B938" i="1"/>
  <c r="G937" i="1"/>
  <c r="B937" i="1"/>
  <c r="G936" i="1"/>
  <c r="B936" i="1"/>
  <c r="G935" i="1"/>
  <c r="B935" i="1"/>
  <c r="G934" i="1"/>
  <c r="B934" i="1"/>
  <c r="G933" i="1"/>
  <c r="B933" i="1"/>
  <c r="G932" i="1"/>
  <c r="B932" i="1"/>
  <c r="G931" i="1"/>
  <c r="B931" i="1"/>
  <c r="G930" i="1"/>
  <c r="B930" i="1"/>
  <c r="G929" i="1"/>
  <c r="B929" i="1"/>
  <c r="G928" i="1"/>
  <c r="B928" i="1"/>
  <c r="G927" i="1"/>
  <c r="B927" i="1"/>
  <c r="G926" i="1"/>
  <c r="B926" i="1"/>
  <c r="G925" i="1"/>
  <c r="B925" i="1"/>
  <c r="G924" i="1"/>
  <c r="B924" i="1"/>
  <c r="G923" i="1"/>
  <c r="B923" i="1"/>
  <c r="G922" i="1"/>
  <c r="B922" i="1"/>
  <c r="G921" i="1"/>
  <c r="B921" i="1"/>
  <c r="G920" i="1"/>
  <c r="B920" i="1"/>
  <c r="G919" i="1"/>
  <c r="B919" i="1"/>
  <c r="G918" i="1"/>
  <c r="B918" i="1"/>
  <c r="G917" i="1"/>
  <c r="B917" i="1"/>
  <c r="G916" i="1"/>
  <c r="B916" i="1"/>
  <c r="G915" i="1"/>
  <c r="B915" i="1"/>
  <c r="G914" i="1"/>
  <c r="B914" i="1"/>
  <c r="G913" i="1"/>
  <c r="B913" i="1"/>
  <c r="G912" i="1"/>
  <c r="B912" i="1"/>
  <c r="G911" i="1"/>
  <c r="B911" i="1"/>
  <c r="G910" i="1"/>
  <c r="B910" i="1"/>
  <c r="G909" i="1"/>
  <c r="B909" i="1"/>
  <c r="G908" i="1"/>
  <c r="B908" i="1"/>
  <c r="G907" i="1"/>
  <c r="B907" i="1"/>
  <c r="G906" i="1"/>
  <c r="B906" i="1"/>
  <c r="G905" i="1"/>
  <c r="B905" i="1"/>
  <c r="G904" i="1"/>
  <c r="B904" i="1"/>
  <c r="G903" i="1"/>
  <c r="B903" i="1"/>
  <c r="G902" i="1"/>
  <c r="B902" i="1"/>
  <c r="G901" i="1"/>
  <c r="B901" i="1"/>
  <c r="G900" i="1"/>
  <c r="B900" i="1"/>
  <c r="G899" i="1"/>
  <c r="B899" i="1"/>
  <c r="G898" i="1"/>
  <c r="B898" i="1"/>
  <c r="G897" i="1"/>
  <c r="B897" i="1"/>
  <c r="G896" i="1"/>
  <c r="B896" i="1"/>
  <c r="G895" i="1"/>
  <c r="B895" i="1"/>
  <c r="G894" i="1"/>
  <c r="B894" i="1"/>
  <c r="G893" i="1"/>
  <c r="B893" i="1"/>
  <c r="G892" i="1"/>
  <c r="B892" i="1"/>
  <c r="G891" i="1"/>
  <c r="B891" i="1"/>
  <c r="G890" i="1"/>
  <c r="B890" i="1"/>
  <c r="G889" i="1"/>
  <c r="B889" i="1"/>
  <c r="G888" i="1"/>
  <c r="B888" i="1"/>
  <c r="G887" i="1"/>
  <c r="B887" i="1"/>
  <c r="G886" i="1"/>
  <c r="B886" i="1"/>
  <c r="G885" i="1"/>
  <c r="B885" i="1"/>
  <c r="G884" i="1"/>
  <c r="B884" i="1"/>
  <c r="G883" i="1"/>
  <c r="B883" i="1"/>
  <c r="G882" i="1"/>
  <c r="B882" i="1"/>
  <c r="G881" i="1"/>
  <c r="B881" i="1"/>
  <c r="G880" i="1"/>
  <c r="B880" i="1"/>
  <c r="G879" i="1"/>
  <c r="B879" i="1"/>
  <c r="G878" i="1"/>
  <c r="B878" i="1"/>
  <c r="G877" i="1"/>
  <c r="B877" i="1"/>
  <c r="G876" i="1"/>
  <c r="B876" i="1"/>
  <c r="G875" i="1"/>
  <c r="B875" i="1"/>
  <c r="G874" i="1"/>
  <c r="B874" i="1"/>
  <c r="G873" i="1"/>
  <c r="B873" i="1"/>
  <c r="G872" i="1"/>
  <c r="B872" i="1"/>
  <c r="G871" i="1"/>
  <c r="B871" i="1"/>
  <c r="G870" i="1"/>
  <c r="B870" i="1"/>
  <c r="G869" i="1"/>
  <c r="B869" i="1"/>
  <c r="G868" i="1"/>
  <c r="B868" i="1"/>
  <c r="G867" i="1"/>
  <c r="B867" i="1"/>
  <c r="G866" i="1"/>
  <c r="B866" i="1"/>
  <c r="G865" i="1"/>
  <c r="B865" i="1"/>
  <c r="G864" i="1"/>
  <c r="B864" i="1"/>
  <c r="G863" i="1"/>
  <c r="B863" i="1"/>
  <c r="G862" i="1"/>
  <c r="B862" i="1"/>
  <c r="G861" i="1"/>
  <c r="B861" i="1"/>
  <c r="G860" i="1"/>
  <c r="B860" i="1"/>
  <c r="G859" i="1"/>
  <c r="B859" i="1"/>
  <c r="G858" i="1"/>
  <c r="B858" i="1"/>
  <c r="G857" i="1"/>
  <c r="B857" i="1"/>
  <c r="G856" i="1"/>
  <c r="B856" i="1"/>
  <c r="G855" i="1"/>
  <c r="B855" i="1"/>
  <c r="G854" i="1"/>
  <c r="B854" i="1"/>
  <c r="G853" i="1"/>
  <c r="B853" i="1"/>
  <c r="G852" i="1"/>
  <c r="B852" i="1"/>
  <c r="G851" i="1"/>
  <c r="B851" i="1"/>
  <c r="G850" i="1"/>
  <c r="B850" i="1"/>
  <c r="G849" i="1"/>
  <c r="B849" i="1"/>
  <c r="G848" i="1"/>
  <c r="B848" i="1"/>
  <c r="G847" i="1"/>
  <c r="B847" i="1"/>
  <c r="G846" i="1"/>
  <c r="B846" i="1"/>
  <c r="G845" i="1"/>
  <c r="B845" i="1"/>
  <c r="G844" i="1"/>
  <c r="B844" i="1"/>
  <c r="G843" i="1"/>
  <c r="B843" i="1"/>
  <c r="G842" i="1"/>
  <c r="B842" i="1"/>
  <c r="G841" i="1"/>
  <c r="B841" i="1"/>
  <c r="G840" i="1"/>
  <c r="B840" i="1"/>
  <c r="G839" i="1"/>
  <c r="B839" i="1"/>
  <c r="G838" i="1"/>
  <c r="B838" i="1"/>
  <c r="G837" i="1"/>
  <c r="B837" i="1"/>
  <c r="G836" i="1"/>
  <c r="B836" i="1"/>
  <c r="G835" i="1"/>
  <c r="B835" i="1"/>
  <c r="G834" i="1"/>
  <c r="B834" i="1"/>
  <c r="G833" i="1"/>
  <c r="B833" i="1"/>
  <c r="G832" i="1"/>
  <c r="B832" i="1"/>
  <c r="G831" i="1"/>
  <c r="B831" i="1"/>
  <c r="G830" i="1"/>
  <c r="B830" i="1"/>
  <c r="G829" i="1"/>
  <c r="B829" i="1"/>
  <c r="G828" i="1"/>
  <c r="B828" i="1"/>
  <c r="G827" i="1"/>
  <c r="B827" i="1"/>
  <c r="G826" i="1"/>
  <c r="B826" i="1"/>
  <c r="G825" i="1"/>
  <c r="B825" i="1"/>
  <c r="G824" i="1"/>
  <c r="B824" i="1"/>
  <c r="G823" i="1"/>
  <c r="B823" i="1"/>
  <c r="G822" i="1"/>
  <c r="B822" i="1"/>
  <c r="G821" i="1"/>
  <c r="B821" i="1"/>
  <c r="G820" i="1"/>
  <c r="B820" i="1"/>
  <c r="G819" i="1"/>
  <c r="B819" i="1"/>
  <c r="G818" i="1"/>
  <c r="B818" i="1"/>
  <c r="G817" i="1"/>
  <c r="B817" i="1"/>
  <c r="G816" i="1"/>
  <c r="B816" i="1"/>
  <c r="G815" i="1"/>
  <c r="B815" i="1"/>
  <c r="G814" i="1"/>
  <c r="B814" i="1"/>
  <c r="G813" i="1"/>
  <c r="B813" i="1"/>
  <c r="G812" i="1"/>
  <c r="B812" i="1"/>
  <c r="G811" i="1"/>
  <c r="B811" i="1"/>
  <c r="G810" i="1"/>
  <c r="B810" i="1"/>
  <c r="G809" i="1"/>
  <c r="B809" i="1"/>
  <c r="G808" i="1"/>
  <c r="B808" i="1"/>
  <c r="G807" i="1"/>
  <c r="B807" i="1"/>
  <c r="G806" i="1"/>
  <c r="B806" i="1"/>
  <c r="G805" i="1"/>
  <c r="B805" i="1"/>
  <c r="G804" i="1"/>
  <c r="B804" i="1"/>
  <c r="G803" i="1"/>
  <c r="B803" i="1"/>
  <c r="G802" i="1"/>
  <c r="B802" i="1"/>
  <c r="G801" i="1"/>
  <c r="B801" i="1"/>
  <c r="G800" i="1"/>
  <c r="B800" i="1"/>
  <c r="G799" i="1"/>
  <c r="B799" i="1"/>
  <c r="G798" i="1"/>
  <c r="B798" i="1"/>
  <c r="G797" i="1"/>
  <c r="B797" i="1"/>
  <c r="G796" i="1"/>
  <c r="B796" i="1"/>
  <c r="G795" i="1"/>
  <c r="B795" i="1"/>
  <c r="G794" i="1"/>
  <c r="B794" i="1"/>
  <c r="G793" i="1"/>
  <c r="B793" i="1"/>
  <c r="G792" i="1"/>
  <c r="B792" i="1"/>
  <c r="G791" i="1"/>
  <c r="B791" i="1"/>
  <c r="G790" i="1"/>
  <c r="B790" i="1"/>
  <c r="G789" i="1"/>
  <c r="B789" i="1"/>
  <c r="G788" i="1"/>
  <c r="B788" i="1"/>
  <c r="G787" i="1"/>
  <c r="B787" i="1"/>
  <c r="G786" i="1"/>
  <c r="B786" i="1"/>
  <c r="G785" i="1"/>
  <c r="B785" i="1"/>
  <c r="G784" i="1"/>
  <c r="B784" i="1"/>
  <c r="G783" i="1"/>
  <c r="B783" i="1"/>
  <c r="G782" i="1"/>
  <c r="B782" i="1"/>
  <c r="G781" i="1"/>
  <c r="B781" i="1"/>
  <c r="G780" i="1"/>
  <c r="B780" i="1"/>
  <c r="G779" i="1"/>
  <c r="B779" i="1"/>
  <c r="G778" i="1"/>
  <c r="B778" i="1"/>
  <c r="G777" i="1"/>
  <c r="B777" i="1"/>
  <c r="G776" i="1"/>
  <c r="B776" i="1"/>
  <c r="G775" i="1"/>
  <c r="B775" i="1"/>
  <c r="G774" i="1"/>
  <c r="B774" i="1"/>
  <c r="G773" i="1"/>
  <c r="B773" i="1"/>
  <c r="G772" i="1"/>
  <c r="B772" i="1"/>
  <c r="G771" i="1"/>
  <c r="B771" i="1"/>
  <c r="G770" i="1"/>
  <c r="B770" i="1"/>
  <c r="G769" i="1"/>
  <c r="B769" i="1"/>
  <c r="G768" i="1"/>
  <c r="B768" i="1"/>
  <c r="G767" i="1"/>
  <c r="B767" i="1"/>
  <c r="G766" i="1"/>
  <c r="B766" i="1"/>
  <c r="G765" i="1"/>
  <c r="B765" i="1"/>
  <c r="G764" i="1"/>
  <c r="B764" i="1"/>
  <c r="G763" i="1"/>
  <c r="B763" i="1"/>
  <c r="G762" i="1"/>
  <c r="B762" i="1"/>
  <c r="G761" i="1"/>
  <c r="B761" i="1"/>
  <c r="G760" i="1"/>
  <c r="B760" i="1"/>
  <c r="G759" i="1"/>
  <c r="B759" i="1"/>
  <c r="G758" i="1"/>
  <c r="B758" i="1"/>
  <c r="G757" i="1"/>
  <c r="B757" i="1"/>
  <c r="G756" i="1"/>
  <c r="B756" i="1"/>
  <c r="G755" i="1"/>
  <c r="B755" i="1"/>
  <c r="G754" i="1"/>
  <c r="B754" i="1"/>
  <c r="G753" i="1"/>
  <c r="B753" i="1"/>
  <c r="G752" i="1"/>
  <c r="B752" i="1"/>
  <c r="G751" i="1"/>
  <c r="B751" i="1"/>
  <c r="G750" i="1"/>
  <c r="B750" i="1"/>
  <c r="G749" i="1"/>
  <c r="B749" i="1"/>
  <c r="G748" i="1"/>
  <c r="B748" i="1"/>
  <c r="G747" i="1"/>
  <c r="B747" i="1"/>
  <c r="G746" i="1"/>
  <c r="B746" i="1"/>
  <c r="G745" i="1"/>
  <c r="B745" i="1"/>
  <c r="G744" i="1"/>
  <c r="B744" i="1"/>
  <c r="G743" i="1"/>
  <c r="B743" i="1"/>
  <c r="G742" i="1"/>
  <c r="B742" i="1"/>
  <c r="G741" i="1"/>
  <c r="B741" i="1"/>
  <c r="G740" i="1"/>
  <c r="B740" i="1"/>
  <c r="G739" i="1"/>
  <c r="B739" i="1"/>
  <c r="G738" i="1"/>
  <c r="B738" i="1"/>
  <c r="G737" i="1"/>
  <c r="B737" i="1"/>
  <c r="G736" i="1"/>
  <c r="B736" i="1"/>
  <c r="G735" i="1"/>
  <c r="B735" i="1"/>
  <c r="G734" i="1"/>
  <c r="B734" i="1"/>
  <c r="G733" i="1"/>
  <c r="B733" i="1"/>
  <c r="G732" i="1"/>
  <c r="B732" i="1"/>
  <c r="G731" i="1"/>
  <c r="B731" i="1"/>
  <c r="G730" i="1"/>
  <c r="B730" i="1"/>
  <c r="G729" i="1"/>
  <c r="B729" i="1"/>
  <c r="G728" i="1"/>
  <c r="B728" i="1"/>
  <c r="G727" i="1"/>
  <c r="B727" i="1"/>
  <c r="G726" i="1"/>
  <c r="B726" i="1"/>
  <c r="G725" i="1"/>
  <c r="B725" i="1"/>
  <c r="G724" i="1"/>
  <c r="B724" i="1"/>
  <c r="G723" i="1"/>
  <c r="B723" i="1"/>
  <c r="G722" i="1"/>
  <c r="B722" i="1"/>
  <c r="G721" i="1"/>
  <c r="B721" i="1"/>
  <c r="G720" i="1"/>
  <c r="B720" i="1"/>
  <c r="G719" i="1"/>
  <c r="B719" i="1"/>
  <c r="G718" i="1"/>
  <c r="B718" i="1"/>
  <c r="G717" i="1"/>
  <c r="B717" i="1"/>
  <c r="G716" i="1"/>
  <c r="B716" i="1"/>
  <c r="G715" i="1"/>
  <c r="B715" i="1"/>
  <c r="G714" i="1"/>
  <c r="B714" i="1"/>
  <c r="G713" i="1"/>
  <c r="B713" i="1"/>
  <c r="G712" i="1"/>
  <c r="B712" i="1"/>
  <c r="G711" i="1"/>
  <c r="B711" i="1"/>
  <c r="G710" i="1"/>
  <c r="B710" i="1"/>
  <c r="G709" i="1"/>
  <c r="B709" i="1"/>
  <c r="G708" i="1"/>
  <c r="B708" i="1"/>
  <c r="G707" i="1"/>
  <c r="B707" i="1"/>
  <c r="G706" i="1"/>
  <c r="B706" i="1"/>
  <c r="G705" i="1"/>
  <c r="B705" i="1"/>
  <c r="G704" i="1"/>
  <c r="B704" i="1"/>
  <c r="G703" i="1"/>
  <c r="B703" i="1"/>
  <c r="G702" i="1"/>
  <c r="B702" i="1"/>
  <c r="G701" i="1"/>
  <c r="B701" i="1"/>
  <c r="G700" i="1"/>
  <c r="B700" i="1"/>
  <c r="G699" i="1"/>
  <c r="B699" i="1"/>
  <c r="G698" i="1"/>
  <c r="B698" i="1"/>
  <c r="G697" i="1"/>
  <c r="B697" i="1"/>
  <c r="G696" i="1"/>
  <c r="B696" i="1"/>
  <c r="G695" i="1"/>
  <c r="B695" i="1"/>
  <c r="G694" i="1"/>
  <c r="B694" i="1"/>
  <c r="G693" i="1"/>
  <c r="B693" i="1"/>
  <c r="G692" i="1"/>
  <c r="B692" i="1"/>
  <c r="G691" i="1"/>
  <c r="B691" i="1"/>
  <c r="G690" i="1"/>
  <c r="B690" i="1"/>
  <c r="G689" i="1"/>
  <c r="B689" i="1"/>
  <c r="G688" i="1"/>
  <c r="B688" i="1"/>
  <c r="G687" i="1"/>
  <c r="B687" i="1"/>
  <c r="G686" i="1"/>
  <c r="B686" i="1"/>
  <c r="G685" i="1"/>
  <c r="B685" i="1"/>
  <c r="G684" i="1"/>
  <c r="B684" i="1"/>
  <c r="G683" i="1"/>
  <c r="B683" i="1"/>
  <c r="G682" i="1"/>
  <c r="B682" i="1"/>
  <c r="G681" i="1"/>
  <c r="B681" i="1"/>
  <c r="G680" i="1"/>
  <c r="B680" i="1"/>
  <c r="G679" i="1"/>
  <c r="B679" i="1"/>
  <c r="G678" i="1"/>
  <c r="B678" i="1"/>
  <c r="G677" i="1"/>
  <c r="B677" i="1"/>
  <c r="G676" i="1"/>
  <c r="B676" i="1"/>
  <c r="G675" i="1"/>
  <c r="B675" i="1"/>
  <c r="G674" i="1"/>
  <c r="B674" i="1"/>
  <c r="G673" i="1"/>
  <c r="B673" i="1"/>
  <c r="G672" i="1"/>
  <c r="B672" i="1"/>
  <c r="G671" i="1"/>
  <c r="B671" i="1"/>
  <c r="G670" i="1"/>
  <c r="B670" i="1"/>
  <c r="G669" i="1"/>
  <c r="B669" i="1"/>
  <c r="G668" i="1"/>
  <c r="B668" i="1"/>
  <c r="G667" i="1"/>
  <c r="B667" i="1"/>
  <c r="G666" i="1"/>
  <c r="B666" i="1"/>
  <c r="G665" i="1"/>
  <c r="B665" i="1"/>
  <c r="G664" i="1"/>
  <c r="B664" i="1"/>
  <c r="G663" i="1"/>
  <c r="B663" i="1"/>
  <c r="G662" i="1"/>
  <c r="B662" i="1"/>
  <c r="G661" i="1"/>
  <c r="B661" i="1"/>
  <c r="G660" i="1"/>
  <c r="B660" i="1"/>
  <c r="G659" i="1"/>
  <c r="B659" i="1"/>
  <c r="G658" i="1"/>
  <c r="B658" i="1"/>
  <c r="G657" i="1"/>
  <c r="B657" i="1"/>
  <c r="G656" i="1"/>
  <c r="B656" i="1"/>
  <c r="G655" i="1"/>
  <c r="B655" i="1"/>
  <c r="G654" i="1"/>
  <c r="B654" i="1"/>
  <c r="G653" i="1"/>
  <c r="B653" i="1"/>
  <c r="G652" i="1"/>
  <c r="B652" i="1"/>
  <c r="G651" i="1"/>
  <c r="B651" i="1"/>
  <c r="G650" i="1"/>
  <c r="B650" i="1"/>
  <c r="G649" i="1"/>
  <c r="B649" i="1"/>
  <c r="G648" i="1"/>
  <c r="B648" i="1"/>
  <c r="G647" i="1"/>
  <c r="B647" i="1"/>
  <c r="G646" i="1"/>
  <c r="B646" i="1"/>
  <c r="G645" i="1"/>
  <c r="B645" i="1"/>
  <c r="G644" i="1"/>
  <c r="B644" i="1"/>
  <c r="G643" i="1"/>
  <c r="B643" i="1"/>
  <c r="G642" i="1"/>
  <c r="B642" i="1"/>
  <c r="G641" i="1"/>
  <c r="B641" i="1"/>
  <c r="G640" i="1"/>
  <c r="B640" i="1"/>
  <c r="G639" i="1"/>
  <c r="B639" i="1"/>
  <c r="G638" i="1"/>
  <c r="B638" i="1"/>
  <c r="G637" i="1"/>
  <c r="B637" i="1"/>
  <c r="G636" i="1"/>
  <c r="B636" i="1"/>
  <c r="G635" i="1"/>
  <c r="B635" i="1"/>
  <c r="G634" i="1"/>
  <c r="B634" i="1"/>
  <c r="G633" i="1"/>
  <c r="B633" i="1"/>
  <c r="G632" i="1"/>
  <c r="B632" i="1"/>
  <c r="G631" i="1"/>
  <c r="B631" i="1"/>
  <c r="G630" i="1"/>
  <c r="B630" i="1"/>
  <c r="G629" i="1"/>
  <c r="B629" i="1"/>
  <c r="G628" i="1"/>
  <c r="B628" i="1"/>
  <c r="G627" i="1"/>
  <c r="B627" i="1"/>
  <c r="G626" i="1"/>
  <c r="B626" i="1"/>
  <c r="G625" i="1"/>
  <c r="B625" i="1"/>
  <c r="G624" i="1"/>
  <c r="B624" i="1"/>
  <c r="G623" i="1"/>
  <c r="B623" i="1"/>
  <c r="G622" i="1"/>
  <c r="B622" i="1"/>
  <c r="G621" i="1"/>
  <c r="B621" i="1"/>
  <c r="G620" i="1"/>
  <c r="B620" i="1"/>
  <c r="G619" i="1"/>
  <c r="B619" i="1"/>
  <c r="G618" i="1"/>
  <c r="B618" i="1"/>
  <c r="G617" i="1"/>
  <c r="B617" i="1"/>
  <c r="G616" i="1"/>
  <c r="B616" i="1"/>
  <c r="G615" i="1"/>
  <c r="B615" i="1"/>
  <c r="G614" i="1"/>
  <c r="B614" i="1"/>
  <c r="G613" i="1"/>
  <c r="B613" i="1"/>
  <c r="G612" i="1"/>
  <c r="B612" i="1"/>
  <c r="G611" i="1"/>
  <c r="B611" i="1"/>
  <c r="G610" i="1"/>
  <c r="B610" i="1"/>
  <c r="G609" i="1"/>
  <c r="B609" i="1"/>
  <c r="G608" i="1"/>
  <c r="B608" i="1"/>
  <c r="G607" i="1"/>
  <c r="B607" i="1"/>
  <c r="G606" i="1"/>
  <c r="B606" i="1"/>
  <c r="G605" i="1"/>
  <c r="B605" i="1"/>
  <c r="G604" i="1"/>
  <c r="B604" i="1"/>
  <c r="G603" i="1"/>
  <c r="B603" i="1"/>
  <c r="G602" i="1"/>
  <c r="B602" i="1"/>
  <c r="G601" i="1"/>
  <c r="B601" i="1"/>
  <c r="G600" i="1"/>
  <c r="B600" i="1"/>
  <c r="G599" i="1"/>
  <c r="B599" i="1"/>
  <c r="G598" i="1"/>
  <c r="B598" i="1"/>
  <c r="G597" i="1"/>
  <c r="B597" i="1"/>
  <c r="G596" i="1"/>
  <c r="B596" i="1"/>
  <c r="G595" i="1"/>
  <c r="B595" i="1"/>
  <c r="G594" i="1"/>
  <c r="B594" i="1"/>
  <c r="G593" i="1"/>
  <c r="B593" i="1"/>
  <c r="G592" i="1"/>
  <c r="B592" i="1"/>
  <c r="G591" i="1"/>
  <c r="B591" i="1"/>
  <c r="G590" i="1"/>
  <c r="B590" i="1"/>
  <c r="G589" i="1"/>
  <c r="B589" i="1"/>
  <c r="G588" i="1"/>
  <c r="B588" i="1"/>
  <c r="G587" i="1"/>
  <c r="B587" i="1"/>
  <c r="G586" i="1"/>
  <c r="B586" i="1"/>
  <c r="G585" i="1"/>
  <c r="B585" i="1"/>
  <c r="G584" i="1"/>
  <c r="B584" i="1"/>
  <c r="G583" i="1"/>
  <c r="B583" i="1"/>
  <c r="G582" i="1"/>
  <c r="B582" i="1"/>
  <c r="G581" i="1"/>
  <c r="B581" i="1"/>
  <c r="G580" i="1"/>
  <c r="B580" i="1"/>
  <c r="G579" i="1"/>
  <c r="B579" i="1"/>
  <c r="G578" i="1"/>
  <c r="B578" i="1"/>
  <c r="G577" i="1"/>
  <c r="B577" i="1"/>
  <c r="G576" i="1"/>
  <c r="B576" i="1"/>
  <c r="G575" i="1"/>
  <c r="B575" i="1"/>
  <c r="G574" i="1"/>
  <c r="B574" i="1"/>
  <c r="G573" i="1"/>
  <c r="B573" i="1"/>
  <c r="G572" i="1"/>
  <c r="B572" i="1"/>
  <c r="G571" i="1"/>
  <c r="B571" i="1"/>
  <c r="G570" i="1"/>
  <c r="B570" i="1"/>
  <c r="G569" i="1"/>
  <c r="B569" i="1"/>
  <c r="G568" i="1"/>
  <c r="B568" i="1"/>
  <c r="G567" i="1"/>
  <c r="B567" i="1"/>
  <c r="G566" i="1"/>
  <c r="B566" i="1"/>
  <c r="G565" i="1"/>
  <c r="B565" i="1"/>
  <c r="G564" i="1"/>
  <c r="B564" i="1"/>
  <c r="G563" i="1"/>
  <c r="B563" i="1"/>
  <c r="G562" i="1"/>
  <c r="B562" i="1"/>
  <c r="G561" i="1"/>
  <c r="B561" i="1"/>
  <c r="G560" i="1"/>
  <c r="B560" i="1"/>
  <c r="G559" i="1"/>
  <c r="B559" i="1"/>
  <c r="G558" i="1"/>
  <c r="B558" i="1"/>
  <c r="G557" i="1"/>
  <c r="B557" i="1"/>
  <c r="G556" i="1"/>
  <c r="B556" i="1"/>
  <c r="G555" i="1"/>
  <c r="B555" i="1"/>
  <c r="G554" i="1"/>
  <c r="B554" i="1"/>
  <c r="G553" i="1"/>
  <c r="B553" i="1"/>
  <c r="G552" i="1"/>
  <c r="B552" i="1"/>
  <c r="G551" i="1"/>
  <c r="B551" i="1"/>
  <c r="G550" i="1"/>
  <c r="B550" i="1"/>
  <c r="G549" i="1"/>
  <c r="B549" i="1"/>
  <c r="G548" i="1"/>
  <c r="B548" i="1"/>
  <c r="G547" i="1"/>
  <c r="B547" i="1"/>
  <c r="G546" i="1"/>
  <c r="B546" i="1"/>
  <c r="G545" i="1"/>
  <c r="B545" i="1"/>
  <c r="G544" i="1"/>
  <c r="B544" i="1"/>
  <c r="G543" i="1"/>
  <c r="B543" i="1"/>
  <c r="G542" i="1"/>
  <c r="B542" i="1"/>
  <c r="G541" i="1"/>
  <c r="B541" i="1"/>
  <c r="G540" i="1"/>
  <c r="B540" i="1"/>
  <c r="G539" i="1"/>
  <c r="B539" i="1"/>
  <c r="G538" i="1"/>
  <c r="B538" i="1"/>
  <c r="G537" i="1"/>
  <c r="B537" i="1"/>
  <c r="G536" i="1"/>
  <c r="B536" i="1"/>
  <c r="G535" i="1"/>
  <c r="B535" i="1"/>
  <c r="G534" i="1"/>
  <c r="B534" i="1"/>
  <c r="G533" i="1"/>
  <c r="B533" i="1"/>
  <c r="G532" i="1"/>
  <c r="B532" i="1"/>
  <c r="G531" i="1"/>
  <c r="B531" i="1"/>
  <c r="G530" i="1"/>
  <c r="B530" i="1"/>
  <c r="G529" i="1"/>
  <c r="B529" i="1"/>
  <c r="G528" i="1"/>
  <c r="B528" i="1"/>
  <c r="G527" i="1"/>
  <c r="B527" i="1"/>
  <c r="G526" i="1"/>
  <c r="B526" i="1"/>
  <c r="G525" i="1"/>
  <c r="B525" i="1"/>
  <c r="G524" i="1"/>
  <c r="B524" i="1"/>
  <c r="G523" i="1"/>
  <c r="B523" i="1"/>
  <c r="G522" i="1"/>
  <c r="B522" i="1"/>
  <c r="G521" i="1"/>
  <c r="B521" i="1"/>
  <c r="G520" i="1"/>
  <c r="B520" i="1"/>
  <c r="G519" i="1"/>
  <c r="B519" i="1"/>
  <c r="G518" i="1"/>
  <c r="B518" i="1"/>
  <c r="G517" i="1"/>
  <c r="B517" i="1"/>
  <c r="G516" i="1"/>
  <c r="B516" i="1"/>
  <c r="G515" i="1"/>
  <c r="B515" i="1"/>
  <c r="G514" i="1"/>
  <c r="B514" i="1"/>
  <c r="G513" i="1"/>
  <c r="B513" i="1"/>
  <c r="G512" i="1"/>
  <c r="B512" i="1"/>
  <c r="G511" i="1"/>
  <c r="B511" i="1"/>
  <c r="G510" i="1"/>
  <c r="B510" i="1"/>
  <c r="G509" i="1"/>
  <c r="B509" i="1"/>
  <c r="G508" i="1"/>
  <c r="B508" i="1"/>
  <c r="G507" i="1"/>
  <c r="B507" i="1"/>
  <c r="G506" i="1"/>
  <c r="B506" i="1"/>
  <c r="G505" i="1"/>
  <c r="B505" i="1"/>
  <c r="G504" i="1"/>
  <c r="B504" i="1"/>
  <c r="G503" i="1"/>
  <c r="B503" i="1"/>
  <c r="G502" i="1"/>
  <c r="B502" i="1"/>
  <c r="G501" i="1"/>
  <c r="B501" i="1"/>
  <c r="G500" i="1"/>
  <c r="B500" i="1"/>
  <c r="G499" i="1"/>
  <c r="B499" i="1"/>
  <c r="G498" i="1"/>
  <c r="B498" i="1"/>
  <c r="G497" i="1"/>
  <c r="B497" i="1"/>
  <c r="G496" i="1"/>
  <c r="B496" i="1"/>
  <c r="G495" i="1"/>
  <c r="B495" i="1"/>
  <c r="G494" i="1"/>
  <c r="B494" i="1"/>
  <c r="G493" i="1"/>
  <c r="B493" i="1"/>
  <c r="G492" i="1"/>
  <c r="B492" i="1"/>
  <c r="G491" i="1"/>
  <c r="B491" i="1"/>
  <c r="G490" i="1"/>
  <c r="B490" i="1"/>
  <c r="G489" i="1"/>
  <c r="B489" i="1"/>
  <c r="G488" i="1"/>
  <c r="B488" i="1"/>
  <c r="G487" i="1"/>
  <c r="B487" i="1"/>
  <c r="G486" i="1"/>
  <c r="B486" i="1"/>
  <c r="G485" i="1"/>
  <c r="B485" i="1"/>
  <c r="G484" i="1"/>
  <c r="B484" i="1"/>
  <c r="G483" i="1"/>
  <c r="B483" i="1"/>
  <c r="G482" i="1"/>
  <c r="B482" i="1"/>
  <c r="G481" i="1"/>
  <c r="B481" i="1"/>
  <c r="G480" i="1"/>
  <c r="B480" i="1"/>
  <c r="G479" i="1"/>
  <c r="B479" i="1"/>
  <c r="G478" i="1"/>
  <c r="B478" i="1"/>
  <c r="G477" i="1"/>
  <c r="B477" i="1"/>
  <c r="G476" i="1"/>
  <c r="B476" i="1"/>
  <c r="G475" i="1"/>
  <c r="B475" i="1"/>
  <c r="G474" i="1"/>
  <c r="B474" i="1"/>
  <c r="G473" i="1"/>
  <c r="B473" i="1"/>
  <c r="G472" i="1"/>
  <c r="B472" i="1"/>
  <c r="G471" i="1"/>
  <c r="B471" i="1"/>
  <c r="G470" i="1"/>
  <c r="B470" i="1"/>
  <c r="G469" i="1"/>
  <c r="B469" i="1"/>
  <c r="G468" i="1"/>
  <c r="B468" i="1"/>
  <c r="G467" i="1"/>
  <c r="B467" i="1"/>
  <c r="G466" i="1"/>
  <c r="B466" i="1"/>
  <c r="G465" i="1"/>
  <c r="B465" i="1"/>
  <c r="G464" i="1"/>
  <c r="B464" i="1"/>
  <c r="G463" i="1"/>
  <c r="B463" i="1"/>
  <c r="G462" i="1"/>
  <c r="B462" i="1"/>
  <c r="G461" i="1"/>
  <c r="B461" i="1"/>
  <c r="G460" i="1"/>
  <c r="B460" i="1"/>
  <c r="G459" i="1"/>
  <c r="B459" i="1"/>
  <c r="G458" i="1"/>
  <c r="B458" i="1"/>
  <c r="G457" i="1"/>
  <c r="B457" i="1"/>
  <c r="G456" i="1"/>
  <c r="B456" i="1"/>
  <c r="G455" i="1"/>
  <c r="B455" i="1"/>
  <c r="G454" i="1"/>
  <c r="B454" i="1"/>
  <c r="G453" i="1"/>
  <c r="B453" i="1"/>
  <c r="G452" i="1"/>
  <c r="B452" i="1"/>
  <c r="G451" i="1"/>
  <c r="B451" i="1"/>
  <c r="G450" i="1"/>
  <c r="B450" i="1"/>
  <c r="G449" i="1"/>
  <c r="B449" i="1"/>
  <c r="G448" i="1"/>
  <c r="B448" i="1"/>
  <c r="G447" i="1"/>
  <c r="B447" i="1"/>
  <c r="G446" i="1"/>
  <c r="B446" i="1"/>
  <c r="G445" i="1"/>
  <c r="B445" i="1"/>
  <c r="G444" i="1"/>
  <c r="B444" i="1"/>
  <c r="G443" i="1"/>
  <c r="B443" i="1"/>
  <c r="G442" i="1"/>
  <c r="B442" i="1"/>
  <c r="G441" i="1"/>
  <c r="B441" i="1"/>
  <c r="G440" i="1"/>
  <c r="B440" i="1"/>
  <c r="G439" i="1"/>
  <c r="B439" i="1"/>
  <c r="G438" i="1"/>
  <c r="B438" i="1"/>
  <c r="G437" i="1"/>
  <c r="B437" i="1"/>
  <c r="G436" i="1"/>
  <c r="B436" i="1"/>
  <c r="G435" i="1"/>
  <c r="B435" i="1"/>
  <c r="G434" i="1"/>
  <c r="B434" i="1"/>
  <c r="G433" i="1"/>
  <c r="B433" i="1"/>
  <c r="G432" i="1"/>
  <c r="B432" i="1"/>
  <c r="G431" i="1"/>
  <c r="B431" i="1"/>
  <c r="G430" i="1"/>
  <c r="B430" i="1"/>
  <c r="G429" i="1"/>
  <c r="B429" i="1"/>
  <c r="G428" i="1"/>
  <c r="B428" i="1"/>
  <c r="G427" i="1"/>
  <c r="B427" i="1"/>
  <c r="G426" i="1"/>
  <c r="B426" i="1"/>
  <c r="G425" i="1"/>
  <c r="B425" i="1"/>
  <c r="G424" i="1"/>
  <c r="B424" i="1"/>
  <c r="G423" i="1"/>
  <c r="B423" i="1"/>
  <c r="G422" i="1"/>
  <c r="B422" i="1"/>
  <c r="G421" i="1"/>
  <c r="B421" i="1"/>
  <c r="G420" i="1"/>
  <c r="B420" i="1"/>
  <c r="G419" i="1"/>
  <c r="B419" i="1"/>
  <c r="G418" i="1"/>
  <c r="B418" i="1"/>
  <c r="G417" i="1"/>
  <c r="B417" i="1"/>
  <c r="G416" i="1"/>
  <c r="B416" i="1"/>
  <c r="G415" i="1"/>
  <c r="B415" i="1"/>
  <c r="G414" i="1"/>
  <c r="B414" i="1"/>
  <c r="G413" i="1"/>
  <c r="B413" i="1"/>
  <c r="G412" i="1"/>
  <c r="B412" i="1"/>
  <c r="G411" i="1"/>
  <c r="B411" i="1"/>
  <c r="G410" i="1"/>
  <c r="B410" i="1"/>
  <c r="G409" i="1"/>
  <c r="B409" i="1"/>
  <c r="G408" i="1"/>
  <c r="B408" i="1"/>
  <c r="G407" i="1"/>
  <c r="B407" i="1"/>
  <c r="G406" i="1"/>
  <c r="B406" i="1"/>
  <c r="G405" i="1"/>
  <c r="B405" i="1"/>
  <c r="G404" i="1"/>
  <c r="B404" i="1"/>
  <c r="G403" i="1"/>
  <c r="B403" i="1"/>
  <c r="G402" i="1"/>
  <c r="B402" i="1"/>
  <c r="G401" i="1"/>
  <c r="B401" i="1"/>
  <c r="G400" i="1"/>
  <c r="B400" i="1"/>
  <c r="G399" i="1"/>
  <c r="B399" i="1"/>
  <c r="G398" i="1"/>
  <c r="B398" i="1"/>
  <c r="G397" i="1"/>
  <c r="B397" i="1"/>
  <c r="G396" i="1"/>
  <c r="B396" i="1"/>
  <c r="G395" i="1"/>
  <c r="B395" i="1"/>
  <c r="G394" i="1"/>
  <c r="B394" i="1"/>
  <c r="G393" i="1"/>
  <c r="B393" i="1"/>
  <c r="G392" i="1"/>
  <c r="B392" i="1"/>
  <c r="G391" i="1"/>
  <c r="B391" i="1"/>
  <c r="G390" i="1"/>
  <c r="B390" i="1"/>
  <c r="G389" i="1"/>
  <c r="B389" i="1"/>
  <c r="G388" i="1"/>
  <c r="B388" i="1"/>
  <c r="G387" i="1"/>
  <c r="B387" i="1"/>
  <c r="G386" i="1"/>
  <c r="B386" i="1"/>
  <c r="G385" i="1"/>
  <c r="B385" i="1"/>
  <c r="G384" i="1"/>
  <c r="B384" i="1"/>
  <c r="G383" i="1"/>
  <c r="B383" i="1"/>
  <c r="G382" i="1"/>
  <c r="B382" i="1"/>
  <c r="G381" i="1"/>
  <c r="B381" i="1"/>
  <c r="G380" i="1"/>
  <c r="B380" i="1"/>
  <c r="G379" i="1"/>
  <c r="B379" i="1"/>
  <c r="G378" i="1"/>
  <c r="B378" i="1"/>
  <c r="G377" i="1"/>
  <c r="B377" i="1"/>
  <c r="G376" i="1"/>
  <c r="B376" i="1"/>
  <c r="G375" i="1"/>
  <c r="B375" i="1"/>
  <c r="G374" i="1"/>
  <c r="B374" i="1"/>
  <c r="G373" i="1"/>
  <c r="B373" i="1"/>
  <c r="G372" i="1"/>
  <c r="B372" i="1"/>
  <c r="G371" i="1"/>
  <c r="B371" i="1"/>
  <c r="G370" i="1"/>
  <c r="B370" i="1"/>
  <c r="G369" i="1"/>
  <c r="B369" i="1"/>
  <c r="G368" i="1"/>
  <c r="B368" i="1"/>
  <c r="G367" i="1"/>
  <c r="B367" i="1"/>
  <c r="G366" i="1"/>
  <c r="B366" i="1"/>
  <c r="G365" i="1"/>
  <c r="B365" i="1"/>
  <c r="G364" i="1"/>
  <c r="B364" i="1"/>
  <c r="G363" i="1"/>
  <c r="B363" i="1"/>
  <c r="G362" i="1"/>
  <c r="B362" i="1"/>
  <c r="G361" i="1"/>
  <c r="B361" i="1"/>
  <c r="G360" i="1"/>
  <c r="B360" i="1"/>
  <c r="G359" i="1"/>
  <c r="B359" i="1"/>
  <c r="G358" i="1"/>
  <c r="B358" i="1"/>
  <c r="G357" i="1"/>
  <c r="B357" i="1"/>
  <c r="G356" i="1"/>
  <c r="B356" i="1"/>
  <c r="G355" i="1"/>
  <c r="B355" i="1"/>
  <c r="G354" i="1"/>
  <c r="B354" i="1"/>
  <c r="G353" i="1"/>
  <c r="B353" i="1"/>
  <c r="G352" i="1"/>
  <c r="B352" i="1"/>
  <c r="G351" i="1"/>
  <c r="B351" i="1"/>
  <c r="G350" i="1"/>
  <c r="B350" i="1"/>
  <c r="G349" i="1"/>
  <c r="B349" i="1"/>
  <c r="G348" i="1"/>
  <c r="B348" i="1"/>
  <c r="G347" i="1"/>
  <c r="B347" i="1"/>
  <c r="G346" i="1"/>
  <c r="B346" i="1"/>
  <c r="G345" i="1"/>
  <c r="B345" i="1"/>
  <c r="G344" i="1"/>
  <c r="B344" i="1"/>
  <c r="G343" i="1"/>
  <c r="B343" i="1"/>
  <c r="G342" i="1"/>
  <c r="B342" i="1"/>
  <c r="G341" i="1"/>
  <c r="B341" i="1"/>
  <c r="G340" i="1"/>
  <c r="B340" i="1"/>
  <c r="G339" i="1"/>
  <c r="B339" i="1"/>
  <c r="G338" i="1"/>
  <c r="B338" i="1"/>
  <c r="G337" i="1"/>
  <c r="B337" i="1"/>
  <c r="G336" i="1"/>
  <c r="B336" i="1"/>
  <c r="G335" i="1"/>
  <c r="B335" i="1"/>
  <c r="G334" i="1"/>
  <c r="B334" i="1"/>
  <c r="G333" i="1"/>
  <c r="B333" i="1"/>
  <c r="G332" i="1"/>
  <c r="B332" i="1"/>
  <c r="G331" i="1"/>
  <c r="B331" i="1"/>
  <c r="G330" i="1"/>
  <c r="B330" i="1"/>
  <c r="G329" i="1"/>
  <c r="B329" i="1"/>
  <c r="G328" i="1"/>
  <c r="B328" i="1"/>
  <c r="G327" i="1"/>
  <c r="B327" i="1"/>
  <c r="G326" i="1"/>
  <c r="B326" i="1"/>
  <c r="G325" i="1"/>
  <c r="B325" i="1"/>
  <c r="G324" i="1"/>
  <c r="B324" i="1"/>
  <c r="G323" i="1"/>
  <c r="B323" i="1"/>
  <c r="G322" i="1"/>
  <c r="B322" i="1"/>
  <c r="G321" i="1"/>
  <c r="B321" i="1"/>
  <c r="G320" i="1"/>
  <c r="B320" i="1"/>
  <c r="G319" i="1"/>
  <c r="B319" i="1"/>
  <c r="G318" i="1"/>
  <c r="B318" i="1"/>
  <c r="G317" i="1"/>
  <c r="B317" i="1"/>
  <c r="G316" i="1"/>
  <c r="B316" i="1"/>
  <c r="G315" i="1"/>
  <c r="B315" i="1"/>
  <c r="G314" i="1"/>
  <c r="B314" i="1"/>
  <c r="G313" i="1"/>
  <c r="B313" i="1"/>
  <c r="G312" i="1"/>
  <c r="B312" i="1"/>
  <c r="G311" i="1"/>
  <c r="B311" i="1"/>
  <c r="G310" i="1"/>
  <c r="B310" i="1"/>
  <c r="G309" i="1"/>
  <c r="B309" i="1"/>
  <c r="G308" i="1"/>
  <c r="B308" i="1"/>
  <c r="G307" i="1"/>
  <c r="B307" i="1"/>
  <c r="G306" i="1"/>
  <c r="B306" i="1"/>
  <c r="G305" i="1"/>
  <c r="B305" i="1"/>
  <c r="G304" i="1"/>
  <c r="B304" i="1"/>
  <c r="G303" i="1"/>
  <c r="B303" i="1"/>
  <c r="G302" i="1"/>
  <c r="B302" i="1"/>
  <c r="G301" i="1"/>
  <c r="B301" i="1"/>
  <c r="G300" i="1"/>
  <c r="B300" i="1"/>
  <c r="G299" i="1"/>
  <c r="B299" i="1"/>
  <c r="G298" i="1"/>
  <c r="B298" i="1"/>
  <c r="G297" i="1"/>
  <c r="B297" i="1"/>
  <c r="G296" i="1"/>
  <c r="B296" i="1"/>
  <c r="G295" i="1"/>
  <c r="B295" i="1"/>
  <c r="G294" i="1"/>
  <c r="B294" i="1"/>
  <c r="G293" i="1"/>
  <c r="B293" i="1"/>
  <c r="G292" i="1"/>
  <c r="B292" i="1"/>
  <c r="G291" i="1"/>
  <c r="B291" i="1"/>
  <c r="G290" i="1"/>
  <c r="B290" i="1"/>
  <c r="G289" i="1"/>
  <c r="B289" i="1"/>
  <c r="G288" i="1"/>
  <c r="B288" i="1"/>
  <c r="G287" i="1"/>
  <c r="B287" i="1"/>
  <c r="G286" i="1"/>
  <c r="B286" i="1"/>
  <c r="G285" i="1"/>
  <c r="B285" i="1"/>
  <c r="G284" i="1"/>
  <c r="B284" i="1"/>
  <c r="G283" i="1"/>
  <c r="B283" i="1"/>
  <c r="G282" i="1"/>
  <c r="B282" i="1"/>
  <c r="G281" i="1"/>
  <c r="B281" i="1"/>
  <c r="G280" i="1"/>
  <c r="B280" i="1"/>
  <c r="G279" i="1"/>
  <c r="B279" i="1"/>
  <c r="G278" i="1"/>
  <c r="B278" i="1"/>
  <c r="G277" i="1"/>
  <c r="B277" i="1"/>
  <c r="G276" i="1"/>
  <c r="B276" i="1"/>
  <c r="G275" i="1"/>
  <c r="B275" i="1"/>
  <c r="G274" i="1"/>
  <c r="B274" i="1"/>
  <c r="G273" i="1"/>
  <c r="B273" i="1"/>
  <c r="G272" i="1"/>
  <c r="B272" i="1"/>
  <c r="G271" i="1"/>
  <c r="B271" i="1"/>
  <c r="G270" i="1"/>
  <c r="B270" i="1"/>
  <c r="G269" i="1"/>
  <c r="B269" i="1"/>
  <c r="G268" i="1"/>
  <c r="B268" i="1"/>
  <c r="G267" i="1"/>
  <c r="B267" i="1"/>
  <c r="G266" i="1"/>
  <c r="B266" i="1"/>
  <c r="G265" i="1"/>
  <c r="B265" i="1"/>
  <c r="G264" i="1"/>
  <c r="B264" i="1"/>
  <c r="G263" i="1"/>
  <c r="B263" i="1"/>
  <c r="G262" i="1"/>
  <c r="B262" i="1"/>
  <c r="G261" i="1"/>
  <c r="B261" i="1"/>
  <c r="G260" i="1"/>
  <c r="B260" i="1"/>
  <c r="G259" i="1"/>
  <c r="B259" i="1"/>
  <c r="G258" i="1"/>
  <c r="B258" i="1"/>
  <c r="G257" i="1"/>
  <c r="B257" i="1"/>
  <c r="G256" i="1"/>
  <c r="B256" i="1"/>
  <c r="G255" i="1"/>
  <c r="B255" i="1"/>
  <c r="G254" i="1"/>
  <c r="B254" i="1"/>
  <c r="G253" i="1"/>
  <c r="B253" i="1"/>
  <c r="G252" i="1"/>
  <c r="B252" i="1"/>
  <c r="G251" i="1"/>
  <c r="B251" i="1"/>
  <c r="G250" i="1"/>
  <c r="B250" i="1"/>
  <c r="G249" i="1"/>
  <c r="B249" i="1"/>
  <c r="G248" i="1"/>
  <c r="B248" i="1"/>
  <c r="G247" i="1"/>
  <c r="B247" i="1"/>
  <c r="G246" i="1"/>
  <c r="B246" i="1"/>
  <c r="G245" i="1"/>
  <c r="B245" i="1"/>
  <c r="G244" i="1"/>
  <c r="B244" i="1"/>
  <c r="G243" i="1"/>
  <c r="B243" i="1"/>
  <c r="G242" i="1"/>
  <c r="B242" i="1"/>
  <c r="G241" i="1"/>
  <c r="B241" i="1"/>
  <c r="G240" i="1"/>
  <c r="B240" i="1"/>
  <c r="G239" i="1"/>
  <c r="B239" i="1"/>
  <c r="G238" i="1"/>
  <c r="B238" i="1"/>
  <c r="G237" i="1"/>
  <c r="B237" i="1"/>
  <c r="G236" i="1"/>
  <c r="B236" i="1"/>
  <c r="G235" i="1"/>
  <c r="B235" i="1"/>
  <c r="G234" i="1"/>
  <c r="B234" i="1"/>
  <c r="G233" i="1"/>
  <c r="B233" i="1"/>
  <c r="G232" i="1"/>
  <c r="B232" i="1"/>
  <c r="G231" i="1"/>
  <c r="B231" i="1"/>
  <c r="G230" i="1"/>
  <c r="B230" i="1"/>
  <c r="G229" i="1"/>
  <c r="B229" i="1"/>
  <c r="G228" i="1"/>
  <c r="B228" i="1"/>
  <c r="G227" i="1"/>
  <c r="B227" i="1"/>
  <c r="G226" i="1"/>
  <c r="B226" i="1"/>
  <c r="G225" i="1"/>
  <c r="B225" i="1"/>
  <c r="G224" i="1"/>
  <c r="B224" i="1"/>
  <c r="G223" i="1"/>
  <c r="B223" i="1"/>
  <c r="G222" i="1"/>
  <c r="B222" i="1"/>
  <c r="G221" i="1"/>
  <c r="B221" i="1"/>
  <c r="G220" i="1"/>
  <c r="B220" i="1"/>
  <c r="G219" i="1"/>
  <c r="B219" i="1"/>
  <c r="G218" i="1"/>
  <c r="B218" i="1"/>
  <c r="G217" i="1"/>
  <c r="B217" i="1"/>
  <c r="G216" i="1"/>
  <c r="B216" i="1"/>
  <c r="G215" i="1"/>
  <c r="B215" i="1"/>
  <c r="G214" i="1"/>
  <c r="B214" i="1"/>
  <c r="G213" i="1"/>
  <c r="B213" i="1"/>
  <c r="G212" i="1"/>
  <c r="B212" i="1"/>
  <c r="G211" i="1"/>
  <c r="B211" i="1"/>
  <c r="G210" i="1"/>
  <c r="B210" i="1"/>
  <c r="G209" i="1"/>
  <c r="B209" i="1"/>
  <c r="G208" i="1"/>
  <c r="B208" i="1"/>
  <c r="G207" i="1"/>
  <c r="B207" i="1"/>
  <c r="G206" i="1"/>
  <c r="B206" i="1"/>
  <c r="G205" i="1"/>
  <c r="B205" i="1"/>
  <c r="G204" i="1"/>
  <c r="B204" i="1"/>
  <c r="G203" i="1"/>
  <c r="B203" i="1"/>
  <c r="G202" i="1"/>
  <c r="B202" i="1"/>
  <c r="G201" i="1"/>
  <c r="B201" i="1"/>
  <c r="G200" i="1"/>
  <c r="B200" i="1"/>
  <c r="G199" i="1"/>
  <c r="B199" i="1"/>
  <c r="G198" i="1"/>
  <c r="B198" i="1"/>
  <c r="G197" i="1"/>
  <c r="B197" i="1"/>
  <c r="G196" i="1"/>
  <c r="B196" i="1"/>
  <c r="G195" i="1"/>
  <c r="B195" i="1"/>
  <c r="G194" i="1"/>
  <c r="B194" i="1"/>
  <c r="G193" i="1"/>
  <c r="B193" i="1"/>
  <c r="G192" i="1"/>
  <c r="B192" i="1"/>
  <c r="G191" i="1"/>
  <c r="B191" i="1"/>
  <c r="G190" i="1"/>
  <c r="B190" i="1"/>
  <c r="G189" i="1"/>
  <c r="B189" i="1"/>
  <c r="G188" i="1"/>
  <c r="B188" i="1"/>
  <c r="G187" i="1"/>
  <c r="B187" i="1"/>
  <c r="G186" i="1"/>
  <c r="B186" i="1"/>
  <c r="G185" i="1"/>
  <c r="B185" i="1"/>
  <c r="G184" i="1"/>
  <c r="B184" i="1"/>
  <c r="G183" i="1"/>
  <c r="B183" i="1"/>
  <c r="G182" i="1"/>
  <c r="B182" i="1"/>
  <c r="G181" i="1"/>
  <c r="B181" i="1"/>
  <c r="G180" i="1"/>
  <c r="B180" i="1"/>
  <c r="G179" i="1"/>
  <c r="B179" i="1"/>
  <c r="G178" i="1"/>
  <c r="B178" i="1"/>
  <c r="G177" i="1"/>
  <c r="B177" i="1"/>
  <c r="G176" i="1"/>
  <c r="B176" i="1"/>
  <c r="G175" i="1"/>
  <c r="B175" i="1"/>
  <c r="G174" i="1"/>
  <c r="B174" i="1"/>
  <c r="G173" i="1"/>
  <c r="B173" i="1"/>
  <c r="G172" i="1"/>
  <c r="B172" i="1"/>
  <c r="G171" i="1"/>
  <c r="B171" i="1"/>
  <c r="G170" i="1"/>
  <c r="B170" i="1"/>
  <c r="G169" i="1"/>
  <c r="B169" i="1"/>
  <c r="G168" i="1"/>
  <c r="B168" i="1"/>
  <c r="G167" i="1"/>
  <c r="B167" i="1"/>
  <c r="G166" i="1"/>
  <c r="B166" i="1"/>
  <c r="G165" i="1"/>
  <c r="B165" i="1"/>
  <c r="G164" i="1"/>
  <c r="B164" i="1"/>
  <c r="G163" i="1"/>
  <c r="B163" i="1"/>
  <c r="G162" i="1"/>
  <c r="B162" i="1"/>
  <c r="G161" i="1"/>
  <c r="B161" i="1"/>
  <c r="G160" i="1"/>
  <c r="B160" i="1"/>
  <c r="G159" i="1"/>
  <c r="B159" i="1"/>
  <c r="G158" i="1"/>
  <c r="B158" i="1"/>
  <c r="G157" i="1"/>
  <c r="B157" i="1"/>
  <c r="G156" i="1"/>
  <c r="B156" i="1"/>
  <c r="G155" i="1"/>
  <c r="B155" i="1"/>
  <c r="G154" i="1"/>
  <c r="B154" i="1"/>
  <c r="G153" i="1"/>
  <c r="B153" i="1"/>
  <c r="G152" i="1"/>
  <c r="B152" i="1"/>
  <c r="G151" i="1"/>
  <c r="B151" i="1"/>
  <c r="G150" i="1"/>
  <c r="B150" i="1"/>
  <c r="G149" i="1"/>
  <c r="B149" i="1"/>
  <c r="G148" i="1"/>
  <c r="B148" i="1"/>
  <c r="G147" i="1"/>
  <c r="B147" i="1"/>
  <c r="G146" i="1"/>
  <c r="B146" i="1"/>
  <c r="G145" i="1"/>
  <c r="B145" i="1"/>
  <c r="G144" i="1"/>
  <c r="B144" i="1"/>
  <c r="G143" i="1"/>
  <c r="B143" i="1"/>
  <c r="G142" i="1"/>
  <c r="B142" i="1"/>
  <c r="G141" i="1"/>
  <c r="B141" i="1"/>
  <c r="G140" i="1"/>
  <c r="B140" i="1"/>
  <c r="G139" i="1"/>
  <c r="B139" i="1"/>
  <c r="G138" i="1"/>
  <c r="B138" i="1"/>
  <c r="G137" i="1"/>
  <c r="B137" i="1"/>
  <c r="G136" i="1"/>
  <c r="B136" i="1"/>
  <c r="G135" i="1"/>
  <c r="B135" i="1"/>
  <c r="G134" i="1"/>
  <c r="B134" i="1"/>
  <c r="G133" i="1"/>
  <c r="B133" i="1"/>
  <c r="G132" i="1"/>
  <c r="B132" i="1"/>
  <c r="G131" i="1"/>
  <c r="B131" i="1"/>
  <c r="G130" i="1"/>
  <c r="B130" i="1"/>
  <c r="G129" i="1"/>
  <c r="B129" i="1"/>
  <c r="G128" i="1"/>
  <c r="B128" i="1"/>
  <c r="G127" i="1"/>
  <c r="B127" i="1"/>
  <c r="G126" i="1"/>
  <c r="B126" i="1"/>
  <c r="G125" i="1"/>
  <c r="B125" i="1"/>
  <c r="G124" i="1"/>
  <c r="B124" i="1"/>
  <c r="G123" i="1"/>
  <c r="B123" i="1"/>
  <c r="G122" i="1"/>
  <c r="B122" i="1"/>
  <c r="G121" i="1"/>
  <c r="B121" i="1"/>
  <c r="G120" i="1"/>
  <c r="B120" i="1"/>
  <c r="G119" i="1"/>
  <c r="B119" i="1"/>
  <c r="G118" i="1"/>
  <c r="B118" i="1"/>
  <c r="G117" i="1"/>
  <c r="B117" i="1"/>
  <c r="G116" i="1"/>
  <c r="B116" i="1"/>
  <c r="G115" i="1"/>
  <c r="B115" i="1"/>
  <c r="G114" i="1"/>
  <c r="B114" i="1"/>
  <c r="G113" i="1"/>
  <c r="B113" i="1"/>
  <c r="G112" i="1"/>
  <c r="B112" i="1"/>
  <c r="G111" i="1"/>
  <c r="B111" i="1"/>
  <c r="G110" i="1"/>
  <c r="B110" i="1"/>
  <c r="G109" i="1"/>
  <c r="B109" i="1"/>
  <c r="G108" i="1"/>
  <c r="B108" i="1"/>
  <c r="G107" i="1"/>
  <c r="B107" i="1"/>
  <c r="G106" i="1"/>
  <c r="B106" i="1"/>
  <c r="G105" i="1"/>
  <c r="B105" i="1"/>
  <c r="G104" i="1"/>
  <c r="B104" i="1"/>
  <c r="G103" i="1"/>
  <c r="B103" i="1"/>
  <c r="G102" i="1"/>
  <c r="B102" i="1"/>
  <c r="G101" i="1"/>
  <c r="B101" i="1"/>
  <c r="G100" i="1"/>
  <c r="B100" i="1"/>
  <c r="G99" i="1"/>
  <c r="B99" i="1"/>
  <c r="G98" i="1"/>
  <c r="B98" i="1"/>
  <c r="G97" i="1"/>
  <c r="B97" i="1"/>
  <c r="G96" i="1"/>
  <c r="B96" i="1"/>
  <c r="G95" i="1"/>
  <c r="B95" i="1"/>
  <c r="G94" i="1"/>
  <c r="B94" i="1"/>
  <c r="G93" i="1"/>
  <c r="B93" i="1"/>
  <c r="G92" i="1"/>
  <c r="B92" i="1"/>
  <c r="G91" i="1"/>
  <c r="B91" i="1"/>
  <c r="G90" i="1"/>
  <c r="B90" i="1"/>
  <c r="G89" i="1"/>
  <c r="B89" i="1"/>
  <c r="G88" i="1"/>
  <c r="B88" i="1"/>
  <c r="G87" i="1"/>
  <c r="B87" i="1"/>
  <c r="G86" i="1"/>
  <c r="B86" i="1"/>
  <c r="G85" i="1"/>
  <c r="B85" i="1"/>
  <c r="G84" i="1"/>
  <c r="B84" i="1"/>
  <c r="G83" i="1"/>
  <c r="B83" i="1"/>
  <c r="G82" i="1"/>
  <c r="B82" i="1"/>
  <c r="G81" i="1"/>
  <c r="B81" i="1"/>
  <c r="G80" i="1"/>
  <c r="B80" i="1"/>
  <c r="G79" i="1"/>
  <c r="B79" i="1"/>
  <c r="G78" i="1"/>
  <c r="B78" i="1"/>
  <c r="G77" i="1"/>
  <c r="B77" i="1"/>
  <c r="G76" i="1"/>
  <c r="B76" i="1"/>
  <c r="G75" i="1"/>
  <c r="B75" i="1"/>
  <c r="G74" i="1"/>
  <c r="B74" i="1"/>
  <c r="G73" i="1"/>
  <c r="B73" i="1"/>
  <c r="G72" i="1"/>
  <c r="B72" i="1"/>
  <c r="G71" i="1"/>
  <c r="B71" i="1"/>
  <c r="G70" i="1"/>
  <c r="B70" i="1"/>
  <c r="G69" i="1"/>
  <c r="B69" i="1"/>
  <c r="G68" i="1"/>
  <c r="B68" i="1"/>
  <c r="G67" i="1"/>
  <c r="B67" i="1"/>
  <c r="G66" i="1"/>
  <c r="B66" i="1"/>
  <c r="G65" i="1"/>
  <c r="B65" i="1"/>
  <c r="G64" i="1"/>
  <c r="B64" i="1"/>
  <c r="G63" i="1"/>
  <c r="B63" i="1"/>
  <c r="G62" i="1"/>
  <c r="B62" i="1"/>
  <c r="G61" i="1"/>
  <c r="B61" i="1"/>
  <c r="G60" i="1"/>
  <c r="B60" i="1"/>
  <c r="G59" i="1"/>
  <c r="B59" i="1"/>
  <c r="G58" i="1"/>
  <c r="B58" i="1"/>
  <c r="G57" i="1"/>
  <c r="B57" i="1"/>
  <c r="G56" i="1"/>
  <c r="B56" i="1"/>
  <c r="G55" i="1"/>
  <c r="B55" i="1"/>
  <c r="G54" i="1"/>
  <c r="B54" i="1"/>
  <c r="G53" i="1"/>
  <c r="B53" i="1"/>
  <c r="G52" i="1"/>
  <c r="B52" i="1"/>
  <c r="G51" i="1"/>
  <c r="B51" i="1"/>
  <c r="G50" i="1"/>
  <c r="B50" i="1"/>
  <c r="G49" i="1"/>
  <c r="B49" i="1"/>
  <c r="G48" i="1"/>
  <c r="B48" i="1"/>
  <c r="G47" i="1"/>
  <c r="B47" i="1"/>
  <c r="G46" i="1"/>
  <c r="B46" i="1"/>
  <c r="G45" i="1"/>
  <c r="B45" i="1"/>
  <c r="G44" i="1"/>
  <c r="B44" i="1"/>
  <c r="G43" i="1"/>
  <c r="B43" i="1"/>
  <c r="G42" i="1"/>
  <c r="B42" i="1"/>
  <c r="G41" i="1"/>
  <c r="B41" i="1"/>
  <c r="G40" i="1"/>
  <c r="B40" i="1"/>
  <c r="G39" i="1"/>
  <c r="B39" i="1"/>
  <c r="G38" i="1"/>
  <c r="B38" i="1"/>
  <c r="G37" i="1"/>
  <c r="B37" i="1"/>
  <c r="G36" i="1"/>
  <c r="B36" i="1"/>
  <c r="G35" i="1"/>
  <c r="B35" i="1"/>
  <c r="G34" i="1"/>
  <c r="B34" i="1"/>
  <c r="G33" i="1"/>
  <c r="B33" i="1"/>
  <c r="G32" i="1"/>
  <c r="B32" i="1"/>
  <c r="G31" i="1"/>
  <c r="B31" i="1"/>
  <c r="G30" i="1"/>
  <c r="B30" i="1"/>
  <c r="G29" i="1"/>
  <c r="B29" i="1"/>
  <c r="G28" i="1"/>
  <c r="B28" i="1"/>
  <c r="G27" i="1"/>
  <c r="B27" i="1"/>
  <c r="G26" i="1"/>
  <c r="B26" i="1"/>
  <c r="G25" i="1"/>
  <c r="B25" i="1"/>
  <c r="G24" i="1"/>
  <c r="B24" i="1"/>
  <c r="G23" i="1"/>
  <c r="B23" i="1"/>
  <c r="G22" i="1"/>
  <c r="B22" i="1"/>
  <c r="G21" i="1"/>
  <c r="B21" i="1"/>
  <c r="G20" i="1"/>
  <c r="B20" i="1"/>
  <c r="G19" i="1"/>
  <c r="B19" i="1"/>
  <c r="G18" i="1"/>
  <c r="B18" i="1"/>
  <c r="G17" i="1"/>
  <c r="B17" i="1"/>
  <c r="G16" i="1"/>
  <c r="B16" i="1"/>
  <c r="G15" i="1"/>
  <c r="B15" i="1"/>
  <c r="G14" i="1"/>
  <c r="B14" i="1"/>
  <c r="G13" i="1"/>
  <c r="B13" i="1"/>
  <c r="G12" i="1"/>
  <c r="B12" i="1"/>
  <c r="G11" i="1"/>
  <c r="B11" i="1"/>
  <c r="G10" i="1"/>
  <c r="B10" i="1"/>
  <c r="G9" i="1"/>
  <c r="B9" i="1"/>
  <c r="G8" i="1"/>
  <c r="B8" i="1"/>
  <c r="B7" i="1"/>
  <c r="O2" i="1"/>
  <c r="N2" i="1"/>
  <c r="P2" i="1"/>
  <c r="H9" i="2" l="1"/>
  <c r="I9" i="2" s="1"/>
  <c r="I7" i="2"/>
  <c r="K7" i="2" s="1"/>
  <c r="L7" i="2" s="1"/>
  <c r="N7" i="2" s="1"/>
  <c r="P12" i="2"/>
  <c r="Q11" i="2"/>
  <c r="E37" i="1"/>
  <c r="F37" i="1" s="1"/>
  <c r="E39" i="1"/>
  <c r="F39" i="1" s="1"/>
  <c r="E103" i="1"/>
  <c r="F103" i="1" s="1"/>
  <c r="E69" i="1"/>
  <c r="F69" i="1" s="1"/>
  <c r="E133" i="1"/>
  <c r="F133" i="1" s="1"/>
  <c r="E187" i="1"/>
  <c r="F187" i="1" s="1"/>
  <c r="E251" i="1"/>
  <c r="F251" i="1" s="1"/>
  <c r="E315" i="1"/>
  <c r="F315" i="1" s="1"/>
  <c r="E379" i="1"/>
  <c r="F379" i="1" s="1"/>
  <c r="E443" i="1"/>
  <c r="F443" i="1" s="1"/>
  <c r="E169" i="1"/>
  <c r="F169" i="1" s="1"/>
  <c r="E221" i="1"/>
  <c r="F221" i="1" s="1"/>
  <c r="E253" i="1"/>
  <c r="F253" i="1" s="1"/>
  <c r="E285" i="1"/>
  <c r="F285" i="1" s="1"/>
  <c r="E317" i="1"/>
  <c r="F317" i="1" s="1"/>
  <c r="E349" i="1"/>
  <c r="F349" i="1" s="1"/>
  <c r="E381" i="1"/>
  <c r="F381" i="1" s="1"/>
  <c r="E413" i="1"/>
  <c r="F413" i="1" s="1"/>
  <c r="E445" i="1"/>
  <c r="F445" i="1" s="1"/>
  <c r="E477" i="1"/>
  <c r="F477" i="1" s="1"/>
  <c r="E509" i="1"/>
  <c r="F509" i="1" s="1"/>
  <c r="E541" i="1"/>
  <c r="F541" i="1" s="1"/>
  <c r="E573" i="1"/>
  <c r="F573" i="1" s="1"/>
  <c r="E605" i="1"/>
  <c r="F605" i="1" s="1"/>
  <c r="E634" i="1"/>
  <c r="F634" i="1" s="1"/>
  <c r="E666" i="1"/>
  <c r="F666" i="1" s="1"/>
  <c r="E698" i="1"/>
  <c r="F698" i="1" s="1"/>
  <c r="E730" i="1"/>
  <c r="F730" i="1" s="1"/>
  <c r="E762" i="1"/>
  <c r="F762" i="1" s="1"/>
  <c r="E791" i="1"/>
  <c r="F791" i="1" s="1"/>
  <c r="E825" i="1"/>
  <c r="F825" i="1" s="1"/>
  <c r="E515" i="1"/>
  <c r="F515" i="1" s="1"/>
  <c r="E547" i="1"/>
  <c r="F547" i="1" s="1"/>
  <c r="E579" i="1"/>
  <c r="F579" i="1" s="1"/>
  <c r="E611" i="1"/>
  <c r="F611" i="1" s="1"/>
  <c r="E644" i="1"/>
  <c r="F644" i="1" s="1"/>
  <c r="E676" i="1"/>
  <c r="F676" i="1" s="1"/>
  <c r="E708" i="1"/>
  <c r="F708" i="1" s="1"/>
  <c r="E740" i="1"/>
  <c r="F740" i="1" s="1"/>
  <c r="E772" i="1"/>
  <c r="F772" i="1" s="1"/>
  <c r="E805" i="1"/>
  <c r="F805" i="1" s="1"/>
  <c r="E831" i="1"/>
  <c r="F831" i="1" s="1"/>
  <c r="E863" i="1"/>
  <c r="F863" i="1" s="1"/>
  <c r="E887" i="1"/>
  <c r="F887" i="1" s="1"/>
  <c r="E903" i="1"/>
  <c r="F903" i="1" s="1"/>
  <c r="E919" i="1"/>
  <c r="F919" i="1" s="1"/>
  <c r="E935" i="1"/>
  <c r="F935" i="1" s="1"/>
  <c r="E951" i="1"/>
  <c r="F951" i="1" s="1"/>
  <c r="E967" i="1"/>
  <c r="F967" i="1" s="1"/>
  <c r="E983" i="1"/>
  <c r="F983" i="1" s="1"/>
  <c r="E841" i="1"/>
  <c r="F841" i="1" s="1"/>
  <c r="E857" i="1"/>
  <c r="F857" i="1" s="1"/>
  <c r="E873" i="1"/>
  <c r="F873" i="1" s="1"/>
  <c r="E889" i="1"/>
  <c r="F889" i="1" s="1"/>
  <c r="E905" i="1"/>
  <c r="F905" i="1" s="1"/>
  <c r="E921" i="1"/>
  <c r="F921" i="1" s="1"/>
  <c r="E937" i="1"/>
  <c r="F937" i="1" s="1"/>
  <c r="E953" i="1"/>
  <c r="F953" i="1" s="1"/>
  <c r="E969" i="1"/>
  <c r="F969" i="1" s="1"/>
  <c r="E985" i="1"/>
  <c r="F985" i="1" s="1"/>
  <c r="E996" i="1"/>
  <c r="F996" i="1" s="1"/>
  <c r="E1012" i="1"/>
  <c r="F1012" i="1" s="1"/>
  <c r="E1028" i="1"/>
  <c r="F1028" i="1" s="1"/>
  <c r="E1044" i="1"/>
  <c r="F1044" i="1" s="1"/>
  <c r="E1060" i="1"/>
  <c r="F1060" i="1" s="1"/>
  <c r="E1076" i="1"/>
  <c r="F1076" i="1" s="1"/>
  <c r="E1093" i="1"/>
  <c r="F1093" i="1" s="1"/>
  <c r="E1112" i="1"/>
  <c r="F1112" i="1" s="1"/>
  <c r="E1128" i="1"/>
  <c r="F1128" i="1" s="1"/>
  <c r="E1144" i="1"/>
  <c r="F1144" i="1" s="1"/>
  <c r="E993" i="1"/>
  <c r="F993" i="1" s="1"/>
  <c r="E1010" i="1"/>
  <c r="F1010" i="1" s="1"/>
  <c r="E1026" i="1"/>
  <c r="F1026" i="1" s="1"/>
  <c r="E1042" i="1"/>
  <c r="F1042" i="1" s="1"/>
  <c r="E1058" i="1"/>
  <c r="F1058" i="1" s="1"/>
  <c r="E1074" i="1"/>
  <c r="F1074" i="1" s="1"/>
  <c r="E1087" i="1"/>
  <c r="F1087" i="1" s="1"/>
  <c r="E1103" i="1"/>
  <c r="F1103" i="1" s="1"/>
  <c r="E1118" i="1"/>
  <c r="F1118" i="1" s="1"/>
  <c r="E1134" i="1"/>
  <c r="F1134" i="1" s="1"/>
  <c r="E1150" i="1"/>
  <c r="F1150" i="1" s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J34" i="1" s="1"/>
  <c r="J35" i="1" s="1"/>
  <c r="J36" i="1" s="1"/>
  <c r="J37" i="1" s="1"/>
  <c r="J38" i="1" s="1"/>
  <c r="J39" i="1" s="1"/>
  <c r="J40" i="1" s="1"/>
  <c r="J41" i="1" s="1"/>
  <c r="J42" i="1" s="1"/>
  <c r="J43" i="1" s="1"/>
  <c r="J44" i="1" s="1"/>
  <c r="J45" i="1" s="1"/>
  <c r="J46" i="1" s="1"/>
  <c r="J47" i="1" s="1"/>
  <c r="J48" i="1" s="1"/>
  <c r="J49" i="1" s="1"/>
  <c r="J50" i="1" s="1"/>
  <c r="J51" i="1" s="1"/>
  <c r="J52" i="1" s="1"/>
  <c r="J53" i="1" s="1"/>
  <c r="J54" i="1" s="1"/>
  <c r="J55" i="1" s="1"/>
  <c r="J56" i="1" s="1"/>
  <c r="J57" i="1" s="1"/>
  <c r="J58" i="1" s="1"/>
  <c r="J59" i="1" s="1"/>
  <c r="J60" i="1" s="1"/>
  <c r="J61" i="1" s="1"/>
  <c r="J62" i="1" s="1"/>
  <c r="J63" i="1" s="1"/>
  <c r="J64" i="1" s="1"/>
  <c r="J65" i="1" s="1"/>
  <c r="J66" i="1" s="1"/>
  <c r="J67" i="1" s="1"/>
  <c r="J68" i="1" s="1"/>
  <c r="J69" i="1" s="1"/>
  <c r="J70" i="1" s="1"/>
  <c r="J71" i="1" s="1"/>
  <c r="J72" i="1" s="1"/>
  <c r="J73" i="1" s="1"/>
  <c r="J74" i="1" s="1"/>
  <c r="J75" i="1" s="1"/>
  <c r="J76" i="1" s="1"/>
  <c r="J77" i="1" s="1"/>
  <c r="J78" i="1" s="1"/>
  <c r="J79" i="1" s="1"/>
  <c r="J80" i="1" s="1"/>
  <c r="J81" i="1" s="1"/>
  <c r="J82" i="1" s="1"/>
  <c r="J83" i="1" s="1"/>
  <c r="J84" i="1" s="1"/>
  <c r="J85" i="1" s="1"/>
  <c r="J86" i="1" s="1"/>
  <c r="J87" i="1" s="1"/>
  <c r="J88" i="1" s="1"/>
  <c r="J89" i="1" s="1"/>
  <c r="J90" i="1" s="1"/>
  <c r="J91" i="1" s="1"/>
  <c r="J92" i="1" s="1"/>
  <c r="J93" i="1" s="1"/>
  <c r="J94" i="1" s="1"/>
  <c r="J95" i="1" s="1"/>
  <c r="J96" i="1" s="1"/>
  <c r="J97" i="1" s="1"/>
  <c r="J98" i="1" s="1"/>
  <c r="J99" i="1" s="1"/>
  <c r="J100" i="1" s="1"/>
  <c r="J101" i="1" s="1"/>
  <c r="J102" i="1" s="1"/>
  <c r="J103" i="1" s="1"/>
  <c r="J104" i="1" s="1"/>
  <c r="J105" i="1" s="1"/>
  <c r="J106" i="1" s="1"/>
  <c r="J107" i="1" s="1"/>
  <c r="J108" i="1" s="1"/>
  <c r="J109" i="1" s="1"/>
  <c r="J110" i="1" s="1"/>
  <c r="J111" i="1" s="1"/>
  <c r="J112" i="1" s="1"/>
  <c r="J113" i="1" s="1"/>
  <c r="J114" i="1" s="1"/>
  <c r="J115" i="1" s="1"/>
  <c r="J116" i="1" s="1"/>
  <c r="J117" i="1" s="1"/>
  <c r="J118" i="1" s="1"/>
  <c r="J119" i="1" s="1"/>
  <c r="J120" i="1" s="1"/>
  <c r="J121" i="1" s="1"/>
  <c r="J122" i="1" s="1"/>
  <c r="J123" i="1" s="1"/>
  <c r="J124" i="1" s="1"/>
  <c r="J125" i="1" s="1"/>
  <c r="J126" i="1" s="1"/>
  <c r="J127" i="1" s="1"/>
  <c r="J128" i="1" s="1"/>
  <c r="J129" i="1" s="1"/>
  <c r="J130" i="1" s="1"/>
  <c r="J131" i="1" s="1"/>
  <c r="J132" i="1" s="1"/>
  <c r="J133" i="1" s="1"/>
  <c r="J134" i="1" s="1"/>
  <c r="J135" i="1" s="1"/>
  <c r="J136" i="1" s="1"/>
  <c r="J137" i="1" s="1"/>
  <c r="J138" i="1" s="1"/>
  <c r="J139" i="1" s="1"/>
  <c r="J140" i="1" s="1"/>
  <c r="J141" i="1" s="1"/>
  <c r="J142" i="1" s="1"/>
  <c r="J143" i="1" s="1"/>
  <c r="J144" i="1" s="1"/>
  <c r="J145" i="1" s="1"/>
  <c r="J146" i="1" s="1"/>
  <c r="J147" i="1" s="1"/>
  <c r="J148" i="1" s="1"/>
  <c r="J149" i="1" s="1"/>
  <c r="J150" i="1" s="1"/>
  <c r="J151" i="1" s="1"/>
  <c r="J152" i="1" s="1"/>
  <c r="J153" i="1" s="1"/>
  <c r="J154" i="1" s="1"/>
  <c r="J155" i="1" s="1"/>
  <c r="J156" i="1" s="1"/>
  <c r="J157" i="1" s="1"/>
  <c r="J158" i="1" s="1"/>
  <c r="J159" i="1" s="1"/>
  <c r="J160" i="1" s="1"/>
  <c r="J161" i="1" s="1"/>
  <c r="J162" i="1" s="1"/>
  <c r="J163" i="1" s="1"/>
  <c r="J164" i="1" s="1"/>
  <c r="J165" i="1" s="1"/>
  <c r="J166" i="1" s="1"/>
  <c r="J167" i="1" s="1"/>
  <c r="J168" i="1" s="1"/>
  <c r="J169" i="1" s="1"/>
  <c r="J170" i="1" s="1"/>
  <c r="J171" i="1" s="1"/>
  <c r="J172" i="1" s="1"/>
  <c r="J173" i="1" s="1"/>
  <c r="J174" i="1" s="1"/>
  <c r="J175" i="1" s="1"/>
  <c r="J176" i="1" s="1"/>
  <c r="J177" i="1" s="1"/>
  <c r="J178" i="1" s="1"/>
  <c r="J179" i="1" s="1"/>
  <c r="J180" i="1" s="1"/>
  <c r="J181" i="1" s="1"/>
  <c r="J182" i="1" s="1"/>
  <c r="J183" i="1" s="1"/>
  <c r="J184" i="1" s="1"/>
  <c r="J185" i="1" s="1"/>
  <c r="J186" i="1" s="1"/>
  <c r="J187" i="1" s="1"/>
  <c r="J188" i="1" s="1"/>
  <c r="J189" i="1" s="1"/>
  <c r="J190" i="1" s="1"/>
  <c r="J191" i="1" s="1"/>
  <c r="J192" i="1" s="1"/>
  <c r="J193" i="1" s="1"/>
  <c r="J194" i="1" s="1"/>
  <c r="J195" i="1" s="1"/>
  <c r="J196" i="1" s="1"/>
  <c r="J197" i="1" s="1"/>
  <c r="J198" i="1" s="1"/>
  <c r="J199" i="1" s="1"/>
  <c r="J200" i="1" s="1"/>
  <c r="J201" i="1" s="1"/>
  <c r="J202" i="1" s="1"/>
  <c r="J203" i="1" s="1"/>
  <c r="J204" i="1" s="1"/>
  <c r="J205" i="1" s="1"/>
  <c r="J206" i="1" s="1"/>
  <c r="J207" i="1" s="1"/>
  <c r="J208" i="1" s="1"/>
  <c r="J209" i="1" s="1"/>
  <c r="J210" i="1" s="1"/>
  <c r="J211" i="1" s="1"/>
  <c r="J212" i="1" s="1"/>
  <c r="J213" i="1" s="1"/>
  <c r="J214" i="1" s="1"/>
  <c r="J215" i="1" s="1"/>
  <c r="J216" i="1" s="1"/>
  <c r="J217" i="1" s="1"/>
  <c r="J218" i="1" s="1"/>
  <c r="J219" i="1" s="1"/>
  <c r="J220" i="1" s="1"/>
  <c r="J221" i="1" s="1"/>
  <c r="J222" i="1" s="1"/>
  <c r="J223" i="1" s="1"/>
  <c r="J224" i="1" s="1"/>
  <c r="J225" i="1" s="1"/>
  <c r="J226" i="1" s="1"/>
  <c r="J227" i="1" s="1"/>
  <c r="J228" i="1" s="1"/>
  <c r="J229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J438" i="1" s="1"/>
  <c r="J439" i="1" s="1"/>
  <c r="J440" i="1" s="1"/>
  <c r="J441" i="1" s="1"/>
  <c r="J442" i="1" s="1"/>
  <c r="J443" i="1" s="1"/>
  <c r="J444" i="1" s="1"/>
  <c r="J445" i="1" s="1"/>
  <c r="J446" i="1" s="1"/>
  <c r="J447" i="1" s="1"/>
  <c r="J448" i="1" s="1"/>
  <c r="J449" i="1" s="1"/>
  <c r="J450" i="1" s="1"/>
  <c r="J451" i="1" s="1"/>
  <c r="J452" i="1" s="1"/>
  <c r="J453" i="1" s="1"/>
  <c r="J454" i="1" s="1"/>
  <c r="J455" i="1" s="1"/>
  <c r="J456" i="1" s="1"/>
  <c r="J457" i="1" s="1"/>
  <c r="J458" i="1" s="1"/>
  <c r="J459" i="1" s="1"/>
  <c r="J460" i="1" s="1"/>
  <c r="J461" i="1" s="1"/>
  <c r="J462" i="1" s="1"/>
  <c r="J463" i="1" s="1"/>
  <c r="J464" i="1" s="1"/>
  <c r="J465" i="1" s="1"/>
  <c r="J466" i="1" s="1"/>
  <c r="J467" i="1" s="1"/>
  <c r="J468" i="1" s="1"/>
  <c r="J469" i="1" s="1"/>
  <c r="J470" i="1" s="1"/>
  <c r="J471" i="1" s="1"/>
  <c r="J472" i="1" s="1"/>
  <c r="J473" i="1" s="1"/>
  <c r="J474" i="1" s="1"/>
  <c r="J475" i="1" s="1"/>
  <c r="J476" i="1" s="1"/>
  <c r="J477" i="1" s="1"/>
  <c r="J478" i="1" s="1"/>
  <c r="J479" i="1" s="1"/>
  <c r="J480" i="1" s="1"/>
  <c r="J481" i="1" s="1"/>
  <c r="J482" i="1" s="1"/>
  <c r="J483" i="1" s="1"/>
  <c r="J484" i="1" s="1"/>
  <c r="J485" i="1" s="1"/>
  <c r="J486" i="1" s="1"/>
  <c r="J487" i="1" s="1"/>
  <c r="J488" i="1" s="1"/>
  <c r="J489" i="1" s="1"/>
  <c r="J490" i="1" s="1"/>
  <c r="J491" i="1" s="1"/>
  <c r="J492" i="1" s="1"/>
  <c r="J493" i="1" s="1"/>
  <c r="J494" i="1" s="1"/>
  <c r="J495" i="1" s="1"/>
  <c r="J496" i="1" s="1"/>
  <c r="J497" i="1" s="1"/>
  <c r="J498" i="1" s="1"/>
  <c r="J499" i="1" s="1"/>
  <c r="J500" i="1" s="1"/>
  <c r="J501" i="1" s="1"/>
  <c r="J502" i="1" s="1"/>
  <c r="J503" i="1" s="1"/>
  <c r="J504" i="1" s="1"/>
  <c r="J505" i="1" s="1"/>
  <c r="J506" i="1" s="1"/>
  <c r="J507" i="1" s="1"/>
  <c r="J508" i="1" s="1"/>
  <c r="J509" i="1" s="1"/>
  <c r="J510" i="1" s="1"/>
  <c r="J511" i="1" s="1"/>
  <c r="J512" i="1" s="1"/>
  <c r="J513" i="1" s="1"/>
  <c r="J514" i="1" s="1"/>
  <c r="J515" i="1" s="1"/>
  <c r="J516" i="1" s="1"/>
  <c r="J517" i="1" s="1"/>
  <c r="J518" i="1" s="1"/>
  <c r="J519" i="1" s="1"/>
  <c r="J520" i="1" s="1"/>
  <c r="J521" i="1" s="1"/>
  <c r="J522" i="1" s="1"/>
  <c r="J523" i="1" s="1"/>
  <c r="J524" i="1" s="1"/>
  <c r="J525" i="1" s="1"/>
  <c r="J526" i="1" s="1"/>
  <c r="J527" i="1" s="1"/>
  <c r="J528" i="1" s="1"/>
  <c r="J529" i="1" s="1"/>
  <c r="J530" i="1" s="1"/>
  <c r="J531" i="1" s="1"/>
  <c r="J532" i="1" s="1"/>
  <c r="J533" i="1" s="1"/>
  <c r="J534" i="1" s="1"/>
  <c r="J535" i="1" s="1"/>
  <c r="J536" i="1" s="1"/>
  <c r="J537" i="1" s="1"/>
  <c r="J538" i="1" s="1"/>
  <c r="J539" i="1" s="1"/>
  <c r="J540" i="1" s="1"/>
  <c r="J541" i="1" s="1"/>
  <c r="J542" i="1" s="1"/>
  <c r="J543" i="1" s="1"/>
  <c r="J544" i="1" s="1"/>
  <c r="J545" i="1" s="1"/>
  <c r="J546" i="1" s="1"/>
  <c r="J547" i="1" s="1"/>
  <c r="J548" i="1" s="1"/>
  <c r="J549" i="1" s="1"/>
  <c r="J550" i="1" s="1"/>
  <c r="J551" i="1" s="1"/>
  <c r="J552" i="1" s="1"/>
  <c r="J553" i="1" s="1"/>
  <c r="J554" i="1" s="1"/>
  <c r="J555" i="1" s="1"/>
  <c r="J556" i="1" s="1"/>
  <c r="J557" i="1" s="1"/>
  <c r="J558" i="1" s="1"/>
  <c r="J559" i="1" s="1"/>
  <c r="J560" i="1" s="1"/>
  <c r="J561" i="1" s="1"/>
  <c r="J562" i="1" s="1"/>
  <c r="J563" i="1" s="1"/>
  <c r="J564" i="1" s="1"/>
  <c r="J565" i="1" s="1"/>
  <c r="J566" i="1" s="1"/>
  <c r="J567" i="1" s="1"/>
  <c r="J568" i="1" s="1"/>
  <c r="J569" i="1" s="1"/>
  <c r="J570" i="1" s="1"/>
  <c r="J571" i="1" s="1"/>
  <c r="J572" i="1" s="1"/>
  <c r="J573" i="1" s="1"/>
  <c r="J574" i="1" s="1"/>
  <c r="J575" i="1" s="1"/>
  <c r="J576" i="1" s="1"/>
  <c r="J577" i="1" s="1"/>
  <c r="J578" i="1" s="1"/>
  <c r="J579" i="1" s="1"/>
  <c r="J580" i="1" s="1"/>
  <c r="J581" i="1" s="1"/>
  <c r="J582" i="1" s="1"/>
  <c r="J583" i="1" s="1"/>
  <c r="J584" i="1" s="1"/>
  <c r="J585" i="1" s="1"/>
  <c r="J586" i="1" s="1"/>
  <c r="J587" i="1" s="1"/>
  <c r="J588" i="1" s="1"/>
  <c r="J589" i="1" s="1"/>
  <c r="J590" i="1" s="1"/>
  <c r="J591" i="1" s="1"/>
  <c r="J592" i="1" s="1"/>
  <c r="J593" i="1" s="1"/>
  <c r="J594" i="1" s="1"/>
  <c r="J595" i="1" s="1"/>
  <c r="J596" i="1" s="1"/>
  <c r="J597" i="1" s="1"/>
  <c r="J598" i="1" s="1"/>
  <c r="J599" i="1" s="1"/>
  <c r="J600" i="1" s="1"/>
  <c r="J601" i="1" s="1"/>
  <c r="J602" i="1" s="1"/>
  <c r="J603" i="1" s="1"/>
  <c r="J604" i="1" s="1"/>
  <c r="J605" i="1" s="1"/>
  <c r="J606" i="1" s="1"/>
  <c r="J607" i="1" s="1"/>
  <c r="J608" i="1" s="1"/>
  <c r="J609" i="1" s="1"/>
  <c r="J610" i="1" s="1"/>
  <c r="J611" i="1" s="1"/>
  <c r="J612" i="1" s="1"/>
  <c r="J613" i="1" s="1"/>
  <c r="J614" i="1" s="1"/>
  <c r="J615" i="1" s="1"/>
  <c r="J616" i="1" s="1"/>
  <c r="J617" i="1" s="1"/>
  <c r="J618" i="1" s="1"/>
  <c r="J619" i="1" s="1"/>
  <c r="J620" i="1" s="1"/>
  <c r="J621" i="1" s="1"/>
  <c r="J622" i="1" s="1"/>
  <c r="J623" i="1" s="1"/>
  <c r="J624" i="1" s="1"/>
  <c r="J625" i="1" s="1"/>
  <c r="J626" i="1" s="1"/>
  <c r="J627" i="1" s="1"/>
  <c r="J628" i="1" s="1"/>
  <c r="J629" i="1" s="1"/>
  <c r="J630" i="1" s="1"/>
  <c r="J631" i="1" s="1"/>
  <c r="J632" i="1" s="1"/>
  <c r="J633" i="1" s="1"/>
  <c r="J634" i="1" s="1"/>
  <c r="J635" i="1" s="1"/>
  <c r="J636" i="1" s="1"/>
  <c r="J637" i="1" s="1"/>
  <c r="J638" i="1" s="1"/>
  <c r="J639" i="1" s="1"/>
  <c r="J640" i="1" s="1"/>
  <c r="J641" i="1" s="1"/>
  <c r="J642" i="1" s="1"/>
  <c r="J643" i="1" s="1"/>
  <c r="J644" i="1" s="1"/>
  <c r="J645" i="1" s="1"/>
  <c r="J646" i="1" s="1"/>
  <c r="J647" i="1" s="1"/>
  <c r="J648" i="1" s="1"/>
  <c r="J649" i="1" s="1"/>
  <c r="J650" i="1" s="1"/>
  <c r="J651" i="1" s="1"/>
  <c r="J652" i="1" s="1"/>
  <c r="J653" i="1" s="1"/>
  <c r="J654" i="1" s="1"/>
  <c r="J655" i="1" s="1"/>
  <c r="J656" i="1" s="1"/>
  <c r="J657" i="1" s="1"/>
  <c r="J658" i="1" s="1"/>
  <c r="J659" i="1" s="1"/>
  <c r="J660" i="1" s="1"/>
  <c r="J661" i="1" s="1"/>
  <c r="J662" i="1" s="1"/>
  <c r="J663" i="1" s="1"/>
  <c r="J664" i="1" s="1"/>
  <c r="J665" i="1" s="1"/>
  <c r="J666" i="1" s="1"/>
  <c r="J667" i="1" s="1"/>
  <c r="J668" i="1" s="1"/>
  <c r="J669" i="1" s="1"/>
  <c r="J670" i="1" s="1"/>
  <c r="J671" i="1" s="1"/>
  <c r="J672" i="1" s="1"/>
  <c r="J673" i="1" s="1"/>
  <c r="J674" i="1" s="1"/>
  <c r="J675" i="1" s="1"/>
  <c r="J676" i="1" s="1"/>
  <c r="J677" i="1" s="1"/>
  <c r="J678" i="1" s="1"/>
  <c r="J679" i="1" s="1"/>
  <c r="J680" i="1" s="1"/>
  <c r="J681" i="1" s="1"/>
  <c r="J682" i="1" s="1"/>
  <c r="J683" i="1" s="1"/>
  <c r="J684" i="1" s="1"/>
  <c r="J685" i="1" s="1"/>
  <c r="J686" i="1" s="1"/>
  <c r="J687" i="1" s="1"/>
  <c r="J688" i="1" s="1"/>
  <c r="J689" i="1" s="1"/>
  <c r="J690" i="1" s="1"/>
  <c r="J691" i="1" s="1"/>
  <c r="J692" i="1" s="1"/>
  <c r="J693" i="1" s="1"/>
  <c r="J694" i="1" s="1"/>
  <c r="J695" i="1" s="1"/>
  <c r="J696" i="1" s="1"/>
  <c r="J697" i="1" s="1"/>
  <c r="J698" i="1" s="1"/>
  <c r="J699" i="1" s="1"/>
  <c r="J700" i="1" s="1"/>
  <c r="J701" i="1" s="1"/>
  <c r="J702" i="1" s="1"/>
  <c r="J703" i="1" s="1"/>
  <c r="J704" i="1" s="1"/>
  <c r="J705" i="1" s="1"/>
  <c r="J706" i="1" s="1"/>
  <c r="J707" i="1" s="1"/>
  <c r="J708" i="1" s="1"/>
  <c r="J709" i="1" s="1"/>
  <c r="J710" i="1" s="1"/>
  <c r="J711" i="1" s="1"/>
  <c r="J712" i="1" s="1"/>
  <c r="J713" i="1" s="1"/>
  <c r="J714" i="1" s="1"/>
  <c r="J715" i="1" s="1"/>
  <c r="J716" i="1" s="1"/>
  <c r="J717" i="1" s="1"/>
  <c r="J718" i="1" s="1"/>
  <c r="J719" i="1" s="1"/>
  <c r="J720" i="1" s="1"/>
  <c r="J721" i="1" s="1"/>
  <c r="J722" i="1" s="1"/>
  <c r="J723" i="1" s="1"/>
  <c r="J724" i="1" s="1"/>
  <c r="J725" i="1" s="1"/>
  <c r="J726" i="1" s="1"/>
  <c r="J727" i="1" s="1"/>
  <c r="J728" i="1" s="1"/>
  <c r="J729" i="1" s="1"/>
  <c r="J730" i="1" s="1"/>
  <c r="J731" i="1" s="1"/>
  <c r="J732" i="1" s="1"/>
  <c r="J733" i="1" s="1"/>
  <c r="J734" i="1" s="1"/>
  <c r="J735" i="1" s="1"/>
  <c r="J736" i="1" s="1"/>
  <c r="J737" i="1" s="1"/>
  <c r="J738" i="1" s="1"/>
  <c r="J739" i="1" s="1"/>
  <c r="J740" i="1" s="1"/>
  <c r="J741" i="1" s="1"/>
  <c r="J742" i="1" s="1"/>
  <c r="J743" i="1" s="1"/>
  <c r="J744" i="1" s="1"/>
  <c r="J745" i="1" s="1"/>
  <c r="J746" i="1" s="1"/>
  <c r="J747" i="1" s="1"/>
  <c r="J748" i="1" s="1"/>
  <c r="J749" i="1" s="1"/>
  <c r="J750" i="1" s="1"/>
  <c r="J751" i="1" s="1"/>
  <c r="J752" i="1" s="1"/>
  <c r="J753" i="1" s="1"/>
  <c r="J754" i="1" s="1"/>
  <c r="J755" i="1" s="1"/>
  <c r="J756" i="1" s="1"/>
  <c r="J757" i="1" s="1"/>
  <c r="J758" i="1" s="1"/>
  <c r="J759" i="1" s="1"/>
  <c r="J760" i="1" s="1"/>
  <c r="J761" i="1" s="1"/>
  <c r="J762" i="1" s="1"/>
  <c r="J763" i="1" s="1"/>
  <c r="J764" i="1" s="1"/>
  <c r="J765" i="1" s="1"/>
  <c r="J766" i="1" s="1"/>
  <c r="J767" i="1" s="1"/>
  <c r="J768" i="1" s="1"/>
  <c r="J769" i="1" s="1"/>
  <c r="J770" i="1" s="1"/>
  <c r="J771" i="1" s="1"/>
  <c r="J772" i="1" s="1"/>
  <c r="J773" i="1" s="1"/>
  <c r="J774" i="1" s="1"/>
  <c r="J775" i="1" s="1"/>
  <c r="J776" i="1" s="1"/>
  <c r="J777" i="1" s="1"/>
  <c r="J778" i="1" s="1"/>
  <c r="J779" i="1" s="1"/>
  <c r="J780" i="1" s="1"/>
  <c r="J781" i="1" s="1"/>
  <c r="J782" i="1" s="1"/>
  <c r="J783" i="1" s="1"/>
  <c r="J784" i="1" s="1"/>
  <c r="J785" i="1" s="1"/>
  <c r="J786" i="1" s="1"/>
  <c r="J787" i="1" s="1"/>
  <c r="J788" i="1" s="1"/>
  <c r="J789" i="1" s="1"/>
  <c r="J790" i="1" s="1"/>
  <c r="J791" i="1" s="1"/>
  <c r="J792" i="1" s="1"/>
  <c r="J793" i="1" s="1"/>
  <c r="J794" i="1" s="1"/>
  <c r="J795" i="1" s="1"/>
  <c r="J796" i="1" s="1"/>
  <c r="J797" i="1" s="1"/>
  <c r="J798" i="1" s="1"/>
  <c r="J799" i="1" s="1"/>
  <c r="J800" i="1" s="1"/>
  <c r="J801" i="1" s="1"/>
  <c r="J802" i="1" s="1"/>
  <c r="J803" i="1" s="1"/>
  <c r="J804" i="1" s="1"/>
  <c r="J805" i="1" s="1"/>
  <c r="J806" i="1" s="1"/>
  <c r="J807" i="1" s="1"/>
  <c r="J808" i="1" s="1"/>
  <c r="J809" i="1" s="1"/>
  <c r="J810" i="1" s="1"/>
  <c r="J811" i="1" s="1"/>
  <c r="J812" i="1" s="1"/>
  <c r="J813" i="1" s="1"/>
  <c r="J814" i="1" s="1"/>
  <c r="J815" i="1" s="1"/>
  <c r="J816" i="1" s="1"/>
  <c r="J817" i="1" s="1"/>
  <c r="J818" i="1" s="1"/>
  <c r="J819" i="1" s="1"/>
  <c r="J820" i="1" s="1"/>
  <c r="J821" i="1" s="1"/>
  <c r="J822" i="1" s="1"/>
  <c r="J823" i="1" s="1"/>
  <c r="J824" i="1" s="1"/>
  <c r="J825" i="1" s="1"/>
  <c r="J826" i="1" s="1"/>
  <c r="J827" i="1" s="1"/>
  <c r="J828" i="1" s="1"/>
  <c r="J829" i="1" s="1"/>
  <c r="J830" i="1" s="1"/>
  <c r="J831" i="1" s="1"/>
  <c r="J832" i="1" s="1"/>
  <c r="J833" i="1" s="1"/>
  <c r="J834" i="1" s="1"/>
  <c r="J835" i="1" s="1"/>
  <c r="J836" i="1" s="1"/>
  <c r="J837" i="1" s="1"/>
  <c r="J838" i="1" s="1"/>
  <c r="J839" i="1" s="1"/>
  <c r="J840" i="1" s="1"/>
  <c r="J841" i="1" s="1"/>
  <c r="J842" i="1" s="1"/>
  <c r="J843" i="1" s="1"/>
  <c r="J844" i="1" s="1"/>
  <c r="J845" i="1" s="1"/>
  <c r="J846" i="1" s="1"/>
  <c r="J847" i="1" s="1"/>
  <c r="J848" i="1" s="1"/>
  <c r="J849" i="1" s="1"/>
  <c r="J850" i="1" s="1"/>
  <c r="J851" i="1" s="1"/>
  <c r="J852" i="1" s="1"/>
  <c r="J853" i="1" s="1"/>
  <c r="J854" i="1" s="1"/>
  <c r="J855" i="1" s="1"/>
  <c r="J856" i="1" s="1"/>
  <c r="J857" i="1" s="1"/>
  <c r="J858" i="1" s="1"/>
  <c r="J859" i="1" s="1"/>
  <c r="J860" i="1" s="1"/>
  <c r="J861" i="1" s="1"/>
  <c r="J862" i="1" s="1"/>
  <c r="J863" i="1" s="1"/>
  <c r="J864" i="1" s="1"/>
  <c r="J865" i="1" s="1"/>
  <c r="J866" i="1" s="1"/>
  <c r="J867" i="1" s="1"/>
  <c r="J868" i="1" s="1"/>
  <c r="J869" i="1" s="1"/>
  <c r="J870" i="1" s="1"/>
  <c r="J871" i="1" s="1"/>
  <c r="J872" i="1" s="1"/>
  <c r="J873" i="1" s="1"/>
  <c r="J874" i="1" s="1"/>
  <c r="J875" i="1" s="1"/>
  <c r="J876" i="1" s="1"/>
  <c r="J877" i="1" s="1"/>
  <c r="J878" i="1" s="1"/>
  <c r="J879" i="1" s="1"/>
  <c r="J880" i="1" s="1"/>
  <c r="J881" i="1" s="1"/>
  <c r="J882" i="1" s="1"/>
  <c r="J883" i="1" s="1"/>
  <c r="J884" i="1" s="1"/>
  <c r="J885" i="1" s="1"/>
  <c r="J886" i="1" s="1"/>
  <c r="J887" i="1" s="1"/>
  <c r="J888" i="1" s="1"/>
  <c r="J889" i="1" s="1"/>
  <c r="J890" i="1" s="1"/>
  <c r="J891" i="1" s="1"/>
  <c r="J892" i="1" s="1"/>
  <c r="J893" i="1" s="1"/>
  <c r="J894" i="1" s="1"/>
  <c r="J895" i="1" s="1"/>
  <c r="J896" i="1" s="1"/>
  <c r="J897" i="1" s="1"/>
  <c r="J898" i="1" s="1"/>
  <c r="J899" i="1" s="1"/>
  <c r="J900" i="1" s="1"/>
  <c r="J901" i="1" s="1"/>
  <c r="J902" i="1" s="1"/>
  <c r="J903" i="1" s="1"/>
  <c r="J904" i="1" s="1"/>
  <c r="J905" i="1" s="1"/>
  <c r="J906" i="1" s="1"/>
  <c r="J907" i="1" s="1"/>
  <c r="J908" i="1" s="1"/>
  <c r="J909" i="1" s="1"/>
  <c r="J910" i="1" s="1"/>
  <c r="J911" i="1" s="1"/>
  <c r="J912" i="1" s="1"/>
  <c r="J913" i="1" s="1"/>
  <c r="J914" i="1" s="1"/>
  <c r="J915" i="1" s="1"/>
  <c r="J916" i="1" s="1"/>
  <c r="J917" i="1" s="1"/>
  <c r="J918" i="1" s="1"/>
  <c r="J919" i="1" s="1"/>
  <c r="J920" i="1" s="1"/>
  <c r="J921" i="1" s="1"/>
  <c r="J922" i="1" s="1"/>
  <c r="J923" i="1" s="1"/>
  <c r="J924" i="1" s="1"/>
  <c r="J925" i="1" s="1"/>
  <c r="J926" i="1" s="1"/>
  <c r="J927" i="1" s="1"/>
  <c r="J928" i="1" s="1"/>
  <c r="J929" i="1" s="1"/>
  <c r="J930" i="1" s="1"/>
  <c r="J931" i="1" s="1"/>
  <c r="J932" i="1" s="1"/>
  <c r="J933" i="1" s="1"/>
  <c r="J934" i="1" s="1"/>
  <c r="J935" i="1" s="1"/>
  <c r="J936" i="1" s="1"/>
  <c r="J937" i="1" s="1"/>
  <c r="J938" i="1" s="1"/>
  <c r="J939" i="1" s="1"/>
  <c r="J940" i="1" s="1"/>
  <c r="J941" i="1" s="1"/>
  <c r="J942" i="1" s="1"/>
  <c r="J943" i="1" s="1"/>
  <c r="J944" i="1" s="1"/>
  <c r="J945" i="1" s="1"/>
  <c r="J946" i="1" s="1"/>
  <c r="J947" i="1" s="1"/>
  <c r="J948" i="1" s="1"/>
  <c r="J949" i="1" s="1"/>
  <c r="J950" i="1" s="1"/>
  <c r="J951" i="1" s="1"/>
  <c r="J952" i="1" s="1"/>
  <c r="J953" i="1" s="1"/>
  <c r="J954" i="1" s="1"/>
  <c r="J955" i="1" s="1"/>
  <c r="J956" i="1" s="1"/>
  <c r="J957" i="1" s="1"/>
  <c r="J958" i="1" s="1"/>
  <c r="J959" i="1" s="1"/>
  <c r="J960" i="1" s="1"/>
  <c r="J961" i="1" s="1"/>
  <c r="J962" i="1" s="1"/>
  <c r="J963" i="1" s="1"/>
  <c r="J964" i="1" s="1"/>
  <c r="J965" i="1" s="1"/>
  <c r="J966" i="1" s="1"/>
  <c r="J967" i="1" s="1"/>
  <c r="J968" i="1" s="1"/>
  <c r="J969" i="1" s="1"/>
  <c r="J970" i="1" s="1"/>
  <c r="J971" i="1" s="1"/>
  <c r="J972" i="1" s="1"/>
  <c r="J973" i="1" s="1"/>
  <c r="J974" i="1" s="1"/>
  <c r="J975" i="1" s="1"/>
  <c r="J976" i="1" s="1"/>
  <c r="J977" i="1" s="1"/>
  <c r="J978" i="1" s="1"/>
  <c r="J979" i="1" s="1"/>
  <c r="J980" i="1" s="1"/>
  <c r="J981" i="1" s="1"/>
  <c r="J982" i="1" s="1"/>
  <c r="J983" i="1" s="1"/>
  <c r="J984" i="1" s="1"/>
  <c r="J985" i="1" s="1"/>
  <c r="J986" i="1" s="1"/>
  <c r="J987" i="1" s="1"/>
  <c r="J988" i="1" s="1"/>
  <c r="J989" i="1" s="1"/>
  <c r="J990" i="1" s="1"/>
  <c r="J991" i="1" s="1"/>
  <c r="J992" i="1" s="1"/>
  <c r="J993" i="1" s="1"/>
  <c r="J994" i="1" s="1"/>
  <c r="J995" i="1" s="1"/>
  <c r="J996" i="1" s="1"/>
  <c r="J997" i="1" s="1"/>
  <c r="J998" i="1" s="1"/>
  <c r="J999" i="1" s="1"/>
  <c r="J1000" i="1" s="1"/>
  <c r="J1001" i="1" s="1"/>
  <c r="J1002" i="1" s="1"/>
  <c r="J1003" i="1" s="1"/>
  <c r="J1004" i="1" s="1"/>
  <c r="J1005" i="1" s="1"/>
  <c r="J1006" i="1" s="1"/>
  <c r="J1007" i="1" s="1"/>
  <c r="J1008" i="1" s="1"/>
  <c r="J1009" i="1" s="1"/>
  <c r="J1010" i="1" s="1"/>
  <c r="J1011" i="1" s="1"/>
  <c r="J1012" i="1" s="1"/>
  <c r="J1013" i="1" s="1"/>
  <c r="J1014" i="1" s="1"/>
  <c r="J1015" i="1" s="1"/>
  <c r="J1016" i="1" s="1"/>
  <c r="J1017" i="1" s="1"/>
  <c r="J1018" i="1" s="1"/>
  <c r="J1019" i="1" s="1"/>
  <c r="J1020" i="1" s="1"/>
  <c r="J1021" i="1" s="1"/>
  <c r="J1022" i="1" s="1"/>
  <c r="J1023" i="1" s="1"/>
  <c r="J1024" i="1" s="1"/>
  <c r="J1025" i="1" s="1"/>
  <c r="J1026" i="1" s="1"/>
  <c r="J1027" i="1" s="1"/>
  <c r="J1028" i="1" s="1"/>
  <c r="J1029" i="1" s="1"/>
  <c r="J1030" i="1" s="1"/>
  <c r="J1031" i="1" s="1"/>
  <c r="J1032" i="1" s="1"/>
  <c r="J1033" i="1" s="1"/>
  <c r="J1034" i="1" s="1"/>
  <c r="J1035" i="1" s="1"/>
  <c r="J1036" i="1" s="1"/>
  <c r="J1037" i="1" s="1"/>
  <c r="J1038" i="1" s="1"/>
  <c r="J1039" i="1" s="1"/>
  <c r="J1040" i="1" s="1"/>
  <c r="J1041" i="1" s="1"/>
  <c r="J1042" i="1" s="1"/>
  <c r="J1043" i="1" s="1"/>
  <c r="J1044" i="1" s="1"/>
  <c r="J1045" i="1" s="1"/>
  <c r="J1046" i="1" s="1"/>
  <c r="J1047" i="1" s="1"/>
  <c r="J1048" i="1" s="1"/>
  <c r="J1049" i="1" s="1"/>
  <c r="J1050" i="1" s="1"/>
  <c r="J1051" i="1" s="1"/>
  <c r="J1052" i="1" s="1"/>
  <c r="J1053" i="1" s="1"/>
  <c r="J1054" i="1" s="1"/>
  <c r="J1055" i="1" s="1"/>
  <c r="J1056" i="1" s="1"/>
  <c r="J1057" i="1" s="1"/>
  <c r="J1058" i="1" s="1"/>
  <c r="J1059" i="1" s="1"/>
  <c r="J1060" i="1" s="1"/>
  <c r="J1061" i="1" s="1"/>
  <c r="J1062" i="1" s="1"/>
  <c r="J1063" i="1" s="1"/>
  <c r="J1064" i="1" s="1"/>
  <c r="J1065" i="1" s="1"/>
  <c r="J1066" i="1" s="1"/>
  <c r="J1067" i="1" s="1"/>
  <c r="J1068" i="1" s="1"/>
  <c r="J1069" i="1" s="1"/>
  <c r="J1070" i="1" s="1"/>
  <c r="J1071" i="1" s="1"/>
  <c r="J1072" i="1" s="1"/>
  <c r="J1073" i="1" s="1"/>
  <c r="J1074" i="1" s="1"/>
  <c r="J1075" i="1" s="1"/>
  <c r="J1076" i="1" s="1"/>
  <c r="J1077" i="1" s="1"/>
  <c r="J1078" i="1" s="1"/>
  <c r="J1079" i="1" s="1"/>
  <c r="J1080" i="1" s="1"/>
  <c r="J1081" i="1" s="1"/>
  <c r="J1082" i="1" s="1"/>
  <c r="J1083" i="1" s="1"/>
  <c r="J1084" i="1" s="1"/>
  <c r="J1085" i="1" s="1"/>
  <c r="J1086" i="1" s="1"/>
  <c r="J1087" i="1" s="1"/>
  <c r="J1088" i="1" s="1"/>
  <c r="J1089" i="1" s="1"/>
  <c r="J1090" i="1" s="1"/>
  <c r="J1091" i="1" s="1"/>
  <c r="J1092" i="1" s="1"/>
  <c r="J1093" i="1" s="1"/>
  <c r="J1094" i="1" s="1"/>
  <c r="J1095" i="1" s="1"/>
  <c r="J1096" i="1" s="1"/>
  <c r="J1097" i="1" s="1"/>
  <c r="J1098" i="1" s="1"/>
  <c r="J1099" i="1" s="1"/>
  <c r="J1100" i="1" s="1"/>
  <c r="J1101" i="1" s="1"/>
  <c r="J1102" i="1" s="1"/>
  <c r="J1103" i="1" s="1"/>
  <c r="J1104" i="1" s="1"/>
  <c r="J1105" i="1" s="1"/>
  <c r="J1106" i="1" s="1"/>
  <c r="J1107" i="1" s="1"/>
  <c r="J1108" i="1" s="1"/>
  <c r="J1109" i="1" s="1"/>
  <c r="J1110" i="1" s="1"/>
  <c r="J1111" i="1" s="1"/>
  <c r="J1112" i="1" s="1"/>
  <c r="J1113" i="1" s="1"/>
  <c r="J1114" i="1" s="1"/>
  <c r="J1115" i="1" s="1"/>
  <c r="J1116" i="1" s="1"/>
  <c r="J1117" i="1" s="1"/>
  <c r="J1118" i="1" s="1"/>
  <c r="J1119" i="1" s="1"/>
  <c r="J1120" i="1" s="1"/>
  <c r="J1121" i="1" s="1"/>
  <c r="J1122" i="1" s="1"/>
  <c r="J1123" i="1" s="1"/>
  <c r="J1124" i="1" s="1"/>
  <c r="J1125" i="1" s="1"/>
  <c r="J1126" i="1" s="1"/>
  <c r="J1127" i="1" s="1"/>
  <c r="J1128" i="1" s="1"/>
  <c r="J1129" i="1" s="1"/>
  <c r="J1130" i="1" s="1"/>
  <c r="J1131" i="1" s="1"/>
  <c r="J1132" i="1" s="1"/>
  <c r="J1133" i="1" s="1"/>
  <c r="J1134" i="1" s="1"/>
  <c r="J1135" i="1" s="1"/>
  <c r="J1136" i="1" s="1"/>
  <c r="J1137" i="1" s="1"/>
  <c r="J1138" i="1" s="1"/>
  <c r="J1139" i="1" s="1"/>
  <c r="J1140" i="1" s="1"/>
  <c r="J1141" i="1" s="1"/>
  <c r="J1142" i="1" s="1"/>
  <c r="J1143" i="1" s="1"/>
  <c r="J1144" i="1" s="1"/>
  <c r="J1145" i="1" s="1"/>
  <c r="J1146" i="1" s="1"/>
  <c r="J1147" i="1" s="1"/>
  <c r="J1148" i="1" s="1"/>
  <c r="J1149" i="1" s="1"/>
  <c r="J1150" i="1" s="1"/>
  <c r="J1151" i="1" s="1"/>
  <c r="J1152" i="1" s="1"/>
  <c r="J1153" i="1" s="1"/>
  <c r="J1154" i="1" s="1"/>
  <c r="J1155" i="1" s="1"/>
  <c r="J1156" i="1" s="1"/>
  <c r="J1157" i="1" s="1"/>
  <c r="J1158" i="1" s="1"/>
  <c r="H10" i="2" l="1"/>
  <c r="I10" i="2" s="1"/>
  <c r="K8" i="2"/>
  <c r="K9" i="2" s="1"/>
  <c r="P13" i="2"/>
  <c r="Q12" i="2"/>
  <c r="E1158" i="1"/>
  <c r="F1158" i="1" s="1"/>
  <c r="E1142" i="1"/>
  <c r="F1142" i="1" s="1"/>
  <c r="E1126" i="1"/>
  <c r="F1126" i="1" s="1"/>
  <c r="E1110" i="1"/>
  <c r="F1110" i="1" s="1"/>
  <c r="E1095" i="1"/>
  <c r="F1095" i="1" s="1"/>
  <c r="E1079" i="1"/>
  <c r="F1079" i="1" s="1"/>
  <c r="E1066" i="1"/>
  <c r="F1066" i="1" s="1"/>
  <c r="E1050" i="1"/>
  <c r="F1050" i="1" s="1"/>
  <c r="E1034" i="1"/>
  <c r="F1034" i="1" s="1"/>
  <c r="E1018" i="1"/>
  <c r="F1018" i="1" s="1"/>
  <c r="E1002" i="1"/>
  <c r="F1002" i="1" s="1"/>
  <c r="E1152" i="1"/>
  <c r="F1152" i="1" s="1"/>
  <c r="E1136" i="1"/>
  <c r="F1136" i="1" s="1"/>
  <c r="E1120" i="1"/>
  <c r="F1120" i="1" s="1"/>
  <c r="E1101" i="1"/>
  <c r="F1101" i="1" s="1"/>
  <c r="E1085" i="1"/>
  <c r="F1085" i="1" s="1"/>
  <c r="E1068" i="1"/>
  <c r="F1068" i="1" s="1"/>
  <c r="E1052" i="1"/>
  <c r="F1052" i="1" s="1"/>
  <c r="E1036" i="1"/>
  <c r="F1036" i="1" s="1"/>
  <c r="E1020" i="1"/>
  <c r="F1020" i="1" s="1"/>
  <c r="E1004" i="1"/>
  <c r="F1004" i="1" s="1"/>
  <c r="E991" i="1"/>
  <c r="F991" i="1" s="1"/>
  <c r="E977" i="1"/>
  <c r="F977" i="1" s="1"/>
  <c r="E961" i="1"/>
  <c r="F961" i="1" s="1"/>
  <c r="E945" i="1"/>
  <c r="F945" i="1" s="1"/>
  <c r="E929" i="1"/>
  <c r="F929" i="1" s="1"/>
  <c r="E913" i="1"/>
  <c r="F913" i="1" s="1"/>
  <c r="E897" i="1"/>
  <c r="F897" i="1" s="1"/>
  <c r="E881" i="1"/>
  <c r="F881" i="1" s="1"/>
  <c r="E865" i="1"/>
  <c r="F865" i="1" s="1"/>
  <c r="E849" i="1"/>
  <c r="F849" i="1" s="1"/>
  <c r="E833" i="1"/>
  <c r="F833" i="1" s="1"/>
  <c r="E975" i="1"/>
  <c r="F975" i="1" s="1"/>
  <c r="E959" i="1"/>
  <c r="F959" i="1" s="1"/>
  <c r="E943" i="1"/>
  <c r="F943" i="1" s="1"/>
  <c r="E927" i="1"/>
  <c r="F927" i="1" s="1"/>
  <c r="E911" i="1"/>
  <c r="F911" i="1" s="1"/>
  <c r="E895" i="1"/>
  <c r="F895" i="1" s="1"/>
  <c r="E879" i="1"/>
  <c r="F879" i="1" s="1"/>
  <c r="E847" i="1"/>
  <c r="F847" i="1" s="1"/>
  <c r="E821" i="1"/>
  <c r="F821" i="1" s="1"/>
  <c r="E789" i="1"/>
  <c r="F789" i="1" s="1"/>
  <c r="E756" i="1"/>
  <c r="F756" i="1" s="1"/>
  <c r="E724" i="1"/>
  <c r="F724" i="1" s="1"/>
  <c r="E692" i="1"/>
  <c r="F692" i="1" s="1"/>
  <c r="E660" i="1"/>
  <c r="F660" i="1" s="1"/>
  <c r="E628" i="1"/>
  <c r="F628" i="1" s="1"/>
  <c r="E595" i="1"/>
  <c r="F595" i="1" s="1"/>
  <c r="E563" i="1"/>
  <c r="F563" i="1" s="1"/>
  <c r="E531" i="1"/>
  <c r="F531" i="1" s="1"/>
  <c r="E499" i="1"/>
  <c r="F499" i="1" s="1"/>
  <c r="E807" i="1"/>
  <c r="F807" i="1" s="1"/>
  <c r="E778" i="1"/>
  <c r="F778" i="1" s="1"/>
  <c r="E746" i="1"/>
  <c r="F746" i="1" s="1"/>
  <c r="E714" i="1"/>
  <c r="F714" i="1" s="1"/>
  <c r="E682" i="1"/>
  <c r="F682" i="1" s="1"/>
  <c r="E650" i="1"/>
  <c r="F650" i="1" s="1"/>
  <c r="E618" i="1"/>
  <c r="F618" i="1" s="1"/>
  <c r="E589" i="1"/>
  <c r="F589" i="1" s="1"/>
  <c r="E557" i="1"/>
  <c r="F557" i="1" s="1"/>
  <c r="E525" i="1"/>
  <c r="F525" i="1" s="1"/>
  <c r="E493" i="1"/>
  <c r="F493" i="1" s="1"/>
  <c r="E461" i="1"/>
  <c r="F461" i="1" s="1"/>
  <c r="E429" i="1"/>
  <c r="F429" i="1" s="1"/>
  <c r="E397" i="1"/>
  <c r="F397" i="1" s="1"/>
  <c r="E365" i="1"/>
  <c r="F365" i="1" s="1"/>
  <c r="E333" i="1"/>
  <c r="F333" i="1" s="1"/>
  <c r="E301" i="1"/>
  <c r="F301" i="1" s="1"/>
  <c r="E269" i="1"/>
  <c r="F269" i="1" s="1"/>
  <c r="E237" i="1"/>
  <c r="F237" i="1" s="1"/>
  <c r="E201" i="1"/>
  <c r="F201" i="1" s="1"/>
  <c r="E475" i="1"/>
  <c r="F475" i="1" s="1"/>
  <c r="E411" i="1"/>
  <c r="F411" i="1" s="1"/>
  <c r="E347" i="1"/>
  <c r="F347" i="1" s="1"/>
  <c r="E283" i="1"/>
  <c r="F283" i="1" s="1"/>
  <c r="E219" i="1"/>
  <c r="F219" i="1" s="1"/>
  <c r="E155" i="1"/>
  <c r="F155" i="1" s="1"/>
  <c r="E101" i="1"/>
  <c r="F101" i="1" s="1"/>
  <c r="E145" i="1"/>
  <c r="F145" i="1" s="1"/>
  <c r="E71" i="1"/>
  <c r="F71" i="1" s="1"/>
  <c r="E9" i="1"/>
  <c r="F9" i="1" s="1"/>
  <c r="E17" i="1"/>
  <c r="F17" i="1" s="1"/>
  <c r="E25" i="1"/>
  <c r="F25" i="1" s="1"/>
  <c r="E33" i="1"/>
  <c r="F33" i="1" s="1"/>
  <c r="E11" i="1"/>
  <c r="F11" i="1" s="1"/>
  <c r="E19" i="1"/>
  <c r="F19" i="1" s="1"/>
  <c r="E27" i="1"/>
  <c r="F27" i="1" s="1"/>
  <c r="E35" i="1"/>
  <c r="F35" i="1" s="1"/>
  <c r="E43" i="1"/>
  <c r="F43" i="1" s="1"/>
  <c r="E51" i="1"/>
  <c r="F51" i="1" s="1"/>
  <c r="E59" i="1"/>
  <c r="F59" i="1" s="1"/>
  <c r="E67" i="1"/>
  <c r="F67" i="1" s="1"/>
  <c r="E75" i="1"/>
  <c r="F75" i="1" s="1"/>
  <c r="E83" i="1"/>
  <c r="F83" i="1" s="1"/>
  <c r="E91" i="1"/>
  <c r="F91" i="1" s="1"/>
  <c r="E99" i="1"/>
  <c r="F99" i="1" s="1"/>
  <c r="E107" i="1"/>
  <c r="F107" i="1" s="1"/>
  <c r="E115" i="1"/>
  <c r="F115" i="1" s="1"/>
  <c r="E123" i="1"/>
  <c r="F123" i="1" s="1"/>
  <c r="E137" i="1"/>
  <c r="F137" i="1" s="1"/>
  <c r="E41" i="1"/>
  <c r="F41" i="1" s="1"/>
  <c r="E49" i="1"/>
  <c r="F49" i="1" s="1"/>
  <c r="E57" i="1"/>
  <c r="F57" i="1" s="1"/>
  <c r="E65" i="1"/>
  <c r="F65" i="1" s="1"/>
  <c r="E73" i="1"/>
  <c r="F73" i="1" s="1"/>
  <c r="E81" i="1"/>
  <c r="F81" i="1" s="1"/>
  <c r="E89" i="1"/>
  <c r="F89" i="1" s="1"/>
  <c r="E97" i="1"/>
  <c r="F97" i="1" s="1"/>
  <c r="E105" i="1"/>
  <c r="F105" i="1" s="1"/>
  <c r="E113" i="1"/>
  <c r="F113" i="1" s="1"/>
  <c r="E121" i="1"/>
  <c r="F121" i="1" s="1"/>
  <c r="E129" i="1"/>
  <c r="F129" i="1" s="1"/>
  <c r="E141" i="1"/>
  <c r="F141" i="1" s="1"/>
  <c r="E135" i="1"/>
  <c r="F135" i="1" s="1"/>
  <c r="E143" i="1"/>
  <c r="F143" i="1" s="1"/>
  <c r="E151" i="1"/>
  <c r="F151" i="1" s="1"/>
  <c r="E159" i="1"/>
  <c r="F159" i="1" s="1"/>
  <c r="E167" i="1"/>
  <c r="F167" i="1" s="1"/>
  <c r="E175" i="1"/>
  <c r="F175" i="1" s="1"/>
  <c r="E183" i="1"/>
  <c r="F183" i="1" s="1"/>
  <c r="E191" i="1"/>
  <c r="F191" i="1" s="1"/>
  <c r="E199" i="1"/>
  <c r="F199" i="1" s="1"/>
  <c r="E207" i="1"/>
  <c r="F207" i="1" s="1"/>
  <c r="E215" i="1"/>
  <c r="F215" i="1" s="1"/>
  <c r="E223" i="1"/>
  <c r="F223" i="1" s="1"/>
  <c r="E231" i="1"/>
  <c r="F231" i="1" s="1"/>
  <c r="E239" i="1"/>
  <c r="F239" i="1" s="1"/>
  <c r="E247" i="1"/>
  <c r="F247" i="1" s="1"/>
  <c r="E255" i="1"/>
  <c r="F255" i="1" s="1"/>
  <c r="E263" i="1"/>
  <c r="F263" i="1" s="1"/>
  <c r="E271" i="1"/>
  <c r="F271" i="1" s="1"/>
  <c r="E279" i="1"/>
  <c r="F279" i="1" s="1"/>
  <c r="E287" i="1"/>
  <c r="F287" i="1" s="1"/>
  <c r="E295" i="1"/>
  <c r="F295" i="1" s="1"/>
  <c r="E303" i="1"/>
  <c r="F303" i="1" s="1"/>
  <c r="E311" i="1"/>
  <c r="F311" i="1" s="1"/>
  <c r="E319" i="1"/>
  <c r="F319" i="1" s="1"/>
  <c r="E327" i="1"/>
  <c r="F327" i="1" s="1"/>
  <c r="E335" i="1"/>
  <c r="F335" i="1" s="1"/>
  <c r="E343" i="1"/>
  <c r="F343" i="1" s="1"/>
  <c r="E351" i="1"/>
  <c r="F351" i="1" s="1"/>
  <c r="E359" i="1"/>
  <c r="F359" i="1" s="1"/>
  <c r="E367" i="1"/>
  <c r="F367" i="1" s="1"/>
  <c r="E375" i="1"/>
  <c r="F375" i="1" s="1"/>
  <c r="E383" i="1"/>
  <c r="F383" i="1" s="1"/>
  <c r="E391" i="1"/>
  <c r="F391" i="1" s="1"/>
  <c r="E399" i="1"/>
  <c r="F399" i="1" s="1"/>
  <c r="E407" i="1"/>
  <c r="F407" i="1" s="1"/>
  <c r="E415" i="1"/>
  <c r="F415" i="1" s="1"/>
  <c r="E423" i="1"/>
  <c r="F423" i="1" s="1"/>
  <c r="E431" i="1"/>
  <c r="F431" i="1" s="1"/>
  <c r="E439" i="1"/>
  <c r="F439" i="1" s="1"/>
  <c r="E447" i="1"/>
  <c r="F447" i="1" s="1"/>
  <c r="E455" i="1"/>
  <c r="F455" i="1" s="1"/>
  <c r="E463" i="1"/>
  <c r="F463" i="1" s="1"/>
  <c r="E471" i="1"/>
  <c r="F471" i="1" s="1"/>
  <c r="E479" i="1"/>
  <c r="F479" i="1" s="1"/>
  <c r="E149" i="1"/>
  <c r="F149" i="1" s="1"/>
  <c r="E157" i="1"/>
  <c r="F157" i="1" s="1"/>
  <c r="E165" i="1"/>
  <c r="F165" i="1" s="1"/>
  <c r="E173" i="1"/>
  <c r="F173" i="1" s="1"/>
  <c r="E181" i="1"/>
  <c r="F181" i="1" s="1"/>
  <c r="E189" i="1"/>
  <c r="F189" i="1" s="1"/>
  <c r="E197" i="1"/>
  <c r="F197" i="1" s="1"/>
  <c r="E205" i="1"/>
  <c r="F205" i="1" s="1"/>
  <c r="E13" i="1"/>
  <c r="F13" i="1" s="1"/>
  <c r="E29" i="1"/>
  <c r="F29" i="1" s="1"/>
  <c r="E15" i="1"/>
  <c r="F15" i="1" s="1"/>
  <c r="E31" i="1"/>
  <c r="F31" i="1" s="1"/>
  <c r="E47" i="1"/>
  <c r="F47" i="1" s="1"/>
  <c r="E63" i="1"/>
  <c r="F63" i="1" s="1"/>
  <c r="E79" i="1"/>
  <c r="F79" i="1" s="1"/>
  <c r="E95" i="1"/>
  <c r="F95" i="1" s="1"/>
  <c r="E111" i="1"/>
  <c r="F111" i="1" s="1"/>
  <c r="E127" i="1"/>
  <c r="F127" i="1" s="1"/>
  <c r="E45" i="1"/>
  <c r="F45" i="1" s="1"/>
  <c r="E61" i="1"/>
  <c r="F61" i="1" s="1"/>
  <c r="E77" i="1"/>
  <c r="F77" i="1" s="1"/>
  <c r="E93" i="1"/>
  <c r="F93" i="1" s="1"/>
  <c r="E109" i="1"/>
  <c r="F109" i="1" s="1"/>
  <c r="E125" i="1"/>
  <c r="F125" i="1" s="1"/>
  <c r="E131" i="1"/>
  <c r="F131" i="1" s="1"/>
  <c r="E147" i="1"/>
  <c r="F147" i="1" s="1"/>
  <c r="E163" i="1"/>
  <c r="F163" i="1" s="1"/>
  <c r="E179" i="1"/>
  <c r="F179" i="1" s="1"/>
  <c r="E195" i="1"/>
  <c r="F195" i="1" s="1"/>
  <c r="E211" i="1"/>
  <c r="F211" i="1" s="1"/>
  <c r="E227" i="1"/>
  <c r="F227" i="1" s="1"/>
  <c r="E243" i="1"/>
  <c r="F243" i="1" s="1"/>
  <c r="E259" i="1"/>
  <c r="F259" i="1" s="1"/>
  <c r="E275" i="1"/>
  <c r="F275" i="1" s="1"/>
  <c r="E291" i="1"/>
  <c r="F291" i="1" s="1"/>
  <c r="E307" i="1"/>
  <c r="F307" i="1" s="1"/>
  <c r="E323" i="1"/>
  <c r="F323" i="1" s="1"/>
  <c r="E339" i="1"/>
  <c r="F339" i="1" s="1"/>
  <c r="E355" i="1"/>
  <c r="F355" i="1" s="1"/>
  <c r="E371" i="1"/>
  <c r="F371" i="1" s="1"/>
  <c r="E387" i="1"/>
  <c r="F387" i="1" s="1"/>
  <c r="E403" i="1"/>
  <c r="F403" i="1" s="1"/>
  <c r="E419" i="1"/>
  <c r="F419" i="1" s="1"/>
  <c r="E435" i="1"/>
  <c r="F435" i="1" s="1"/>
  <c r="E451" i="1"/>
  <c r="F451" i="1" s="1"/>
  <c r="E467" i="1"/>
  <c r="F467" i="1" s="1"/>
  <c r="E483" i="1"/>
  <c r="F483" i="1" s="1"/>
  <c r="E161" i="1"/>
  <c r="F161" i="1" s="1"/>
  <c r="E177" i="1"/>
  <c r="F177" i="1" s="1"/>
  <c r="E193" i="1"/>
  <c r="F193" i="1" s="1"/>
  <c r="E209" i="1"/>
  <c r="F209" i="1" s="1"/>
  <c r="E217" i="1"/>
  <c r="F217" i="1" s="1"/>
  <c r="E225" i="1"/>
  <c r="F225" i="1" s="1"/>
  <c r="E233" i="1"/>
  <c r="F233" i="1" s="1"/>
  <c r="E241" i="1"/>
  <c r="F241" i="1" s="1"/>
  <c r="E249" i="1"/>
  <c r="F249" i="1" s="1"/>
  <c r="E257" i="1"/>
  <c r="F257" i="1" s="1"/>
  <c r="E265" i="1"/>
  <c r="F265" i="1" s="1"/>
  <c r="E273" i="1"/>
  <c r="F273" i="1" s="1"/>
  <c r="E281" i="1"/>
  <c r="F281" i="1" s="1"/>
  <c r="E289" i="1"/>
  <c r="F289" i="1" s="1"/>
  <c r="E297" i="1"/>
  <c r="F297" i="1" s="1"/>
  <c r="E305" i="1"/>
  <c r="F305" i="1" s="1"/>
  <c r="E313" i="1"/>
  <c r="F313" i="1" s="1"/>
  <c r="E321" i="1"/>
  <c r="F321" i="1" s="1"/>
  <c r="E329" i="1"/>
  <c r="F329" i="1" s="1"/>
  <c r="E337" i="1"/>
  <c r="F337" i="1" s="1"/>
  <c r="E345" i="1"/>
  <c r="F345" i="1" s="1"/>
  <c r="E353" i="1"/>
  <c r="F353" i="1" s="1"/>
  <c r="E361" i="1"/>
  <c r="F361" i="1" s="1"/>
  <c r="E369" i="1"/>
  <c r="F369" i="1" s="1"/>
  <c r="E377" i="1"/>
  <c r="F377" i="1" s="1"/>
  <c r="E385" i="1"/>
  <c r="F385" i="1" s="1"/>
  <c r="E393" i="1"/>
  <c r="F393" i="1" s="1"/>
  <c r="E401" i="1"/>
  <c r="F401" i="1" s="1"/>
  <c r="E409" i="1"/>
  <c r="F409" i="1" s="1"/>
  <c r="E417" i="1"/>
  <c r="F417" i="1" s="1"/>
  <c r="E425" i="1"/>
  <c r="F425" i="1" s="1"/>
  <c r="E433" i="1"/>
  <c r="F433" i="1" s="1"/>
  <c r="E441" i="1"/>
  <c r="F441" i="1" s="1"/>
  <c r="E449" i="1"/>
  <c r="F449" i="1" s="1"/>
  <c r="E457" i="1"/>
  <c r="F457" i="1" s="1"/>
  <c r="E465" i="1"/>
  <c r="F465" i="1" s="1"/>
  <c r="E473" i="1"/>
  <c r="F473" i="1" s="1"/>
  <c r="E481" i="1"/>
  <c r="F481" i="1" s="1"/>
  <c r="E489" i="1"/>
  <c r="F489" i="1" s="1"/>
  <c r="E497" i="1"/>
  <c r="F497" i="1" s="1"/>
  <c r="E505" i="1"/>
  <c r="F505" i="1" s="1"/>
  <c r="E513" i="1"/>
  <c r="F513" i="1" s="1"/>
  <c r="E521" i="1"/>
  <c r="F521" i="1" s="1"/>
  <c r="E529" i="1"/>
  <c r="F529" i="1" s="1"/>
  <c r="E537" i="1"/>
  <c r="F537" i="1" s="1"/>
  <c r="E545" i="1"/>
  <c r="F545" i="1" s="1"/>
  <c r="E553" i="1"/>
  <c r="F553" i="1" s="1"/>
  <c r="E561" i="1"/>
  <c r="F561" i="1" s="1"/>
  <c r="E569" i="1"/>
  <c r="F569" i="1" s="1"/>
  <c r="E577" i="1"/>
  <c r="F577" i="1" s="1"/>
  <c r="E585" i="1"/>
  <c r="F585" i="1" s="1"/>
  <c r="E593" i="1"/>
  <c r="F593" i="1" s="1"/>
  <c r="E601" i="1"/>
  <c r="F601" i="1" s="1"/>
  <c r="E609" i="1"/>
  <c r="F609" i="1" s="1"/>
  <c r="E614" i="1"/>
  <c r="F614" i="1" s="1"/>
  <c r="E622" i="1"/>
  <c r="F622" i="1" s="1"/>
  <c r="E630" i="1"/>
  <c r="F630" i="1" s="1"/>
  <c r="E638" i="1"/>
  <c r="F638" i="1" s="1"/>
  <c r="E646" i="1"/>
  <c r="F646" i="1" s="1"/>
  <c r="E654" i="1"/>
  <c r="F654" i="1" s="1"/>
  <c r="E662" i="1"/>
  <c r="F662" i="1" s="1"/>
  <c r="E670" i="1"/>
  <c r="F670" i="1" s="1"/>
  <c r="E678" i="1"/>
  <c r="F678" i="1" s="1"/>
  <c r="E686" i="1"/>
  <c r="F686" i="1" s="1"/>
  <c r="E694" i="1"/>
  <c r="F694" i="1" s="1"/>
  <c r="E702" i="1"/>
  <c r="F702" i="1" s="1"/>
  <c r="E710" i="1"/>
  <c r="F710" i="1" s="1"/>
  <c r="E718" i="1"/>
  <c r="F718" i="1" s="1"/>
  <c r="E726" i="1"/>
  <c r="F726" i="1" s="1"/>
  <c r="E734" i="1"/>
  <c r="F734" i="1" s="1"/>
  <c r="E742" i="1"/>
  <c r="F742" i="1" s="1"/>
  <c r="E750" i="1"/>
  <c r="F750" i="1" s="1"/>
  <c r="E758" i="1"/>
  <c r="F758" i="1" s="1"/>
  <c r="E766" i="1"/>
  <c r="F766" i="1" s="1"/>
  <c r="E774" i="1"/>
  <c r="F774" i="1" s="1"/>
  <c r="E782" i="1"/>
  <c r="F782" i="1" s="1"/>
  <c r="E787" i="1"/>
  <c r="F787" i="1" s="1"/>
  <c r="E795" i="1"/>
  <c r="F795" i="1" s="1"/>
  <c r="E803" i="1"/>
  <c r="F803" i="1" s="1"/>
  <c r="E811" i="1"/>
  <c r="F811" i="1" s="1"/>
  <c r="E819" i="1"/>
  <c r="F819" i="1" s="1"/>
  <c r="E487" i="1"/>
  <c r="F487" i="1" s="1"/>
  <c r="E495" i="1"/>
  <c r="F495" i="1" s="1"/>
  <c r="E503" i="1"/>
  <c r="F503" i="1" s="1"/>
  <c r="E511" i="1"/>
  <c r="F511" i="1" s="1"/>
  <c r="E519" i="1"/>
  <c r="F519" i="1" s="1"/>
  <c r="E527" i="1"/>
  <c r="F527" i="1" s="1"/>
  <c r="E535" i="1"/>
  <c r="F535" i="1" s="1"/>
  <c r="E543" i="1"/>
  <c r="F543" i="1" s="1"/>
  <c r="E551" i="1"/>
  <c r="F551" i="1" s="1"/>
  <c r="E559" i="1"/>
  <c r="F559" i="1" s="1"/>
  <c r="E567" i="1"/>
  <c r="F567" i="1" s="1"/>
  <c r="E575" i="1"/>
  <c r="F575" i="1" s="1"/>
  <c r="E583" i="1"/>
  <c r="F583" i="1" s="1"/>
  <c r="E591" i="1"/>
  <c r="F591" i="1" s="1"/>
  <c r="E599" i="1"/>
  <c r="F599" i="1" s="1"/>
  <c r="E607" i="1"/>
  <c r="F607" i="1" s="1"/>
  <c r="E616" i="1"/>
  <c r="F616" i="1" s="1"/>
  <c r="E624" i="1"/>
  <c r="F624" i="1" s="1"/>
  <c r="E632" i="1"/>
  <c r="F632" i="1" s="1"/>
  <c r="E640" i="1"/>
  <c r="F640" i="1" s="1"/>
  <c r="E648" i="1"/>
  <c r="F648" i="1" s="1"/>
  <c r="E656" i="1"/>
  <c r="F656" i="1" s="1"/>
  <c r="E664" i="1"/>
  <c r="F664" i="1" s="1"/>
  <c r="E672" i="1"/>
  <c r="F672" i="1" s="1"/>
  <c r="E680" i="1"/>
  <c r="F680" i="1" s="1"/>
  <c r="E688" i="1"/>
  <c r="F688" i="1" s="1"/>
  <c r="E696" i="1"/>
  <c r="F696" i="1" s="1"/>
  <c r="E704" i="1"/>
  <c r="F704" i="1" s="1"/>
  <c r="E712" i="1"/>
  <c r="F712" i="1" s="1"/>
  <c r="E720" i="1"/>
  <c r="F720" i="1" s="1"/>
  <c r="E728" i="1"/>
  <c r="F728" i="1" s="1"/>
  <c r="E736" i="1"/>
  <c r="F736" i="1" s="1"/>
  <c r="E744" i="1"/>
  <c r="F744" i="1" s="1"/>
  <c r="E752" i="1"/>
  <c r="F752" i="1" s="1"/>
  <c r="E760" i="1"/>
  <c r="F760" i="1" s="1"/>
  <c r="E768" i="1"/>
  <c r="F768" i="1" s="1"/>
  <c r="E776" i="1"/>
  <c r="F776" i="1" s="1"/>
  <c r="E784" i="1"/>
  <c r="F784" i="1" s="1"/>
  <c r="E793" i="1"/>
  <c r="F793" i="1" s="1"/>
  <c r="E801" i="1"/>
  <c r="F801" i="1" s="1"/>
  <c r="E809" i="1"/>
  <c r="F809" i="1" s="1"/>
  <c r="E817" i="1"/>
  <c r="F817" i="1" s="1"/>
  <c r="E829" i="1"/>
  <c r="F829" i="1" s="1"/>
  <c r="E827" i="1"/>
  <c r="F827" i="1" s="1"/>
  <c r="E835" i="1"/>
  <c r="F835" i="1" s="1"/>
  <c r="E843" i="1"/>
  <c r="F843" i="1" s="1"/>
  <c r="E851" i="1"/>
  <c r="F851" i="1" s="1"/>
  <c r="E859" i="1"/>
  <c r="F859" i="1" s="1"/>
  <c r="E867" i="1"/>
  <c r="F867" i="1" s="1"/>
  <c r="E875" i="1"/>
  <c r="F875" i="1" s="1"/>
  <c r="E1154" i="1"/>
  <c r="F1154" i="1" s="1"/>
  <c r="E1146" i="1"/>
  <c r="F1146" i="1" s="1"/>
  <c r="E1138" i="1"/>
  <c r="F1138" i="1" s="1"/>
  <c r="E1130" i="1"/>
  <c r="F1130" i="1" s="1"/>
  <c r="E1122" i="1"/>
  <c r="F1122" i="1" s="1"/>
  <c r="E1114" i="1"/>
  <c r="F1114" i="1" s="1"/>
  <c r="E1107" i="1"/>
  <c r="F1107" i="1" s="1"/>
  <c r="E1099" i="1"/>
  <c r="F1099" i="1" s="1"/>
  <c r="E1091" i="1"/>
  <c r="F1091" i="1" s="1"/>
  <c r="E1083" i="1"/>
  <c r="F1083" i="1" s="1"/>
  <c r="E1078" i="1"/>
  <c r="F1078" i="1" s="1"/>
  <c r="E1070" i="1"/>
  <c r="F1070" i="1" s="1"/>
  <c r="E1062" i="1"/>
  <c r="F1062" i="1" s="1"/>
  <c r="E1054" i="1"/>
  <c r="F1054" i="1" s="1"/>
  <c r="E1046" i="1"/>
  <c r="F1046" i="1" s="1"/>
  <c r="E1038" i="1"/>
  <c r="F1038" i="1" s="1"/>
  <c r="E1030" i="1"/>
  <c r="F1030" i="1" s="1"/>
  <c r="E1022" i="1"/>
  <c r="F1022" i="1" s="1"/>
  <c r="E1014" i="1"/>
  <c r="F1014" i="1" s="1"/>
  <c r="E1006" i="1"/>
  <c r="F1006" i="1" s="1"/>
  <c r="E998" i="1"/>
  <c r="F998" i="1" s="1"/>
  <c r="E1156" i="1"/>
  <c r="F1156" i="1" s="1"/>
  <c r="E1148" i="1"/>
  <c r="F1148" i="1" s="1"/>
  <c r="E1140" i="1"/>
  <c r="F1140" i="1" s="1"/>
  <c r="E1132" i="1"/>
  <c r="F1132" i="1" s="1"/>
  <c r="E1124" i="1"/>
  <c r="F1124" i="1" s="1"/>
  <c r="E1116" i="1"/>
  <c r="F1116" i="1" s="1"/>
  <c r="E1105" i="1"/>
  <c r="F1105" i="1" s="1"/>
  <c r="E1097" i="1"/>
  <c r="F1097" i="1" s="1"/>
  <c r="E1089" i="1"/>
  <c r="F1089" i="1" s="1"/>
  <c r="E1081" i="1"/>
  <c r="F1081" i="1" s="1"/>
  <c r="E1072" i="1"/>
  <c r="F1072" i="1" s="1"/>
  <c r="E1064" i="1"/>
  <c r="F1064" i="1" s="1"/>
  <c r="E1056" i="1"/>
  <c r="F1056" i="1" s="1"/>
  <c r="E1048" i="1"/>
  <c r="F1048" i="1" s="1"/>
  <c r="E1040" i="1"/>
  <c r="F1040" i="1" s="1"/>
  <c r="E1032" i="1"/>
  <c r="F1032" i="1" s="1"/>
  <c r="E1024" i="1"/>
  <c r="F1024" i="1" s="1"/>
  <c r="E1016" i="1"/>
  <c r="F1016" i="1" s="1"/>
  <c r="E1008" i="1"/>
  <c r="F1008" i="1" s="1"/>
  <c r="E1000" i="1"/>
  <c r="F1000" i="1" s="1"/>
  <c r="E995" i="1"/>
  <c r="F995" i="1" s="1"/>
  <c r="E989" i="1"/>
  <c r="F989" i="1" s="1"/>
  <c r="E981" i="1"/>
  <c r="F981" i="1" s="1"/>
  <c r="E973" i="1"/>
  <c r="F973" i="1" s="1"/>
  <c r="E965" i="1"/>
  <c r="F965" i="1" s="1"/>
  <c r="E957" i="1"/>
  <c r="F957" i="1" s="1"/>
  <c r="E949" i="1"/>
  <c r="F949" i="1" s="1"/>
  <c r="E941" i="1"/>
  <c r="F941" i="1" s="1"/>
  <c r="E933" i="1"/>
  <c r="F933" i="1" s="1"/>
  <c r="E925" i="1"/>
  <c r="F925" i="1" s="1"/>
  <c r="E917" i="1"/>
  <c r="F917" i="1" s="1"/>
  <c r="E909" i="1"/>
  <c r="F909" i="1" s="1"/>
  <c r="E901" i="1"/>
  <c r="F901" i="1" s="1"/>
  <c r="E893" i="1"/>
  <c r="F893" i="1" s="1"/>
  <c r="E885" i="1"/>
  <c r="F885" i="1" s="1"/>
  <c r="E877" i="1"/>
  <c r="F877" i="1" s="1"/>
  <c r="E869" i="1"/>
  <c r="F869" i="1" s="1"/>
  <c r="E861" i="1"/>
  <c r="F861" i="1" s="1"/>
  <c r="E853" i="1"/>
  <c r="F853" i="1" s="1"/>
  <c r="E845" i="1"/>
  <c r="F845" i="1" s="1"/>
  <c r="E837" i="1"/>
  <c r="F837" i="1" s="1"/>
  <c r="E987" i="1"/>
  <c r="F987" i="1" s="1"/>
  <c r="E979" i="1"/>
  <c r="F979" i="1" s="1"/>
  <c r="E971" i="1"/>
  <c r="F971" i="1" s="1"/>
  <c r="E963" i="1"/>
  <c r="F963" i="1" s="1"/>
  <c r="E955" i="1"/>
  <c r="F955" i="1" s="1"/>
  <c r="E947" i="1"/>
  <c r="F947" i="1" s="1"/>
  <c r="E939" i="1"/>
  <c r="F939" i="1" s="1"/>
  <c r="E931" i="1"/>
  <c r="F931" i="1" s="1"/>
  <c r="E923" i="1"/>
  <c r="F923" i="1" s="1"/>
  <c r="E915" i="1"/>
  <c r="F915" i="1" s="1"/>
  <c r="E907" i="1"/>
  <c r="F907" i="1" s="1"/>
  <c r="E899" i="1"/>
  <c r="F899" i="1" s="1"/>
  <c r="E891" i="1"/>
  <c r="F891" i="1" s="1"/>
  <c r="E883" i="1"/>
  <c r="F883" i="1" s="1"/>
  <c r="E871" i="1"/>
  <c r="F871" i="1" s="1"/>
  <c r="E855" i="1"/>
  <c r="F855" i="1" s="1"/>
  <c r="E839" i="1"/>
  <c r="F839" i="1" s="1"/>
  <c r="E823" i="1"/>
  <c r="F823" i="1" s="1"/>
  <c r="E813" i="1"/>
  <c r="F813" i="1" s="1"/>
  <c r="E797" i="1"/>
  <c r="F797" i="1" s="1"/>
  <c r="E780" i="1"/>
  <c r="F780" i="1" s="1"/>
  <c r="E764" i="1"/>
  <c r="F764" i="1" s="1"/>
  <c r="E748" i="1"/>
  <c r="F748" i="1" s="1"/>
  <c r="E732" i="1"/>
  <c r="F732" i="1" s="1"/>
  <c r="E716" i="1"/>
  <c r="F716" i="1" s="1"/>
  <c r="E700" i="1"/>
  <c r="F700" i="1" s="1"/>
  <c r="E684" i="1"/>
  <c r="F684" i="1" s="1"/>
  <c r="E668" i="1"/>
  <c r="F668" i="1" s="1"/>
  <c r="E652" i="1"/>
  <c r="F652" i="1" s="1"/>
  <c r="E636" i="1"/>
  <c r="F636" i="1" s="1"/>
  <c r="E620" i="1"/>
  <c r="F620" i="1" s="1"/>
  <c r="E603" i="1"/>
  <c r="F603" i="1" s="1"/>
  <c r="E587" i="1"/>
  <c r="F587" i="1" s="1"/>
  <c r="E571" i="1"/>
  <c r="F571" i="1" s="1"/>
  <c r="E555" i="1"/>
  <c r="F555" i="1" s="1"/>
  <c r="E539" i="1"/>
  <c r="F539" i="1" s="1"/>
  <c r="E523" i="1"/>
  <c r="F523" i="1" s="1"/>
  <c r="E507" i="1"/>
  <c r="F507" i="1" s="1"/>
  <c r="E491" i="1"/>
  <c r="F491" i="1" s="1"/>
  <c r="E815" i="1"/>
  <c r="F815" i="1" s="1"/>
  <c r="E799" i="1"/>
  <c r="F799" i="1" s="1"/>
  <c r="E786" i="1"/>
  <c r="F786" i="1" s="1"/>
  <c r="E770" i="1"/>
  <c r="F770" i="1" s="1"/>
  <c r="E754" i="1"/>
  <c r="F754" i="1" s="1"/>
  <c r="E738" i="1"/>
  <c r="F738" i="1" s="1"/>
  <c r="E722" i="1"/>
  <c r="F722" i="1" s="1"/>
  <c r="E706" i="1"/>
  <c r="F706" i="1" s="1"/>
  <c r="E690" i="1"/>
  <c r="F690" i="1" s="1"/>
  <c r="E674" i="1"/>
  <c r="F674" i="1" s="1"/>
  <c r="E658" i="1"/>
  <c r="F658" i="1" s="1"/>
  <c r="E642" i="1"/>
  <c r="F642" i="1" s="1"/>
  <c r="E626" i="1"/>
  <c r="F626" i="1" s="1"/>
  <c r="E613" i="1"/>
  <c r="F613" i="1" s="1"/>
  <c r="E597" i="1"/>
  <c r="F597" i="1" s="1"/>
  <c r="E581" i="1"/>
  <c r="F581" i="1" s="1"/>
  <c r="E565" i="1"/>
  <c r="F565" i="1" s="1"/>
  <c r="E549" i="1"/>
  <c r="F549" i="1" s="1"/>
  <c r="E533" i="1"/>
  <c r="F533" i="1" s="1"/>
  <c r="E517" i="1"/>
  <c r="F517" i="1" s="1"/>
  <c r="E501" i="1"/>
  <c r="F501" i="1" s="1"/>
  <c r="E485" i="1"/>
  <c r="F485" i="1" s="1"/>
  <c r="E469" i="1"/>
  <c r="F469" i="1" s="1"/>
  <c r="E453" i="1"/>
  <c r="F453" i="1" s="1"/>
  <c r="E437" i="1"/>
  <c r="F437" i="1" s="1"/>
  <c r="E421" i="1"/>
  <c r="F421" i="1" s="1"/>
  <c r="E405" i="1"/>
  <c r="F405" i="1" s="1"/>
  <c r="E389" i="1"/>
  <c r="F389" i="1" s="1"/>
  <c r="E373" i="1"/>
  <c r="F373" i="1" s="1"/>
  <c r="E357" i="1"/>
  <c r="F357" i="1" s="1"/>
  <c r="E341" i="1"/>
  <c r="F341" i="1" s="1"/>
  <c r="E325" i="1"/>
  <c r="F325" i="1" s="1"/>
  <c r="E309" i="1"/>
  <c r="F309" i="1" s="1"/>
  <c r="E293" i="1"/>
  <c r="F293" i="1" s="1"/>
  <c r="E277" i="1"/>
  <c r="F277" i="1" s="1"/>
  <c r="E261" i="1"/>
  <c r="F261" i="1" s="1"/>
  <c r="E245" i="1"/>
  <c r="F245" i="1" s="1"/>
  <c r="E229" i="1"/>
  <c r="F229" i="1" s="1"/>
  <c r="E213" i="1"/>
  <c r="F213" i="1" s="1"/>
  <c r="E185" i="1"/>
  <c r="F185" i="1" s="1"/>
  <c r="E153" i="1"/>
  <c r="F153" i="1" s="1"/>
  <c r="E459" i="1"/>
  <c r="F459" i="1" s="1"/>
  <c r="E427" i="1"/>
  <c r="F427" i="1" s="1"/>
  <c r="E395" i="1"/>
  <c r="F395" i="1" s="1"/>
  <c r="E363" i="1"/>
  <c r="F363" i="1" s="1"/>
  <c r="E331" i="1"/>
  <c r="F331" i="1" s="1"/>
  <c r="E299" i="1"/>
  <c r="F299" i="1" s="1"/>
  <c r="E267" i="1"/>
  <c r="F267" i="1" s="1"/>
  <c r="E235" i="1"/>
  <c r="F235" i="1" s="1"/>
  <c r="E203" i="1"/>
  <c r="F203" i="1" s="1"/>
  <c r="E171" i="1"/>
  <c r="F171" i="1" s="1"/>
  <c r="E139" i="1"/>
  <c r="F139" i="1" s="1"/>
  <c r="E117" i="1"/>
  <c r="F117" i="1" s="1"/>
  <c r="E85" i="1"/>
  <c r="F85" i="1" s="1"/>
  <c r="E53" i="1"/>
  <c r="F53" i="1" s="1"/>
  <c r="E119" i="1"/>
  <c r="F119" i="1" s="1"/>
  <c r="E87" i="1"/>
  <c r="F87" i="1" s="1"/>
  <c r="E55" i="1"/>
  <c r="F55" i="1" s="1"/>
  <c r="E23" i="1"/>
  <c r="F23" i="1" s="1"/>
  <c r="E21" i="1"/>
  <c r="F21" i="1" s="1"/>
  <c r="E7" i="1"/>
  <c r="E1157" i="1"/>
  <c r="F1157" i="1" s="1"/>
  <c r="E1153" i="1"/>
  <c r="F1153" i="1" s="1"/>
  <c r="E1149" i="1"/>
  <c r="F1149" i="1" s="1"/>
  <c r="E1145" i="1"/>
  <c r="F1145" i="1" s="1"/>
  <c r="E1141" i="1"/>
  <c r="F1141" i="1" s="1"/>
  <c r="E1137" i="1"/>
  <c r="F1137" i="1" s="1"/>
  <c r="E1133" i="1"/>
  <c r="F1133" i="1" s="1"/>
  <c r="E1129" i="1"/>
  <c r="F1129" i="1" s="1"/>
  <c r="E1125" i="1"/>
  <c r="F1125" i="1" s="1"/>
  <c r="E1121" i="1"/>
  <c r="F1121" i="1" s="1"/>
  <c r="E1117" i="1"/>
  <c r="F1117" i="1" s="1"/>
  <c r="E1113" i="1"/>
  <c r="F1113" i="1" s="1"/>
  <c r="E1109" i="1"/>
  <c r="F1109" i="1" s="1"/>
  <c r="E1106" i="1"/>
  <c r="F1106" i="1" s="1"/>
  <c r="E1102" i="1"/>
  <c r="F1102" i="1" s="1"/>
  <c r="E1098" i="1"/>
  <c r="F1098" i="1" s="1"/>
  <c r="E1094" i="1"/>
  <c r="F1094" i="1" s="1"/>
  <c r="E1090" i="1"/>
  <c r="F1090" i="1" s="1"/>
  <c r="E1086" i="1"/>
  <c r="F1086" i="1" s="1"/>
  <c r="E1082" i="1"/>
  <c r="F1082" i="1" s="1"/>
  <c r="E1077" i="1"/>
  <c r="F1077" i="1" s="1"/>
  <c r="E1073" i="1"/>
  <c r="F1073" i="1" s="1"/>
  <c r="E1069" i="1"/>
  <c r="F1069" i="1" s="1"/>
  <c r="E1065" i="1"/>
  <c r="F1065" i="1" s="1"/>
  <c r="E1061" i="1"/>
  <c r="F1061" i="1" s="1"/>
  <c r="E1057" i="1"/>
  <c r="F1057" i="1" s="1"/>
  <c r="E1053" i="1"/>
  <c r="F1053" i="1" s="1"/>
  <c r="E1049" i="1"/>
  <c r="F1049" i="1" s="1"/>
  <c r="E1045" i="1"/>
  <c r="F1045" i="1" s="1"/>
  <c r="E1041" i="1"/>
  <c r="F1041" i="1" s="1"/>
  <c r="E1037" i="1"/>
  <c r="F1037" i="1" s="1"/>
  <c r="E1033" i="1"/>
  <c r="F1033" i="1" s="1"/>
  <c r="E1029" i="1"/>
  <c r="F1029" i="1" s="1"/>
  <c r="E1025" i="1"/>
  <c r="F1025" i="1" s="1"/>
  <c r="E1021" i="1"/>
  <c r="F1021" i="1" s="1"/>
  <c r="E1017" i="1"/>
  <c r="F1017" i="1" s="1"/>
  <c r="E1013" i="1"/>
  <c r="F1013" i="1" s="1"/>
  <c r="E1009" i="1"/>
  <c r="F1009" i="1" s="1"/>
  <c r="E1005" i="1"/>
  <c r="F1005" i="1" s="1"/>
  <c r="E1001" i="1"/>
  <c r="F1001" i="1" s="1"/>
  <c r="E997" i="1"/>
  <c r="F997" i="1" s="1"/>
  <c r="E1155" i="1"/>
  <c r="F1155" i="1" s="1"/>
  <c r="E1151" i="1"/>
  <c r="F1151" i="1" s="1"/>
  <c r="E1147" i="1"/>
  <c r="F1147" i="1" s="1"/>
  <c r="E1143" i="1"/>
  <c r="F1143" i="1" s="1"/>
  <c r="E1139" i="1"/>
  <c r="F1139" i="1" s="1"/>
  <c r="E1135" i="1"/>
  <c r="F1135" i="1" s="1"/>
  <c r="E1131" i="1"/>
  <c r="F1131" i="1" s="1"/>
  <c r="E1127" i="1"/>
  <c r="F1127" i="1" s="1"/>
  <c r="E1123" i="1"/>
  <c r="F1123" i="1" s="1"/>
  <c r="E1119" i="1"/>
  <c r="F1119" i="1" s="1"/>
  <c r="E1115" i="1"/>
  <c r="F1115" i="1" s="1"/>
  <c r="E1111" i="1"/>
  <c r="F1111" i="1" s="1"/>
  <c r="E1108" i="1"/>
  <c r="F1108" i="1" s="1"/>
  <c r="E1104" i="1"/>
  <c r="F1104" i="1" s="1"/>
  <c r="E1100" i="1"/>
  <c r="F1100" i="1" s="1"/>
  <c r="E1096" i="1"/>
  <c r="F1096" i="1" s="1"/>
  <c r="E1092" i="1"/>
  <c r="F1092" i="1" s="1"/>
  <c r="E1088" i="1"/>
  <c r="F1088" i="1" s="1"/>
  <c r="E1084" i="1"/>
  <c r="F1084" i="1" s="1"/>
  <c r="E1080" i="1"/>
  <c r="F1080" i="1" s="1"/>
  <c r="E1075" i="1"/>
  <c r="F1075" i="1" s="1"/>
  <c r="E1071" i="1"/>
  <c r="F1071" i="1" s="1"/>
  <c r="E1067" i="1"/>
  <c r="F1067" i="1" s="1"/>
  <c r="E1063" i="1"/>
  <c r="F1063" i="1" s="1"/>
  <c r="E1059" i="1"/>
  <c r="F1059" i="1" s="1"/>
  <c r="E1055" i="1"/>
  <c r="F1055" i="1" s="1"/>
  <c r="E1051" i="1"/>
  <c r="F1051" i="1" s="1"/>
  <c r="E1047" i="1"/>
  <c r="F1047" i="1" s="1"/>
  <c r="E1043" i="1"/>
  <c r="F1043" i="1" s="1"/>
  <c r="E1039" i="1"/>
  <c r="F1039" i="1" s="1"/>
  <c r="E1035" i="1"/>
  <c r="F1035" i="1" s="1"/>
  <c r="E1031" i="1"/>
  <c r="F1031" i="1" s="1"/>
  <c r="E1027" i="1"/>
  <c r="F1027" i="1" s="1"/>
  <c r="E1023" i="1"/>
  <c r="F1023" i="1" s="1"/>
  <c r="E1019" i="1"/>
  <c r="F1019" i="1" s="1"/>
  <c r="E1015" i="1"/>
  <c r="F1015" i="1" s="1"/>
  <c r="E1011" i="1"/>
  <c r="F1011" i="1" s="1"/>
  <c r="E1007" i="1"/>
  <c r="F1007" i="1" s="1"/>
  <c r="E1003" i="1"/>
  <c r="F1003" i="1" s="1"/>
  <c r="E999" i="1"/>
  <c r="F999" i="1" s="1"/>
  <c r="E994" i="1"/>
  <c r="F994" i="1" s="1"/>
  <c r="E990" i="1"/>
  <c r="F990" i="1" s="1"/>
  <c r="E988" i="1"/>
  <c r="F988" i="1" s="1"/>
  <c r="E984" i="1"/>
  <c r="F984" i="1" s="1"/>
  <c r="E980" i="1"/>
  <c r="F980" i="1" s="1"/>
  <c r="E976" i="1"/>
  <c r="F976" i="1" s="1"/>
  <c r="E972" i="1"/>
  <c r="F972" i="1" s="1"/>
  <c r="E968" i="1"/>
  <c r="F968" i="1" s="1"/>
  <c r="E964" i="1"/>
  <c r="F964" i="1" s="1"/>
  <c r="E960" i="1"/>
  <c r="F960" i="1" s="1"/>
  <c r="E956" i="1"/>
  <c r="F956" i="1" s="1"/>
  <c r="E952" i="1"/>
  <c r="F952" i="1" s="1"/>
  <c r="E948" i="1"/>
  <c r="F948" i="1" s="1"/>
  <c r="E944" i="1"/>
  <c r="F944" i="1" s="1"/>
  <c r="E940" i="1"/>
  <c r="F940" i="1" s="1"/>
  <c r="E936" i="1"/>
  <c r="F936" i="1" s="1"/>
  <c r="E932" i="1"/>
  <c r="F932" i="1" s="1"/>
  <c r="E928" i="1"/>
  <c r="F928" i="1" s="1"/>
  <c r="E924" i="1"/>
  <c r="F924" i="1" s="1"/>
  <c r="E920" i="1"/>
  <c r="F920" i="1" s="1"/>
  <c r="E916" i="1"/>
  <c r="F916" i="1" s="1"/>
  <c r="E912" i="1"/>
  <c r="F912" i="1" s="1"/>
  <c r="E908" i="1"/>
  <c r="F908" i="1" s="1"/>
  <c r="E904" i="1"/>
  <c r="F904" i="1" s="1"/>
  <c r="E900" i="1"/>
  <c r="F900" i="1" s="1"/>
  <c r="E896" i="1"/>
  <c r="F896" i="1" s="1"/>
  <c r="E892" i="1"/>
  <c r="F892" i="1" s="1"/>
  <c r="E888" i="1"/>
  <c r="F888" i="1" s="1"/>
  <c r="E884" i="1"/>
  <c r="F884" i="1" s="1"/>
  <c r="E880" i="1"/>
  <c r="F880" i="1" s="1"/>
  <c r="E876" i="1"/>
  <c r="F876" i="1" s="1"/>
  <c r="E872" i="1"/>
  <c r="F872" i="1" s="1"/>
  <c r="E868" i="1"/>
  <c r="F868" i="1" s="1"/>
  <c r="E864" i="1"/>
  <c r="F864" i="1" s="1"/>
  <c r="E860" i="1"/>
  <c r="F860" i="1" s="1"/>
  <c r="E856" i="1"/>
  <c r="F856" i="1" s="1"/>
  <c r="E852" i="1"/>
  <c r="F852" i="1" s="1"/>
  <c r="E848" i="1"/>
  <c r="F848" i="1" s="1"/>
  <c r="E844" i="1"/>
  <c r="F844" i="1" s="1"/>
  <c r="E840" i="1"/>
  <c r="F840" i="1" s="1"/>
  <c r="E836" i="1"/>
  <c r="F836" i="1" s="1"/>
  <c r="E992" i="1"/>
  <c r="F992" i="1" s="1"/>
  <c r="E986" i="1"/>
  <c r="F986" i="1" s="1"/>
  <c r="E982" i="1"/>
  <c r="F982" i="1" s="1"/>
  <c r="E978" i="1"/>
  <c r="F978" i="1" s="1"/>
  <c r="E974" i="1"/>
  <c r="F974" i="1" s="1"/>
  <c r="E970" i="1"/>
  <c r="F970" i="1" s="1"/>
  <c r="E966" i="1"/>
  <c r="F966" i="1" s="1"/>
  <c r="E962" i="1"/>
  <c r="F962" i="1" s="1"/>
  <c r="E958" i="1"/>
  <c r="F958" i="1" s="1"/>
  <c r="E954" i="1"/>
  <c r="F954" i="1" s="1"/>
  <c r="E950" i="1"/>
  <c r="F950" i="1" s="1"/>
  <c r="E946" i="1"/>
  <c r="F946" i="1" s="1"/>
  <c r="E942" i="1"/>
  <c r="F942" i="1" s="1"/>
  <c r="E938" i="1"/>
  <c r="F938" i="1" s="1"/>
  <c r="E934" i="1"/>
  <c r="F934" i="1" s="1"/>
  <c r="E930" i="1"/>
  <c r="F930" i="1" s="1"/>
  <c r="E926" i="1"/>
  <c r="F926" i="1" s="1"/>
  <c r="E922" i="1"/>
  <c r="F922" i="1" s="1"/>
  <c r="E918" i="1"/>
  <c r="F918" i="1" s="1"/>
  <c r="E914" i="1"/>
  <c r="F914" i="1" s="1"/>
  <c r="E910" i="1"/>
  <c r="F910" i="1" s="1"/>
  <c r="E906" i="1"/>
  <c r="F906" i="1" s="1"/>
  <c r="E902" i="1"/>
  <c r="F902" i="1" s="1"/>
  <c r="E898" i="1"/>
  <c r="F898" i="1" s="1"/>
  <c r="E894" i="1"/>
  <c r="F894" i="1" s="1"/>
  <c r="E890" i="1"/>
  <c r="F890" i="1" s="1"/>
  <c r="E886" i="1"/>
  <c r="F886" i="1" s="1"/>
  <c r="E882" i="1"/>
  <c r="F882" i="1" s="1"/>
  <c r="E878" i="1"/>
  <c r="F878" i="1" s="1"/>
  <c r="E874" i="1"/>
  <c r="F874" i="1" s="1"/>
  <c r="E870" i="1"/>
  <c r="F870" i="1" s="1"/>
  <c r="E866" i="1"/>
  <c r="F866" i="1" s="1"/>
  <c r="E862" i="1"/>
  <c r="F862" i="1" s="1"/>
  <c r="E858" i="1"/>
  <c r="F858" i="1" s="1"/>
  <c r="E854" i="1"/>
  <c r="F854" i="1" s="1"/>
  <c r="E850" i="1"/>
  <c r="F850" i="1" s="1"/>
  <c r="E846" i="1"/>
  <c r="F846" i="1" s="1"/>
  <c r="E842" i="1"/>
  <c r="F842" i="1" s="1"/>
  <c r="E838" i="1"/>
  <c r="F838" i="1" s="1"/>
  <c r="E834" i="1"/>
  <c r="F834" i="1" s="1"/>
  <c r="E830" i="1"/>
  <c r="F830" i="1" s="1"/>
  <c r="E826" i="1"/>
  <c r="F826" i="1" s="1"/>
  <c r="E822" i="1"/>
  <c r="F822" i="1" s="1"/>
  <c r="E828" i="1"/>
  <c r="F828" i="1" s="1"/>
  <c r="E820" i="1"/>
  <c r="F820" i="1" s="1"/>
  <c r="E816" i="1"/>
  <c r="F816" i="1" s="1"/>
  <c r="E812" i="1"/>
  <c r="F812" i="1" s="1"/>
  <c r="E808" i="1"/>
  <c r="F808" i="1" s="1"/>
  <c r="E804" i="1"/>
  <c r="F804" i="1" s="1"/>
  <c r="E800" i="1"/>
  <c r="F800" i="1" s="1"/>
  <c r="E796" i="1"/>
  <c r="F796" i="1" s="1"/>
  <c r="E792" i="1"/>
  <c r="F792" i="1" s="1"/>
  <c r="E788" i="1"/>
  <c r="F788" i="1" s="1"/>
  <c r="E783" i="1"/>
  <c r="F783" i="1" s="1"/>
  <c r="E779" i="1"/>
  <c r="F779" i="1" s="1"/>
  <c r="E775" i="1"/>
  <c r="F775" i="1" s="1"/>
  <c r="E771" i="1"/>
  <c r="F771" i="1" s="1"/>
  <c r="E767" i="1"/>
  <c r="F767" i="1" s="1"/>
  <c r="E763" i="1"/>
  <c r="F763" i="1" s="1"/>
  <c r="E759" i="1"/>
  <c r="F759" i="1" s="1"/>
  <c r="E755" i="1"/>
  <c r="F755" i="1" s="1"/>
  <c r="E751" i="1"/>
  <c r="F751" i="1" s="1"/>
  <c r="E747" i="1"/>
  <c r="F747" i="1" s="1"/>
  <c r="E743" i="1"/>
  <c r="F743" i="1" s="1"/>
  <c r="E739" i="1"/>
  <c r="F739" i="1" s="1"/>
  <c r="E735" i="1"/>
  <c r="F735" i="1" s="1"/>
  <c r="E731" i="1"/>
  <c r="F731" i="1" s="1"/>
  <c r="E727" i="1"/>
  <c r="F727" i="1" s="1"/>
  <c r="E723" i="1"/>
  <c r="F723" i="1" s="1"/>
  <c r="E719" i="1"/>
  <c r="F719" i="1" s="1"/>
  <c r="E715" i="1"/>
  <c r="F715" i="1" s="1"/>
  <c r="E711" i="1"/>
  <c r="F711" i="1" s="1"/>
  <c r="E707" i="1"/>
  <c r="F707" i="1" s="1"/>
  <c r="E703" i="1"/>
  <c r="F703" i="1" s="1"/>
  <c r="E699" i="1"/>
  <c r="F699" i="1" s="1"/>
  <c r="E695" i="1"/>
  <c r="F695" i="1" s="1"/>
  <c r="E691" i="1"/>
  <c r="F691" i="1" s="1"/>
  <c r="E687" i="1"/>
  <c r="F687" i="1" s="1"/>
  <c r="E683" i="1"/>
  <c r="F683" i="1" s="1"/>
  <c r="E679" i="1"/>
  <c r="F679" i="1" s="1"/>
  <c r="E675" i="1"/>
  <c r="F675" i="1" s="1"/>
  <c r="E671" i="1"/>
  <c r="F671" i="1" s="1"/>
  <c r="E667" i="1"/>
  <c r="F667" i="1" s="1"/>
  <c r="E663" i="1"/>
  <c r="F663" i="1" s="1"/>
  <c r="E659" i="1"/>
  <c r="F659" i="1" s="1"/>
  <c r="E655" i="1"/>
  <c r="F655" i="1" s="1"/>
  <c r="E651" i="1"/>
  <c r="F651" i="1" s="1"/>
  <c r="E647" i="1"/>
  <c r="F647" i="1" s="1"/>
  <c r="E643" i="1"/>
  <c r="F643" i="1" s="1"/>
  <c r="E639" i="1"/>
  <c r="F639" i="1" s="1"/>
  <c r="E635" i="1"/>
  <c r="F635" i="1" s="1"/>
  <c r="E631" i="1"/>
  <c r="F631" i="1" s="1"/>
  <c r="E627" i="1"/>
  <c r="F627" i="1" s="1"/>
  <c r="E623" i="1"/>
  <c r="F623" i="1" s="1"/>
  <c r="E619" i="1"/>
  <c r="F619" i="1" s="1"/>
  <c r="E615" i="1"/>
  <c r="F615" i="1" s="1"/>
  <c r="E610" i="1"/>
  <c r="F610" i="1" s="1"/>
  <c r="E606" i="1"/>
  <c r="F606" i="1" s="1"/>
  <c r="E602" i="1"/>
  <c r="F602" i="1" s="1"/>
  <c r="E598" i="1"/>
  <c r="F598" i="1" s="1"/>
  <c r="E594" i="1"/>
  <c r="F594" i="1" s="1"/>
  <c r="E590" i="1"/>
  <c r="F590" i="1" s="1"/>
  <c r="E586" i="1"/>
  <c r="F586" i="1" s="1"/>
  <c r="E582" i="1"/>
  <c r="F582" i="1" s="1"/>
  <c r="E578" i="1"/>
  <c r="F578" i="1" s="1"/>
  <c r="E574" i="1"/>
  <c r="F574" i="1" s="1"/>
  <c r="E570" i="1"/>
  <c r="F570" i="1" s="1"/>
  <c r="E566" i="1"/>
  <c r="F566" i="1" s="1"/>
  <c r="E562" i="1"/>
  <c r="F562" i="1" s="1"/>
  <c r="E558" i="1"/>
  <c r="F558" i="1" s="1"/>
  <c r="E554" i="1"/>
  <c r="F554" i="1" s="1"/>
  <c r="E550" i="1"/>
  <c r="F550" i="1" s="1"/>
  <c r="E546" i="1"/>
  <c r="F546" i="1" s="1"/>
  <c r="E542" i="1"/>
  <c r="F542" i="1" s="1"/>
  <c r="E538" i="1"/>
  <c r="F538" i="1" s="1"/>
  <c r="E534" i="1"/>
  <c r="F534" i="1" s="1"/>
  <c r="E530" i="1"/>
  <c r="F530" i="1" s="1"/>
  <c r="E526" i="1"/>
  <c r="F526" i="1" s="1"/>
  <c r="E522" i="1"/>
  <c r="F522" i="1" s="1"/>
  <c r="E518" i="1"/>
  <c r="F518" i="1" s="1"/>
  <c r="E514" i="1"/>
  <c r="F514" i="1" s="1"/>
  <c r="E510" i="1"/>
  <c r="F510" i="1" s="1"/>
  <c r="E506" i="1"/>
  <c r="F506" i="1" s="1"/>
  <c r="E502" i="1"/>
  <c r="F502" i="1" s="1"/>
  <c r="E498" i="1"/>
  <c r="F498" i="1" s="1"/>
  <c r="E494" i="1"/>
  <c r="F494" i="1" s="1"/>
  <c r="E490" i="1"/>
  <c r="F490" i="1" s="1"/>
  <c r="E486" i="1"/>
  <c r="F486" i="1" s="1"/>
  <c r="E832" i="1"/>
  <c r="F832" i="1" s="1"/>
  <c r="E824" i="1"/>
  <c r="F824" i="1" s="1"/>
  <c r="E818" i="1"/>
  <c r="F818" i="1" s="1"/>
  <c r="E814" i="1"/>
  <c r="F814" i="1" s="1"/>
  <c r="E810" i="1"/>
  <c r="F810" i="1" s="1"/>
  <c r="E806" i="1"/>
  <c r="F806" i="1" s="1"/>
  <c r="E802" i="1"/>
  <c r="F802" i="1" s="1"/>
  <c r="E798" i="1"/>
  <c r="F798" i="1" s="1"/>
  <c r="E794" i="1"/>
  <c r="F794" i="1" s="1"/>
  <c r="E790" i="1"/>
  <c r="F790" i="1" s="1"/>
  <c r="E785" i="1"/>
  <c r="F785" i="1" s="1"/>
  <c r="E781" i="1"/>
  <c r="F781" i="1" s="1"/>
  <c r="E777" i="1"/>
  <c r="F777" i="1" s="1"/>
  <c r="E773" i="1"/>
  <c r="F773" i="1" s="1"/>
  <c r="E769" i="1"/>
  <c r="F769" i="1" s="1"/>
  <c r="E765" i="1"/>
  <c r="F765" i="1" s="1"/>
  <c r="E761" i="1"/>
  <c r="F761" i="1" s="1"/>
  <c r="E757" i="1"/>
  <c r="F757" i="1" s="1"/>
  <c r="E753" i="1"/>
  <c r="F753" i="1" s="1"/>
  <c r="E749" i="1"/>
  <c r="F749" i="1" s="1"/>
  <c r="E745" i="1"/>
  <c r="F745" i="1" s="1"/>
  <c r="E741" i="1"/>
  <c r="F741" i="1" s="1"/>
  <c r="E737" i="1"/>
  <c r="F737" i="1" s="1"/>
  <c r="E733" i="1"/>
  <c r="F733" i="1" s="1"/>
  <c r="E729" i="1"/>
  <c r="F729" i="1" s="1"/>
  <c r="E725" i="1"/>
  <c r="F725" i="1" s="1"/>
  <c r="E721" i="1"/>
  <c r="F721" i="1" s="1"/>
  <c r="E717" i="1"/>
  <c r="F717" i="1" s="1"/>
  <c r="E713" i="1"/>
  <c r="F713" i="1" s="1"/>
  <c r="E709" i="1"/>
  <c r="F709" i="1" s="1"/>
  <c r="E705" i="1"/>
  <c r="F705" i="1" s="1"/>
  <c r="E701" i="1"/>
  <c r="F701" i="1" s="1"/>
  <c r="E697" i="1"/>
  <c r="F697" i="1" s="1"/>
  <c r="E693" i="1"/>
  <c r="F693" i="1" s="1"/>
  <c r="E689" i="1"/>
  <c r="F689" i="1" s="1"/>
  <c r="E685" i="1"/>
  <c r="F685" i="1" s="1"/>
  <c r="E681" i="1"/>
  <c r="F681" i="1" s="1"/>
  <c r="E677" i="1"/>
  <c r="F677" i="1" s="1"/>
  <c r="E673" i="1"/>
  <c r="F673" i="1" s="1"/>
  <c r="E669" i="1"/>
  <c r="F669" i="1" s="1"/>
  <c r="E665" i="1"/>
  <c r="F665" i="1" s="1"/>
  <c r="E661" i="1"/>
  <c r="F661" i="1" s="1"/>
  <c r="E657" i="1"/>
  <c r="F657" i="1" s="1"/>
  <c r="E653" i="1"/>
  <c r="F653" i="1" s="1"/>
  <c r="E649" i="1"/>
  <c r="F649" i="1" s="1"/>
  <c r="E645" i="1"/>
  <c r="F645" i="1" s="1"/>
  <c r="E641" i="1"/>
  <c r="F641" i="1" s="1"/>
  <c r="E637" i="1"/>
  <c r="F637" i="1" s="1"/>
  <c r="E633" i="1"/>
  <c r="F633" i="1" s="1"/>
  <c r="E629" i="1"/>
  <c r="F629" i="1" s="1"/>
  <c r="E625" i="1"/>
  <c r="F625" i="1" s="1"/>
  <c r="E621" i="1"/>
  <c r="F621" i="1" s="1"/>
  <c r="E617" i="1"/>
  <c r="F617" i="1" s="1"/>
  <c r="E612" i="1"/>
  <c r="F612" i="1" s="1"/>
  <c r="E608" i="1"/>
  <c r="F608" i="1" s="1"/>
  <c r="E604" i="1"/>
  <c r="F604" i="1" s="1"/>
  <c r="E600" i="1"/>
  <c r="F600" i="1" s="1"/>
  <c r="E596" i="1"/>
  <c r="F596" i="1" s="1"/>
  <c r="E592" i="1"/>
  <c r="F592" i="1" s="1"/>
  <c r="E588" i="1"/>
  <c r="F588" i="1" s="1"/>
  <c r="E584" i="1"/>
  <c r="F584" i="1" s="1"/>
  <c r="E580" i="1"/>
  <c r="F580" i="1" s="1"/>
  <c r="E576" i="1"/>
  <c r="F576" i="1" s="1"/>
  <c r="E572" i="1"/>
  <c r="F572" i="1" s="1"/>
  <c r="E568" i="1"/>
  <c r="F568" i="1" s="1"/>
  <c r="E564" i="1"/>
  <c r="F564" i="1" s="1"/>
  <c r="E560" i="1"/>
  <c r="F560" i="1" s="1"/>
  <c r="E556" i="1"/>
  <c r="F556" i="1" s="1"/>
  <c r="E552" i="1"/>
  <c r="F552" i="1" s="1"/>
  <c r="E548" i="1"/>
  <c r="F548" i="1" s="1"/>
  <c r="E544" i="1"/>
  <c r="F544" i="1" s="1"/>
  <c r="E540" i="1"/>
  <c r="F540" i="1" s="1"/>
  <c r="E536" i="1"/>
  <c r="F536" i="1" s="1"/>
  <c r="E532" i="1"/>
  <c r="F532" i="1" s="1"/>
  <c r="E528" i="1"/>
  <c r="F528" i="1" s="1"/>
  <c r="E524" i="1"/>
  <c r="F524" i="1" s="1"/>
  <c r="E520" i="1"/>
  <c r="F520" i="1" s="1"/>
  <c r="E516" i="1"/>
  <c r="F516" i="1" s="1"/>
  <c r="E512" i="1"/>
  <c r="F512" i="1" s="1"/>
  <c r="E508" i="1"/>
  <c r="F508" i="1" s="1"/>
  <c r="E504" i="1"/>
  <c r="F504" i="1" s="1"/>
  <c r="E500" i="1"/>
  <c r="F500" i="1" s="1"/>
  <c r="E496" i="1"/>
  <c r="F496" i="1" s="1"/>
  <c r="E492" i="1"/>
  <c r="F492" i="1" s="1"/>
  <c r="E484" i="1"/>
  <c r="F484" i="1" s="1"/>
  <c r="E480" i="1"/>
  <c r="F480" i="1" s="1"/>
  <c r="E476" i="1"/>
  <c r="F476" i="1" s="1"/>
  <c r="E472" i="1"/>
  <c r="F472" i="1" s="1"/>
  <c r="E468" i="1"/>
  <c r="F468" i="1" s="1"/>
  <c r="E464" i="1"/>
  <c r="F464" i="1" s="1"/>
  <c r="E460" i="1"/>
  <c r="F460" i="1" s="1"/>
  <c r="E456" i="1"/>
  <c r="F456" i="1" s="1"/>
  <c r="E452" i="1"/>
  <c r="F452" i="1" s="1"/>
  <c r="E448" i="1"/>
  <c r="F448" i="1" s="1"/>
  <c r="E444" i="1"/>
  <c r="F444" i="1" s="1"/>
  <c r="E440" i="1"/>
  <c r="F440" i="1" s="1"/>
  <c r="E436" i="1"/>
  <c r="F436" i="1" s="1"/>
  <c r="E432" i="1"/>
  <c r="F432" i="1" s="1"/>
  <c r="E428" i="1"/>
  <c r="F428" i="1" s="1"/>
  <c r="E424" i="1"/>
  <c r="F424" i="1" s="1"/>
  <c r="E420" i="1"/>
  <c r="F420" i="1" s="1"/>
  <c r="E416" i="1"/>
  <c r="F416" i="1" s="1"/>
  <c r="E412" i="1"/>
  <c r="F412" i="1" s="1"/>
  <c r="E408" i="1"/>
  <c r="F408" i="1" s="1"/>
  <c r="E404" i="1"/>
  <c r="F404" i="1" s="1"/>
  <c r="E400" i="1"/>
  <c r="F400" i="1" s="1"/>
  <c r="E396" i="1"/>
  <c r="F396" i="1" s="1"/>
  <c r="E392" i="1"/>
  <c r="F392" i="1" s="1"/>
  <c r="E388" i="1"/>
  <c r="F388" i="1" s="1"/>
  <c r="E384" i="1"/>
  <c r="F384" i="1" s="1"/>
  <c r="E380" i="1"/>
  <c r="F380" i="1" s="1"/>
  <c r="E376" i="1"/>
  <c r="F376" i="1" s="1"/>
  <c r="E372" i="1"/>
  <c r="F372" i="1" s="1"/>
  <c r="E368" i="1"/>
  <c r="F368" i="1" s="1"/>
  <c r="E364" i="1"/>
  <c r="F364" i="1" s="1"/>
  <c r="E360" i="1"/>
  <c r="F360" i="1" s="1"/>
  <c r="E356" i="1"/>
  <c r="F356" i="1" s="1"/>
  <c r="E352" i="1"/>
  <c r="F352" i="1" s="1"/>
  <c r="E348" i="1"/>
  <c r="F348" i="1" s="1"/>
  <c r="E344" i="1"/>
  <c r="F344" i="1" s="1"/>
  <c r="E340" i="1"/>
  <c r="F340" i="1" s="1"/>
  <c r="E336" i="1"/>
  <c r="F336" i="1" s="1"/>
  <c r="E332" i="1"/>
  <c r="F332" i="1" s="1"/>
  <c r="E328" i="1"/>
  <c r="F328" i="1" s="1"/>
  <c r="E324" i="1"/>
  <c r="F324" i="1" s="1"/>
  <c r="E320" i="1"/>
  <c r="F320" i="1" s="1"/>
  <c r="E316" i="1"/>
  <c r="F316" i="1" s="1"/>
  <c r="E312" i="1"/>
  <c r="F312" i="1" s="1"/>
  <c r="E308" i="1"/>
  <c r="F308" i="1" s="1"/>
  <c r="E304" i="1"/>
  <c r="F304" i="1" s="1"/>
  <c r="E300" i="1"/>
  <c r="F300" i="1" s="1"/>
  <c r="E296" i="1"/>
  <c r="F296" i="1" s="1"/>
  <c r="E292" i="1"/>
  <c r="F292" i="1" s="1"/>
  <c r="E288" i="1"/>
  <c r="F288" i="1" s="1"/>
  <c r="E284" i="1"/>
  <c r="F284" i="1" s="1"/>
  <c r="E280" i="1"/>
  <c r="F280" i="1" s="1"/>
  <c r="E276" i="1"/>
  <c r="F276" i="1" s="1"/>
  <c r="E272" i="1"/>
  <c r="F272" i="1" s="1"/>
  <c r="E268" i="1"/>
  <c r="F268" i="1" s="1"/>
  <c r="E264" i="1"/>
  <c r="F264" i="1" s="1"/>
  <c r="E260" i="1"/>
  <c r="F260" i="1" s="1"/>
  <c r="E256" i="1"/>
  <c r="F256" i="1" s="1"/>
  <c r="E252" i="1"/>
  <c r="F252" i="1" s="1"/>
  <c r="E248" i="1"/>
  <c r="F248" i="1" s="1"/>
  <c r="E244" i="1"/>
  <c r="F244" i="1" s="1"/>
  <c r="E240" i="1"/>
  <c r="F240" i="1" s="1"/>
  <c r="E236" i="1"/>
  <c r="F236" i="1" s="1"/>
  <c r="E232" i="1"/>
  <c r="F232" i="1" s="1"/>
  <c r="E228" i="1"/>
  <c r="F228" i="1" s="1"/>
  <c r="E224" i="1"/>
  <c r="F224" i="1" s="1"/>
  <c r="E220" i="1"/>
  <c r="F220" i="1" s="1"/>
  <c r="E216" i="1"/>
  <c r="F216" i="1" s="1"/>
  <c r="E212" i="1"/>
  <c r="F212" i="1" s="1"/>
  <c r="E208" i="1"/>
  <c r="F208" i="1" s="1"/>
  <c r="E204" i="1"/>
  <c r="F204" i="1" s="1"/>
  <c r="E200" i="1"/>
  <c r="F200" i="1" s="1"/>
  <c r="E196" i="1"/>
  <c r="F196" i="1" s="1"/>
  <c r="E192" i="1"/>
  <c r="F192" i="1" s="1"/>
  <c r="E188" i="1"/>
  <c r="F188" i="1" s="1"/>
  <c r="E184" i="1"/>
  <c r="F184" i="1" s="1"/>
  <c r="E180" i="1"/>
  <c r="F180" i="1" s="1"/>
  <c r="E176" i="1"/>
  <c r="F176" i="1" s="1"/>
  <c r="E172" i="1"/>
  <c r="F172" i="1" s="1"/>
  <c r="E168" i="1"/>
  <c r="F168" i="1" s="1"/>
  <c r="E164" i="1"/>
  <c r="F164" i="1" s="1"/>
  <c r="E160" i="1"/>
  <c r="F160" i="1" s="1"/>
  <c r="E156" i="1"/>
  <c r="F156" i="1" s="1"/>
  <c r="E152" i="1"/>
  <c r="F152" i="1" s="1"/>
  <c r="E148" i="1"/>
  <c r="F148" i="1" s="1"/>
  <c r="E488" i="1"/>
  <c r="F488" i="1" s="1"/>
  <c r="E482" i="1"/>
  <c r="F482" i="1" s="1"/>
  <c r="E478" i="1"/>
  <c r="F478" i="1" s="1"/>
  <c r="E474" i="1"/>
  <c r="F474" i="1" s="1"/>
  <c r="E470" i="1"/>
  <c r="F470" i="1" s="1"/>
  <c r="E466" i="1"/>
  <c r="F466" i="1" s="1"/>
  <c r="E462" i="1"/>
  <c r="F462" i="1" s="1"/>
  <c r="E458" i="1"/>
  <c r="F458" i="1" s="1"/>
  <c r="E454" i="1"/>
  <c r="F454" i="1" s="1"/>
  <c r="E450" i="1"/>
  <c r="F450" i="1" s="1"/>
  <c r="E446" i="1"/>
  <c r="F446" i="1" s="1"/>
  <c r="E442" i="1"/>
  <c r="F442" i="1" s="1"/>
  <c r="E438" i="1"/>
  <c r="F438" i="1" s="1"/>
  <c r="E434" i="1"/>
  <c r="F434" i="1" s="1"/>
  <c r="E430" i="1"/>
  <c r="F430" i="1" s="1"/>
  <c r="E426" i="1"/>
  <c r="F426" i="1" s="1"/>
  <c r="E422" i="1"/>
  <c r="F422" i="1" s="1"/>
  <c r="E418" i="1"/>
  <c r="F418" i="1" s="1"/>
  <c r="E414" i="1"/>
  <c r="F414" i="1" s="1"/>
  <c r="E410" i="1"/>
  <c r="F410" i="1" s="1"/>
  <c r="E406" i="1"/>
  <c r="F406" i="1" s="1"/>
  <c r="E402" i="1"/>
  <c r="F402" i="1" s="1"/>
  <c r="E398" i="1"/>
  <c r="F398" i="1" s="1"/>
  <c r="E394" i="1"/>
  <c r="F394" i="1" s="1"/>
  <c r="E390" i="1"/>
  <c r="F390" i="1" s="1"/>
  <c r="E386" i="1"/>
  <c r="F386" i="1" s="1"/>
  <c r="E382" i="1"/>
  <c r="F382" i="1" s="1"/>
  <c r="E378" i="1"/>
  <c r="F378" i="1" s="1"/>
  <c r="E374" i="1"/>
  <c r="F374" i="1" s="1"/>
  <c r="E370" i="1"/>
  <c r="F370" i="1" s="1"/>
  <c r="E366" i="1"/>
  <c r="F366" i="1" s="1"/>
  <c r="E362" i="1"/>
  <c r="F362" i="1" s="1"/>
  <c r="E358" i="1"/>
  <c r="F358" i="1" s="1"/>
  <c r="E354" i="1"/>
  <c r="F354" i="1" s="1"/>
  <c r="E350" i="1"/>
  <c r="F350" i="1" s="1"/>
  <c r="E346" i="1"/>
  <c r="F346" i="1" s="1"/>
  <c r="E342" i="1"/>
  <c r="F342" i="1" s="1"/>
  <c r="E338" i="1"/>
  <c r="F338" i="1" s="1"/>
  <c r="E334" i="1"/>
  <c r="F334" i="1" s="1"/>
  <c r="E330" i="1"/>
  <c r="F330" i="1" s="1"/>
  <c r="E326" i="1"/>
  <c r="F326" i="1" s="1"/>
  <c r="E322" i="1"/>
  <c r="F322" i="1" s="1"/>
  <c r="E318" i="1"/>
  <c r="F318" i="1" s="1"/>
  <c r="E314" i="1"/>
  <c r="F314" i="1" s="1"/>
  <c r="E310" i="1"/>
  <c r="F310" i="1" s="1"/>
  <c r="E306" i="1"/>
  <c r="F306" i="1" s="1"/>
  <c r="E302" i="1"/>
  <c r="F302" i="1" s="1"/>
  <c r="E298" i="1"/>
  <c r="F298" i="1" s="1"/>
  <c r="E294" i="1"/>
  <c r="F294" i="1" s="1"/>
  <c r="E290" i="1"/>
  <c r="F290" i="1" s="1"/>
  <c r="E286" i="1"/>
  <c r="F286" i="1" s="1"/>
  <c r="E282" i="1"/>
  <c r="F282" i="1" s="1"/>
  <c r="E278" i="1"/>
  <c r="F278" i="1" s="1"/>
  <c r="E274" i="1"/>
  <c r="F274" i="1" s="1"/>
  <c r="E270" i="1"/>
  <c r="F270" i="1" s="1"/>
  <c r="E266" i="1"/>
  <c r="F266" i="1" s="1"/>
  <c r="E262" i="1"/>
  <c r="F262" i="1" s="1"/>
  <c r="E258" i="1"/>
  <c r="F258" i="1" s="1"/>
  <c r="E254" i="1"/>
  <c r="F254" i="1" s="1"/>
  <c r="E250" i="1"/>
  <c r="F250" i="1" s="1"/>
  <c r="E246" i="1"/>
  <c r="F246" i="1" s="1"/>
  <c r="E242" i="1"/>
  <c r="F242" i="1" s="1"/>
  <c r="E238" i="1"/>
  <c r="F238" i="1" s="1"/>
  <c r="E234" i="1"/>
  <c r="F234" i="1" s="1"/>
  <c r="E230" i="1"/>
  <c r="F230" i="1" s="1"/>
  <c r="E226" i="1"/>
  <c r="F226" i="1" s="1"/>
  <c r="E222" i="1"/>
  <c r="F222" i="1" s="1"/>
  <c r="E218" i="1"/>
  <c r="F218" i="1" s="1"/>
  <c r="E214" i="1"/>
  <c r="F214" i="1" s="1"/>
  <c r="E210" i="1"/>
  <c r="F210" i="1" s="1"/>
  <c r="E206" i="1"/>
  <c r="F206" i="1" s="1"/>
  <c r="E202" i="1"/>
  <c r="F202" i="1" s="1"/>
  <c r="E198" i="1"/>
  <c r="F198" i="1" s="1"/>
  <c r="E194" i="1"/>
  <c r="F194" i="1" s="1"/>
  <c r="E190" i="1"/>
  <c r="F190" i="1" s="1"/>
  <c r="E186" i="1"/>
  <c r="F186" i="1" s="1"/>
  <c r="E182" i="1"/>
  <c r="F182" i="1" s="1"/>
  <c r="E178" i="1"/>
  <c r="F178" i="1" s="1"/>
  <c r="E174" i="1"/>
  <c r="F174" i="1" s="1"/>
  <c r="E170" i="1"/>
  <c r="F170" i="1" s="1"/>
  <c r="E166" i="1"/>
  <c r="F166" i="1" s="1"/>
  <c r="E162" i="1"/>
  <c r="F162" i="1" s="1"/>
  <c r="E158" i="1"/>
  <c r="F158" i="1" s="1"/>
  <c r="E154" i="1"/>
  <c r="F154" i="1" s="1"/>
  <c r="E150" i="1"/>
  <c r="F150" i="1" s="1"/>
  <c r="E146" i="1"/>
  <c r="F146" i="1" s="1"/>
  <c r="E142" i="1"/>
  <c r="F142" i="1" s="1"/>
  <c r="E138" i="1"/>
  <c r="F138" i="1" s="1"/>
  <c r="E134" i="1"/>
  <c r="F134" i="1" s="1"/>
  <c r="E140" i="1"/>
  <c r="F140" i="1" s="1"/>
  <c r="E132" i="1"/>
  <c r="F132" i="1" s="1"/>
  <c r="E128" i="1"/>
  <c r="F128" i="1" s="1"/>
  <c r="E124" i="1"/>
  <c r="F124" i="1" s="1"/>
  <c r="E120" i="1"/>
  <c r="F120" i="1" s="1"/>
  <c r="E116" i="1"/>
  <c r="F116" i="1" s="1"/>
  <c r="E112" i="1"/>
  <c r="F112" i="1" s="1"/>
  <c r="E108" i="1"/>
  <c r="F108" i="1" s="1"/>
  <c r="E104" i="1"/>
  <c r="F104" i="1" s="1"/>
  <c r="E100" i="1"/>
  <c r="F100" i="1" s="1"/>
  <c r="E96" i="1"/>
  <c r="F96" i="1" s="1"/>
  <c r="E92" i="1"/>
  <c r="F92" i="1" s="1"/>
  <c r="E88" i="1"/>
  <c r="F88" i="1" s="1"/>
  <c r="E84" i="1"/>
  <c r="F84" i="1" s="1"/>
  <c r="E80" i="1"/>
  <c r="F80" i="1" s="1"/>
  <c r="E76" i="1"/>
  <c r="F76" i="1" s="1"/>
  <c r="E72" i="1"/>
  <c r="F72" i="1" s="1"/>
  <c r="E68" i="1"/>
  <c r="F68" i="1" s="1"/>
  <c r="E64" i="1"/>
  <c r="F64" i="1" s="1"/>
  <c r="E60" i="1"/>
  <c r="F60" i="1" s="1"/>
  <c r="E56" i="1"/>
  <c r="F56" i="1" s="1"/>
  <c r="E52" i="1"/>
  <c r="F52" i="1" s="1"/>
  <c r="E48" i="1"/>
  <c r="F48" i="1" s="1"/>
  <c r="E44" i="1"/>
  <c r="F44" i="1" s="1"/>
  <c r="E40" i="1"/>
  <c r="F40" i="1" s="1"/>
  <c r="E36" i="1"/>
  <c r="F36" i="1" s="1"/>
  <c r="E32" i="1"/>
  <c r="F32" i="1" s="1"/>
  <c r="E28" i="1"/>
  <c r="F28" i="1" s="1"/>
  <c r="E20" i="1"/>
  <c r="F20" i="1" s="1"/>
  <c r="E16" i="1"/>
  <c r="F16" i="1" s="1"/>
  <c r="E8" i="1"/>
  <c r="F8" i="1" s="1"/>
  <c r="E144" i="1"/>
  <c r="F144" i="1" s="1"/>
  <c r="E136" i="1"/>
  <c r="F136" i="1" s="1"/>
  <c r="E130" i="1"/>
  <c r="F130" i="1" s="1"/>
  <c r="E126" i="1"/>
  <c r="F126" i="1" s="1"/>
  <c r="E122" i="1"/>
  <c r="F122" i="1" s="1"/>
  <c r="E118" i="1"/>
  <c r="F118" i="1" s="1"/>
  <c r="E114" i="1"/>
  <c r="F114" i="1" s="1"/>
  <c r="E110" i="1"/>
  <c r="F110" i="1" s="1"/>
  <c r="E106" i="1"/>
  <c r="F106" i="1" s="1"/>
  <c r="E102" i="1"/>
  <c r="F102" i="1" s="1"/>
  <c r="E98" i="1"/>
  <c r="F98" i="1" s="1"/>
  <c r="E94" i="1"/>
  <c r="F94" i="1" s="1"/>
  <c r="E90" i="1"/>
  <c r="F90" i="1" s="1"/>
  <c r="E86" i="1"/>
  <c r="F86" i="1" s="1"/>
  <c r="E82" i="1"/>
  <c r="F82" i="1" s="1"/>
  <c r="E78" i="1"/>
  <c r="F78" i="1" s="1"/>
  <c r="E74" i="1"/>
  <c r="F74" i="1" s="1"/>
  <c r="E70" i="1"/>
  <c r="F70" i="1" s="1"/>
  <c r="E66" i="1"/>
  <c r="F66" i="1" s="1"/>
  <c r="E62" i="1"/>
  <c r="F62" i="1" s="1"/>
  <c r="E58" i="1"/>
  <c r="F58" i="1" s="1"/>
  <c r="E54" i="1"/>
  <c r="F54" i="1" s="1"/>
  <c r="E50" i="1"/>
  <c r="F50" i="1" s="1"/>
  <c r="E46" i="1"/>
  <c r="F46" i="1" s="1"/>
  <c r="E42" i="1"/>
  <c r="F42" i="1" s="1"/>
  <c r="E38" i="1"/>
  <c r="F38" i="1" s="1"/>
  <c r="E34" i="1"/>
  <c r="F34" i="1" s="1"/>
  <c r="E30" i="1"/>
  <c r="F30" i="1" s="1"/>
  <c r="E26" i="1"/>
  <c r="F26" i="1" s="1"/>
  <c r="E22" i="1"/>
  <c r="F22" i="1" s="1"/>
  <c r="E18" i="1"/>
  <c r="F18" i="1" s="1"/>
  <c r="E14" i="1"/>
  <c r="F14" i="1" s="1"/>
  <c r="E10" i="1"/>
  <c r="F10" i="1" s="1"/>
  <c r="J1" i="1"/>
  <c r="E24" i="1"/>
  <c r="F24" i="1" s="1"/>
  <c r="E12" i="1"/>
  <c r="F12" i="1" s="1"/>
  <c r="P8" i="1"/>
  <c r="H11" i="2" l="1"/>
  <c r="H12" i="2" s="1"/>
  <c r="I12" i="2" s="1"/>
  <c r="L8" i="2"/>
  <c r="M8" i="2" s="1"/>
  <c r="L9" i="2"/>
  <c r="K10" i="2"/>
  <c r="P14" i="2"/>
  <c r="Q13" i="2"/>
  <c r="F7" i="1"/>
  <c r="H7" i="1" s="1"/>
  <c r="P9" i="1"/>
  <c r="O1153" i="1"/>
  <c r="O1145" i="1"/>
  <c r="O1137" i="1"/>
  <c r="O1129" i="1"/>
  <c r="O1121" i="1"/>
  <c r="O1113" i="1"/>
  <c r="O1105" i="1"/>
  <c r="O1097" i="1"/>
  <c r="O1089" i="1"/>
  <c r="O1081" i="1"/>
  <c r="O1073" i="1"/>
  <c r="O1065" i="1"/>
  <c r="O1057" i="1"/>
  <c r="O1049" i="1"/>
  <c r="O1156" i="1"/>
  <c r="O1148" i="1"/>
  <c r="O1140" i="1"/>
  <c r="O1132" i="1"/>
  <c r="O1124" i="1"/>
  <c r="O1116" i="1"/>
  <c r="O1108" i="1"/>
  <c r="O1100" i="1"/>
  <c r="O1092" i="1"/>
  <c r="O1084" i="1"/>
  <c r="O1076" i="1"/>
  <c r="O1068" i="1"/>
  <c r="O1060" i="1"/>
  <c r="O1052" i="1"/>
  <c r="O1044" i="1"/>
  <c r="O260" i="1"/>
  <c r="O506" i="1"/>
  <c r="O498" i="1"/>
  <c r="O490" i="1"/>
  <c r="O482" i="1"/>
  <c r="O474" i="1"/>
  <c r="O466" i="1"/>
  <c r="O458" i="1"/>
  <c r="O450" i="1"/>
  <c r="O442" i="1"/>
  <c r="O434" i="1"/>
  <c r="O426" i="1"/>
  <c r="O418" i="1"/>
  <c r="O410" i="1"/>
  <c r="O402" i="1"/>
  <c r="O394" i="1"/>
  <c r="O386" i="1"/>
  <c r="O378" i="1"/>
  <c r="O370" i="1"/>
  <c r="O362" i="1"/>
  <c r="O354" i="1"/>
  <c r="O346" i="1"/>
  <c r="O338" i="1"/>
  <c r="O330" i="1"/>
  <c r="O322" i="1"/>
  <c r="O314" i="1"/>
  <c r="O306" i="1"/>
  <c r="O298" i="1"/>
  <c r="O290" i="1"/>
  <c r="O282" i="1"/>
  <c r="O274" i="1"/>
  <c r="O266" i="1"/>
  <c r="O254" i="1"/>
  <c r="O257" i="1"/>
  <c r="O249" i="1"/>
  <c r="O241" i="1"/>
  <c r="O233" i="1"/>
  <c r="O225" i="1"/>
  <c r="O217" i="1"/>
  <c r="O209" i="1"/>
  <c r="O201" i="1"/>
  <c r="O193" i="1"/>
  <c r="O185" i="1"/>
  <c r="O177" i="1"/>
  <c r="O169" i="1"/>
  <c r="O161" i="1"/>
  <c r="O153" i="1"/>
  <c r="O145" i="1"/>
  <c r="O137" i="1"/>
  <c r="O129" i="1"/>
  <c r="O121" i="1"/>
  <c r="O113" i="1"/>
  <c r="O105" i="1"/>
  <c r="O97" i="1"/>
  <c r="O89" i="1"/>
  <c r="O81" i="1"/>
  <c r="O73" i="1"/>
  <c r="O65" i="1"/>
  <c r="O57" i="1"/>
  <c r="O49" i="1"/>
  <c r="O41" i="1"/>
  <c r="O33" i="1"/>
  <c r="O25" i="1"/>
  <c r="O17" i="1"/>
  <c r="O9" i="1"/>
  <c r="O242" i="1"/>
  <c r="O234" i="1"/>
  <c r="O226" i="1"/>
  <c r="O218" i="1"/>
  <c r="O210" i="1"/>
  <c r="O202" i="1"/>
  <c r="O194" i="1"/>
  <c r="O186" i="1"/>
  <c r="O178" i="1"/>
  <c r="O170" i="1"/>
  <c r="O162" i="1"/>
  <c r="O154" i="1"/>
  <c r="O146" i="1"/>
  <c r="O138" i="1"/>
  <c r="O130" i="1"/>
  <c r="O122" i="1"/>
  <c r="O114" i="1"/>
  <c r="O106" i="1"/>
  <c r="O98" i="1"/>
  <c r="O90" i="1"/>
  <c r="O82" i="1"/>
  <c r="O74" i="1"/>
  <c r="O66" i="1"/>
  <c r="O58" i="1"/>
  <c r="O50" i="1"/>
  <c r="O42" i="1"/>
  <c r="O34" i="1"/>
  <c r="O26" i="1"/>
  <c r="O18" i="1"/>
  <c r="O10" i="1"/>
  <c r="O1037" i="1"/>
  <c r="O1029" i="1"/>
  <c r="O1021" i="1"/>
  <c r="O1013" i="1"/>
  <c r="O1005" i="1"/>
  <c r="O997" i="1"/>
  <c r="O989" i="1"/>
  <c r="O981" i="1"/>
  <c r="O973" i="1"/>
  <c r="O965" i="1"/>
  <c r="O957" i="1"/>
  <c r="O949" i="1"/>
  <c r="O941" i="1"/>
  <c r="O933" i="1"/>
  <c r="O925" i="1"/>
  <c r="O917" i="1"/>
  <c r="O909" i="1"/>
  <c r="O901" i="1"/>
  <c r="O893" i="1"/>
  <c r="O885" i="1"/>
  <c r="O877" i="1"/>
  <c r="O869" i="1"/>
  <c r="O861" i="1"/>
  <c r="O853" i="1"/>
  <c r="O845" i="1"/>
  <c r="O837" i="1"/>
  <c r="O829" i="1"/>
  <c r="O821" i="1"/>
  <c r="O813" i="1"/>
  <c r="O805" i="1"/>
  <c r="O797" i="1"/>
  <c r="O789" i="1"/>
  <c r="O781" i="1"/>
  <c r="O773" i="1"/>
  <c r="O765" i="1"/>
  <c r="O757" i="1"/>
  <c r="O749" i="1"/>
  <c r="O741" i="1"/>
  <c r="O733" i="1"/>
  <c r="O725" i="1"/>
  <c r="O717" i="1"/>
  <c r="O709" i="1"/>
  <c r="O701" i="1"/>
  <c r="O693" i="1"/>
  <c r="O685" i="1"/>
  <c r="O677" i="1"/>
  <c r="O669" i="1"/>
  <c r="O661" i="1"/>
  <c r="O653" i="1"/>
  <c r="O645" i="1"/>
  <c r="O637" i="1"/>
  <c r="O629" i="1"/>
  <c r="O621" i="1"/>
  <c r="O613" i="1"/>
  <c r="O605" i="1"/>
  <c r="O597" i="1"/>
  <c r="O589" i="1"/>
  <c r="O581" i="1"/>
  <c r="O573" i="1"/>
  <c r="O565" i="1"/>
  <c r="O556" i="1"/>
  <c r="O540" i="1"/>
  <c r="O524" i="1"/>
  <c r="O1042" i="1"/>
  <c r="O1034" i="1"/>
  <c r="O1026" i="1"/>
  <c r="O1018" i="1"/>
  <c r="O1010" i="1"/>
  <c r="O1002" i="1"/>
  <c r="O994" i="1"/>
  <c r="O986" i="1"/>
  <c r="O978" i="1"/>
  <c r="O970" i="1"/>
  <c r="O962" i="1"/>
  <c r="O954" i="1"/>
  <c r="O946" i="1"/>
  <c r="O938" i="1"/>
  <c r="O930" i="1"/>
  <c r="O922" i="1"/>
  <c r="O914" i="1"/>
  <c r="O906" i="1"/>
  <c r="O898" i="1"/>
  <c r="O890" i="1"/>
  <c r="O882" i="1"/>
  <c r="O874" i="1"/>
  <c r="O866" i="1"/>
  <c r="O858" i="1"/>
  <c r="O850" i="1"/>
  <c r="O842" i="1"/>
  <c r="O834" i="1"/>
  <c r="O826" i="1"/>
  <c r="O818" i="1"/>
  <c r="O810" i="1"/>
  <c r="O802" i="1"/>
  <c r="O794" i="1"/>
  <c r="O786" i="1"/>
  <c r="O778" i="1"/>
  <c r="O770" i="1"/>
  <c r="O762" i="1"/>
  <c r="O754" i="1"/>
  <c r="O746" i="1"/>
  <c r="O738" i="1"/>
  <c r="O730" i="1"/>
  <c r="O722" i="1"/>
  <c r="O714" i="1"/>
  <c r="O706" i="1"/>
  <c r="O698" i="1"/>
  <c r="O690" i="1"/>
  <c r="O682" i="1"/>
  <c r="O674" i="1"/>
  <c r="O666" i="1"/>
  <c r="O658" i="1"/>
  <c r="O650" i="1"/>
  <c r="O642" i="1"/>
  <c r="O634" i="1"/>
  <c r="O626" i="1"/>
  <c r="O618" i="1"/>
  <c r="O610" i="1"/>
  <c r="O602" i="1"/>
  <c r="O594" i="1"/>
  <c r="O586" i="1"/>
  <c r="O578" i="1"/>
  <c r="O570" i="1"/>
  <c r="O562" i="1"/>
  <c r="O1149" i="1"/>
  <c r="O1139" i="1"/>
  <c r="O1127" i="1"/>
  <c r="O1117" i="1"/>
  <c r="O1107" i="1"/>
  <c r="O1095" i="1"/>
  <c r="O1085" i="1"/>
  <c r="O1075" i="1"/>
  <c r="O1063" i="1"/>
  <c r="O1053" i="1"/>
  <c r="O1158" i="1"/>
  <c r="O1146" i="1"/>
  <c r="O1136" i="1"/>
  <c r="O1126" i="1"/>
  <c r="O1114" i="1"/>
  <c r="O1104" i="1"/>
  <c r="O1094" i="1"/>
  <c r="O1082" i="1"/>
  <c r="O1072" i="1"/>
  <c r="O1062" i="1"/>
  <c r="O1050" i="1"/>
  <c r="O1041" i="1"/>
  <c r="O508" i="1"/>
  <c r="O496" i="1"/>
  <c r="O486" i="1"/>
  <c r="O476" i="1"/>
  <c r="O464" i="1"/>
  <c r="O454" i="1"/>
  <c r="O444" i="1"/>
  <c r="O432" i="1"/>
  <c r="O422" i="1"/>
  <c r="O412" i="1"/>
  <c r="O400" i="1"/>
  <c r="O390" i="1"/>
  <c r="O380" i="1"/>
  <c r="O368" i="1"/>
  <c r="O358" i="1"/>
  <c r="O348" i="1"/>
  <c r="O336" i="1"/>
  <c r="O326" i="1"/>
  <c r="O316" i="1"/>
  <c r="O304" i="1"/>
  <c r="O294" i="1"/>
  <c r="O284" i="1"/>
  <c r="O272" i="1"/>
  <c r="O262" i="1"/>
  <c r="O259" i="1"/>
  <c r="O247" i="1"/>
  <c r="O237" i="1"/>
  <c r="O227" i="1"/>
  <c r="O215" i="1"/>
  <c r="O205" i="1"/>
  <c r="O195" i="1"/>
  <c r="O183" i="1"/>
  <c r="O173" i="1"/>
  <c r="O163" i="1"/>
  <c r="O151" i="1"/>
  <c r="O141" i="1"/>
  <c r="O131" i="1"/>
  <c r="O119" i="1"/>
  <c r="O109" i="1"/>
  <c r="O99" i="1"/>
  <c r="O87" i="1"/>
  <c r="O77" i="1"/>
  <c r="O67" i="1"/>
  <c r="O55" i="1"/>
  <c r="O45" i="1"/>
  <c r="O35" i="1"/>
  <c r="O23" i="1"/>
  <c r="O13" i="1"/>
  <c r="O244" i="1"/>
  <c r="O232" i="1"/>
  <c r="O222" i="1"/>
  <c r="O212" i="1"/>
  <c r="O200" i="1"/>
  <c r="O190" i="1"/>
  <c r="O180" i="1"/>
  <c r="O168" i="1"/>
  <c r="O158" i="1"/>
  <c r="O148" i="1"/>
  <c r="O136" i="1"/>
  <c r="O126" i="1"/>
  <c r="O116" i="1"/>
  <c r="O104" i="1"/>
  <c r="O94" i="1"/>
  <c r="O84" i="1"/>
  <c r="O72" i="1"/>
  <c r="O62" i="1"/>
  <c r="O52" i="1"/>
  <c r="O40" i="1"/>
  <c r="O30" i="1"/>
  <c r="O20" i="1"/>
  <c r="O8" i="1"/>
  <c r="O1033" i="1"/>
  <c r="O1023" i="1"/>
  <c r="O1011" i="1"/>
  <c r="O1001" i="1"/>
  <c r="O991" i="1"/>
  <c r="O979" i="1"/>
  <c r="O969" i="1"/>
  <c r="O959" i="1"/>
  <c r="O947" i="1"/>
  <c r="O937" i="1"/>
  <c r="O927" i="1"/>
  <c r="O915" i="1"/>
  <c r="O905" i="1"/>
  <c r="O895" i="1"/>
  <c r="O883" i="1"/>
  <c r="O873" i="1"/>
  <c r="O863" i="1"/>
  <c r="O851" i="1"/>
  <c r="O841" i="1"/>
  <c r="O831" i="1"/>
  <c r="O819" i="1"/>
  <c r="O809" i="1"/>
  <c r="O799" i="1"/>
  <c r="O787" i="1"/>
  <c r="O1157" i="1"/>
  <c r="O1147" i="1"/>
  <c r="O1135" i="1"/>
  <c r="O1125" i="1"/>
  <c r="O1115" i="1"/>
  <c r="O1103" i="1"/>
  <c r="O1143" i="1"/>
  <c r="O1123" i="1"/>
  <c r="O1101" i="1"/>
  <c r="O1087" i="1"/>
  <c r="O1071" i="1"/>
  <c r="O1059" i="1"/>
  <c r="O1045" i="1"/>
  <c r="O1144" i="1"/>
  <c r="O1130" i="1"/>
  <c r="O1118" i="1"/>
  <c r="O1102" i="1"/>
  <c r="O1088" i="1"/>
  <c r="O1074" i="1"/>
  <c r="O1058" i="1"/>
  <c r="O1046" i="1"/>
  <c r="O252" i="1"/>
  <c r="O494" i="1"/>
  <c r="O480" i="1"/>
  <c r="O468" i="1"/>
  <c r="O452" i="1"/>
  <c r="O438" i="1"/>
  <c r="O424" i="1"/>
  <c r="O408" i="1"/>
  <c r="O396" i="1"/>
  <c r="O382" i="1"/>
  <c r="O366" i="1"/>
  <c r="O352" i="1"/>
  <c r="O340" i="1"/>
  <c r="O324" i="1"/>
  <c r="O310" i="1"/>
  <c r="O296" i="1"/>
  <c r="O280" i="1"/>
  <c r="O268" i="1"/>
  <c r="O261" i="1"/>
  <c r="O245" i="1"/>
  <c r="O231" i="1"/>
  <c r="O219" i="1"/>
  <c r="O203" i="1"/>
  <c r="O189" i="1"/>
  <c r="O175" i="1"/>
  <c r="O159" i="1"/>
  <c r="O147" i="1"/>
  <c r="O133" i="1"/>
  <c r="O117" i="1"/>
  <c r="O103" i="1"/>
  <c r="O91" i="1"/>
  <c r="O75" i="1"/>
  <c r="O61" i="1"/>
  <c r="O47" i="1"/>
  <c r="O31" i="1"/>
  <c r="O19" i="1"/>
  <c r="O246" i="1"/>
  <c r="O230" i="1"/>
  <c r="O216" i="1"/>
  <c r="O204" i="1"/>
  <c r="O188" i="1"/>
  <c r="O174" i="1"/>
  <c r="O160" i="1"/>
  <c r="O144" i="1"/>
  <c r="O132" i="1"/>
  <c r="O118" i="1"/>
  <c r="O102" i="1"/>
  <c r="O88" i="1"/>
  <c r="O76" i="1"/>
  <c r="O60" i="1"/>
  <c r="O46" i="1"/>
  <c r="O32" i="1"/>
  <c r="O16" i="1"/>
  <c r="O1039" i="1"/>
  <c r="O1025" i="1"/>
  <c r="O1009" i="1"/>
  <c r="O995" i="1"/>
  <c r="O983" i="1"/>
  <c r="O967" i="1"/>
  <c r="O953" i="1"/>
  <c r="O939" i="1"/>
  <c r="O923" i="1"/>
  <c r="O911" i="1"/>
  <c r="O897" i="1"/>
  <c r="O881" i="1"/>
  <c r="O867" i="1"/>
  <c r="O855" i="1"/>
  <c r="O839" i="1"/>
  <c r="O825" i="1"/>
  <c r="O811" i="1"/>
  <c r="O795" i="1"/>
  <c r="O783" i="1"/>
  <c r="O771" i="1"/>
  <c r="O761" i="1"/>
  <c r="O751" i="1"/>
  <c r="O739" i="1"/>
  <c r="O729" i="1"/>
  <c r="O719" i="1"/>
  <c r="O707" i="1"/>
  <c r="O697" i="1"/>
  <c r="O687" i="1"/>
  <c r="O675" i="1"/>
  <c r="O665" i="1"/>
  <c r="O655" i="1"/>
  <c r="O643" i="1"/>
  <c r="O633" i="1"/>
  <c r="O623" i="1"/>
  <c r="O611" i="1"/>
  <c r="O601" i="1"/>
  <c r="O591" i="1"/>
  <c r="O579" i="1"/>
  <c r="O569" i="1"/>
  <c r="O559" i="1"/>
  <c r="O536" i="1"/>
  <c r="O516" i="1"/>
  <c r="O1036" i="1"/>
  <c r="O1024" i="1"/>
  <c r="O1014" i="1"/>
  <c r="O1004" i="1"/>
  <c r="O992" i="1"/>
  <c r="O982" i="1"/>
  <c r="O972" i="1"/>
  <c r="O960" i="1"/>
  <c r="O950" i="1"/>
  <c r="O940" i="1"/>
  <c r="O928" i="1"/>
  <c r="O918" i="1"/>
  <c r="O908" i="1"/>
  <c r="O896" i="1"/>
  <c r="O886" i="1"/>
  <c r="O876" i="1"/>
  <c r="O864" i="1"/>
  <c r="O854" i="1"/>
  <c r="O844" i="1"/>
  <c r="O832" i="1"/>
  <c r="O822" i="1"/>
  <c r="O812" i="1"/>
  <c r="O800" i="1"/>
  <c r="O790" i="1"/>
  <c r="O780" i="1"/>
  <c r="O768" i="1"/>
  <c r="O758" i="1"/>
  <c r="O748" i="1"/>
  <c r="O736" i="1"/>
  <c r="O726" i="1"/>
  <c r="O716" i="1"/>
  <c r="O704" i="1"/>
  <c r="O694" i="1"/>
  <c r="O684" i="1"/>
  <c r="O672" i="1"/>
  <c r="O662" i="1"/>
  <c r="O652" i="1"/>
  <c r="O640" i="1"/>
  <c r="O630" i="1"/>
  <c r="O620" i="1"/>
  <c r="O608" i="1"/>
  <c r="O598" i="1"/>
  <c r="O588" i="1"/>
  <c r="O576" i="1"/>
  <c r="O566" i="1"/>
  <c r="O554" i="1"/>
  <c r="O538" i="1"/>
  <c r="O522" i="1"/>
  <c r="O557" i="1"/>
  <c r="O549" i="1"/>
  <c r="O541" i="1"/>
  <c r="O533" i="1"/>
  <c r="O525" i="1"/>
  <c r="O517" i="1"/>
  <c r="O509" i="1"/>
  <c r="O501" i="1"/>
  <c r="O493" i="1"/>
  <c r="O485" i="1"/>
  <c r="O477" i="1"/>
  <c r="O469" i="1"/>
  <c r="O461" i="1"/>
  <c r="O453" i="1"/>
  <c r="O445" i="1"/>
  <c r="O437" i="1"/>
  <c r="O429" i="1"/>
  <c r="O421" i="1"/>
  <c r="O413" i="1"/>
  <c r="O405" i="1"/>
  <c r="O397" i="1"/>
  <c r="O389" i="1"/>
  <c r="O381" i="1"/>
  <c r="O373" i="1"/>
  <c r="O365" i="1"/>
  <c r="O357" i="1"/>
  <c r="O349" i="1"/>
  <c r="O341" i="1"/>
  <c r="O333" i="1"/>
  <c r="O325" i="1"/>
  <c r="O317" i="1"/>
  <c r="O309" i="1"/>
  <c r="O301" i="1"/>
  <c r="O293" i="1"/>
  <c r="O285" i="1"/>
  <c r="O277" i="1"/>
  <c r="O269" i="1"/>
  <c r="O1131" i="1"/>
  <c r="O1109" i="1"/>
  <c r="O1061" i="1"/>
  <c r="O1134" i="1"/>
  <c r="O1090" i="1"/>
  <c r="O1064" i="1"/>
  <c r="O500" i="1"/>
  <c r="O456" i="1"/>
  <c r="O414" i="1"/>
  <c r="O372" i="1"/>
  <c r="O342" i="1"/>
  <c r="O300" i="1"/>
  <c r="O250" i="1"/>
  <c r="O221" i="1"/>
  <c r="O179" i="1"/>
  <c r="O149" i="1"/>
  <c r="O107" i="1"/>
  <c r="O63" i="1"/>
  <c r="O21" i="1"/>
  <c r="O220" i="1"/>
  <c r="O164" i="1"/>
  <c r="O120" i="1"/>
  <c r="O78" i="1"/>
  <c r="O48" i="1"/>
  <c r="O7" i="1"/>
  <c r="O971" i="1"/>
  <c r="O929" i="1"/>
  <c r="O887" i="1"/>
  <c r="O843" i="1"/>
  <c r="O815" i="1"/>
  <c r="O775" i="1"/>
  <c r="O743" i="1"/>
  <c r="O711" i="1"/>
  <c r="O689" i="1"/>
  <c r="O657" i="1"/>
  <c r="O625" i="1"/>
  <c r="O593" i="1"/>
  <c r="O561" i="1"/>
  <c r="O1038" i="1"/>
  <c r="O1006" i="1"/>
  <c r="O974" i="1"/>
  <c r="O942" i="1"/>
  <c r="O910" i="1"/>
  <c r="O868" i="1"/>
  <c r="O836" i="1"/>
  <c r="O804" i="1"/>
  <c r="O772" i="1"/>
  <c r="O740" i="1"/>
  <c r="O708" i="1"/>
  <c r="O686" i="1"/>
  <c r="O644" i="1"/>
  <c r="O612" i="1"/>
  <c r="O580" i="1"/>
  <c r="O542" i="1"/>
  <c r="O510" i="1"/>
  <c r="O543" i="1"/>
  <c r="O519" i="1"/>
  <c r="O495" i="1"/>
  <c r="O471" i="1"/>
  <c r="O447" i="1"/>
  <c r="O1141" i="1"/>
  <c r="O1119" i="1"/>
  <c r="O1099" i="1"/>
  <c r="O1083" i="1"/>
  <c r="O1069" i="1"/>
  <c r="O1055" i="1"/>
  <c r="O1154" i="1"/>
  <c r="O1142" i="1"/>
  <c r="O1128" i="1"/>
  <c r="O1112" i="1"/>
  <c r="O1098" i="1"/>
  <c r="O1086" i="1"/>
  <c r="O1070" i="1"/>
  <c r="O1056" i="1"/>
  <c r="O1043" i="1"/>
  <c r="O504" i="1"/>
  <c r="O492" i="1"/>
  <c r="O478" i="1"/>
  <c r="O462" i="1"/>
  <c r="O448" i="1"/>
  <c r="O436" i="1"/>
  <c r="O420" i="1"/>
  <c r="O406" i="1"/>
  <c r="O392" i="1"/>
  <c r="O376" i="1"/>
  <c r="O364" i="1"/>
  <c r="O350" i="1"/>
  <c r="O334" i="1"/>
  <c r="O320" i="1"/>
  <c r="O308" i="1"/>
  <c r="O292" i="1"/>
  <c r="O278" i="1"/>
  <c r="O264" i="1"/>
  <c r="O255" i="1"/>
  <c r="O243" i="1"/>
  <c r="O229" i="1"/>
  <c r="O213" i="1"/>
  <c r="O199" i="1"/>
  <c r="O187" i="1"/>
  <c r="O171" i="1"/>
  <c r="O157" i="1"/>
  <c r="O143" i="1"/>
  <c r="O127" i="1"/>
  <c r="O115" i="1"/>
  <c r="O101" i="1"/>
  <c r="O85" i="1"/>
  <c r="O71" i="1"/>
  <c r="O59" i="1"/>
  <c r="O43" i="1"/>
  <c r="O29" i="1"/>
  <c r="O15" i="1"/>
  <c r="O240" i="1"/>
  <c r="O228" i="1"/>
  <c r="O214" i="1"/>
  <c r="O198" i="1"/>
  <c r="O184" i="1"/>
  <c r="O172" i="1"/>
  <c r="O156" i="1"/>
  <c r="O142" i="1"/>
  <c r="O128" i="1"/>
  <c r="O112" i="1"/>
  <c r="O100" i="1"/>
  <c r="O86" i="1"/>
  <c r="O70" i="1"/>
  <c r="O56" i="1"/>
  <c r="O44" i="1"/>
  <c r="O28" i="1"/>
  <c r="O14" i="1"/>
  <c r="O1035" i="1"/>
  <c r="O1019" i="1"/>
  <c r="O1007" i="1"/>
  <c r="O993" i="1"/>
  <c r="O977" i="1"/>
  <c r="O963" i="1"/>
  <c r="O951" i="1"/>
  <c r="O935" i="1"/>
  <c r="O921" i="1"/>
  <c r="O907" i="1"/>
  <c r="O891" i="1"/>
  <c r="O879" i="1"/>
  <c r="O865" i="1"/>
  <c r="O849" i="1"/>
  <c r="O835" i="1"/>
  <c r="O823" i="1"/>
  <c r="O807" i="1"/>
  <c r="O793" i="1"/>
  <c r="O779" i="1"/>
  <c r="O769" i="1"/>
  <c r="O759" i="1"/>
  <c r="O747" i="1"/>
  <c r="O737" i="1"/>
  <c r="O727" i="1"/>
  <c r="O715" i="1"/>
  <c r="O705" i="1"/>
  <c r="O695" i="1"/>
  <c r="O683" i="1"/>
  <c r="O673" i="1"/>
  <c r="O663" i="1"/>
  <c r="O651" i="1"/>
  <c r="O641" i="1"/>
  <c r="O631" i="1"/>
  <c r="O619" i="1"/>
  <c r="O609" i="1"/>
  <c r="O599" i="1"/>
  <c r="O587" i="1"/>
  <c r="O577" i="1"/>
  <c r="O567" i="1"/>
  <c r="O552" i="1"/>
  <c r="O532" i="1"/>
  <c r="O512" i="1"/>
  <c r="O1032" i="1"/>
  <c r="O1022" i="1"/>
  <c r="O1012" i="1"/>
  <c r="O1000" i="1"/>
  <c r="O990" i="1"/>
  <c r="O980" i="1"/>
  <c r="O968" i="1"/>
  <c r="O958" i="1"/>
  <c r="O948" i="1"/>
  <c r="O936" i="1"/>
  <c r="O926" i="1"/>
  <c r="O916" i="1"/>
  <c r="O904" i="1"/>
  <c r="O894" i="1"/>
  <c r="O884" i="1"/>
  <c r="O872" i="1"/>
  <c r="O862" i="1"/>
  <c r="O852" i="1"/>
  <c r="O840" i="1"/>
  <c r="O830" i="1"/>
  <c r="O820" i="1"/>
  <c r="O808" i="1"/>
  <c r="O798" i="1"/>
  <c r="O788" i="1"/>
  <c r="O776" i="1"/>
  <c r="O766" i="1"/>
  <c r="O756" i="1"/>
  <c r="O744" i="1"/>
  <c r="O734" i="1"/>
  <c r="O724" i="1"/>
  <c r="O712" i="1"/>
  <c r="O702" i="1"/>
  <c r="O692" i="1"/>
  <c r="O680" i="1"/>
  <c r="O670" i="1"/>
  <c r="O660" i="1"/>
  <c r="O648" i="1"/>
  <c r="O638" i="1"/>
  <c r="O628" i="1"/>
  <c r="O616" i="1"/>
  <c r="O606" i="1"/>
  <c r="O596" i="1"/>
  <c r="O584" i="1"/>
  <c r="O574" i="1"/>
  <c r="O564" i="1"/>
  <c r="O550" i="1"/>
  <c r="O534" i="1"/>
  <c r="O518" i="1"/>
  <c r="O555" i="1"/>
  <c r="O547" i="1"/>
  <c r="O539" i="1"/>
  <c r="O531" i="1"/>
  <c r="O523" i="1"/>
  <c r="O515" i="1"/>
  <c r="O507" i="1"/>
  <c r="O499" i="1"/>
  <c r="O491" i="1"/>
  <c r="O483" i="1"/>
  <c r="O475" i="1"/>
  <c r="O467" i="1"/>
  <c r="O459" i="1"/>
  <c r="O451" i="1"/>
  <c r="O443" i="1"/>
  <c r="O435" i="1"/>
  <c r="O427" i="1"/>
  <c r="O419" i="1"/>
  <c r="O411" i="1"/>
  <c r="O403" i="1"/>
  <c r="O395" i="1"/>
  <c r="O387" i="1"/>
  <c r="O379" i="1"/>
  <c r="O371" i="1"/>
  <c r="O363" i="1"/>
  <c r="O355" i="1"/>
  <c r="O347" i="1"/>
  <c r="O339" i="1"/>
  <c r="O331" i="1"/>
  <c r="O323" i="1"/>
  <c r="O315" i="1"/>
  <c r="O307" i="1"/>
  <c r="O299" i="1"/>
  <c r="O291" i="1"/>
  <c r="O283" i="1"/>
  <c r="O275" i="1"/>
  <c r="O267" i="1"/>
  <c r="O1077" i="1"/>
  <c r="O1150" i="1"/>
  <c r="O1106" i="1"/>
  <c r="O1048" i="1"/>
  <c r="O484" i="1"/>
  <c r="O440" i="1"/>
  <c r="O398" i="1"/>
  <c r="O356" i="1"/>
  <c r="O312" i="1"/>
  <c r="O270" i="1"/>
  <c r="O235" i="1"/>
  <c r="O191" i="1"/>
  <c r="O135" i="1"/>
  <c r="O79" i="1"/>
  <c r="O37" i="1"/>
  <c r="O236" i="1"/>
  <c r="O206" i="1"/>
  <c r="O176" i="1"/>
  <c r="O134" i="1"/>
  <c r="O92" i="1"/>
  <c r="O36" i="1"/>
  <c r="O1027" i="1"/>
  <c r="O999" i="1"/>
  <c r="O955" i="1"/>
  <c r="O913" i="1"/>
  <c r="O871" i="1"/>
  <c r="O827" i="1"/>
  <c r="O785" i="1"/>
  <c r="O753" i="1"/>
  <c r="O721" i="1"/>
  <c r="O679" i="1"/>
  <c r="O647" i="1"/>
  <c r="O615" i="1"/>
  <c r="O583" i="1"/>
  <c r="O544" i="1"/>
  <c r="O1028" i="1"/>
  <c r="O984" i="1"/>
  <c r="O952" i="1"/>
  <c r="O920" i="1"/>
  <c r="O888" i="1"/>
  <c r="O878" i="1"/>
  <c r="O846" i="1"/>
  <c r="O814" i="1"/>
  <c r="O782" i="1"/>
  <c r="O750" i="1"/>
  <c r="O718" i="1"/>
  <c r="O676" i="1"/>
  <c r="O654" i="1"/>
  <c r="O622" i="1"/>
  <c r="O590" i="1"/>
  <c r="O558" i="1"/>
  <c r="O551" i="1"/>
  <c r="O527" i="1"/>
  <c r="O503" i="1"/>
  <c r="O487" i="1"/>
  <c r="O463" i="1"/>
  <c r="O439" i="1"/>
  <c r="O1155" i="1"/>
  <c r="O1133" i="1"/>
  <c r="O1111" i="1"/>
  <c r="O1093" i="1"/>
  <c r="O1079" i="1"/>
  <c r="O1067" i="1"/>
  <c r="O1051" i="1"/>
  <c r="O1152" i="1"/>
  <c r="O1138" i="1"/>
  <c r="O1122" i="1"/>
  <c r="O1110" i="1"/>
  <c r="O1096" i="1"/>
  <c r="O1080" i="1"/>
  <c r="O1066" i="1"/>
  <c r="O1054" i="1"/>
  <c r="O263" i="1"/>
  <c r="O502" i="1"/>
  <c r="O488" i="1"/>
  <c r="O472" i="1"/>
  <c r="O460" i="1"/>
  <c r="O446" i="1"/>
  <c r="O430" i="1"/>
  <c r="O416" i="1"/>
  <c r="O404" i="1"/>
  <c r="O388" i="1"/>
  <c r="O374" i="1"/>
  <c r="O360" i="1"/>
  <c r="O344" i="1"/>
  <c r="O332" i="1"/>
  <c r="O318" i="1"/>
  <c r="O302" i="1"/>
  <c r="O288" i="1"/>
  <c r="O276" i="1"/>
  <c r="O258" i="1"/>
  <c r="O253" i="1"/>
  <c r="O239" i="1"/>
  <c r="O223" i="1"/>
  <c r="O211" i="1"/>
  <c r="O197" i="1"/>
  <c r="O181" i="1"/>
  <c r="O167" i="1"/>
  <c r="O155" i="1"/>
  <c r="O139" i="1"/>
  <c r="O125" i="1"/>
  <c r="O111" i="1"/>
  <c r="O95" i="1"/>
  <c r="O83" i="1"/>
  <c r="O69" i="1"/>
  <c r="O53" i="1"/>
  <c r="O39" i="1"/>
  <c r="O27" i="1"/>
  <c r="O11" i="1"/>
  <c r="O238" i="1"/>
  <c r="O224" i="1"/>
  <c r="O208" i="1"/>
  <c r="O196" i="1"/>
  <c r="O182" i="1"/>
  <c r="O166" i="1"/>
  <c r="O152" i="1"/>
  <c r="O140" i="1"/>
  <c r="O124" i="1"/>
  <c r="O110" i="1"/>
  <c r="O96" i="1"/>
  <c r="O80" i="1"/>
  <c r="O68" i="1"/>
  <c r="O54" i="1"/>
  <c r="O38" i="1"/>
  <c r="O24" i="1"/>
  <c r="O12" i="1"/>
  <c r="O1031" i="1"/>
  <c r="O1017" i="1"/>
  <c r="O1003" i="1"/>
  <c r="O987" i="1"/>
  <c r="O975" i="1"/>
  <c r="O961" i="1"/>
  <c r="O945" i="1"/>
  <c r="O931" i="1"/>
  <c r="O919" i="1"/>
  <c r="O903" i="1"/>
  <c r="O889" i="1"/>
  <c r="O875" i="1"/>
  <c r="O859" i="1"/>
  <c r="O847" i="1"/>
  <c r="O833" i="1"/>
  <c r="O817" i="1"/>
  <c r="O803" i="1"/>
  <c r="O791" i="1"/>
  <c r="O777" i="1"/>
  <c r="O767" i="1"/>
  <c r="O755" i="1"/>
  <c r="O745" i="1"/>
  <c r="O735" i="1"/>
  <c r="O723" i="1"/>
  <c r="O713" i="1"/>
  <c r="O703" i="1"/>
  <c r="O691" i="1"/>
  <c r="O681" i="1"/>
  <c r="O671" i="1"/>
  <c r="O659" i="1"/>
  <c r="O649" i="1"/>
  <c r="O639" i="1"/>
  <c r="O627" i="1"/>
  <c r="O617" i="1"/>
  <c r="O607" i="1"/>
  <c r="O595" i="1"/>
  <c r="O585" i="1"/>
  <c r="O575" i="1"/>
  <c r="O563" i="1"/>
  <c r="O548" i="1"/>
  <c r="O528" i="1"/>
  <c r="O1040" i="1"/>
  <c r="O1030" i="1"/>
  <c r="O1020" i="1"/>
  <c r="O1008" i="1"/>
  <c r="O998" i="1"/>
  <c r="O988" i="1"/>
  <c r="O976" i="1"/>
  <c r="O966" i="1"/>
  <c r="O956" i="1"/>
  <c r="O944" i="1"/>
  <c r="O934" i="1"/>
  <c r="O924" i="1"/>
  <c r="O912" i="1"/>
  <c r="O902" i="1"/>
  <c r="O892" i="1"/>
  <c r="O880" i="1"/>
  <c r="O870" i="1"/>
  <c r="O860" i="1"/>
  <c r="O848" i="1"/>
  <c r="O838" i="1"/>
  <c r="O828" i="1"/>
  <c r="O816" i="1"/>
  <c r="O806" i="1"/>
  <c r="O796" i="1"/>
  <c r="O784" i="1"/>
  <c r="O774" i="1"/>
  <c r="O764" i="1"/>
  <c r="O752" i="1"/>
  <c r="O742" i="1"/>
  <c r="O732" i="1"/>
  <c r="O720" i="1"/>
  <c r="O710" i="1"/>
  <c r="O700" i="1"/>
  <c r="O688" i="1"/>
  <c r="O678" i="1"/>
  <c r="O668" i="1"/>
  <c r="O656" i="1"/>
  <c r="O646" i="1"/>
  <c r="O636" i="1"/>
  <c r="O624" i="1"/>
  <c r="O614" i="1"/>
  <c r="O604" i="1"/>
  <c r="O592" i="1"/>
  <c r="O582" i="1"/>
  <c r="O572" i="1"/>
  <c r="O560" i="1"/>
  <c r="O546" i="1"/>
  <c r="O530" i="1"/>
  <c r="O514" i="1"/>
  <c r="O553" i="1"/>
  <c r="O545" i="1"/>
  <c r="O537" i="1"/>
  <c r="O529" i="1"/>
  <c r="O521" i="1"/>
  <c r="O513" i="1"/>
  <c r="O505" i="1"/>
  <c r="O497" i="1"/>
  <c r="O489" i="1"/>
  <c r="O481" i="1"/>
  <c r="O473" i="1"/>
  <c r="O465" i="1"/>
  <c r="O457" i="1"/>
  <c r="O449" i="1"/>
  <c r="O441" i="1"/>
  <c r="O433" i="1"/>
  <c r="O425" i="1"/>
  <c r="O417" i="1"/>
  <c r="O409" i="1"/>
  <c r="O401" i="1"/>
  <c r="O393" i="1"/>
  <c r="O385" i="1"/>
  <c r="O377" i="1"/>
  <c r="O369" i="1"/>
  <c r="O361" i="1"/>
  <c r="O353" i="1"/>
  <c r="O345" i="1"/>
  <c r="O337" i="1"/>
  <c r="O329" i="1"/>
  <c r="O321" i="1"/>
  <c r="O313" i="1"/>
  <c r="O305" i="1"/>
  <c r="O297" i="1"/>
  <c r="O289" i="1"/>
  <c r="O281" i="1"/>
  <c r="O273" i="1"/>
  <c r="O265" i="1"/>
  <c r="O1151" i="1"/>
  <c r="O1091" i="1"/>
  <c r="O1047" i="1"/>
  <c r="O1120" i="1"/>
  <c r="O1078" i="1"/>
  <c r="O256" i="1"/>
  <c r="O470" i="1"/>
  <c r="O428" i="1"/>
  <c r="O384" i="1"/>
  <c r="O328" i="1"/>
  <c r="O286" i="1"/>
  <c r="O251" i="1"/>
  <c r="O207" i="1"/>
  <c r="O165" i="1"/>
  <c r="O123" i="1"/>
  <c r="O93" i="1"/>
  <c r="O51" i="1"/>
  <c r="O248" i="1"/>
  <c r="O192" i="1"/>
  <c r="O150" i="1"/>
  <c r="O108" i="1"/>
  <c r="O64" i="1"/>
  <c r="O22" i="1"/>
  <c r="O1015" i="1"/>
  <c r="O985" i="1"/>
  <c r="O943" i="1"/>
  <c r="O899" i="1"/>
  <c r="O857" i="1"/>
  <c r="O801" i="1"/>
  <c r="O763" i="1"/>
  <c r="O731" i="1"/>
  <c r="O699" i="1"/>
  <c r="O667" i="1"/>
  <c r="O635" i="1"/>
  <c r="O603" i="1"/>
  <c r="O571" i="1"/>
  <c r="O520" i="1"/>
  <c r="O1016" i="1"/>
  <c r="O996" i="1"/>
  <c r="O964" i="1"/>
  <c r="O932" i="1"/>
  <c r="O900" i="1"/>
  <c r="O856" i="1"/>
  <c r="O824" i="1"/>
  <c r="O792" i="1"/>
  <c r="O760" i="1"/>
  <c r="O728" i="1"/>
  <c r="O696" i="1"/>
  <c r="O664" i="1"/>
  <c r="O632" i="1"/>
  <c r="O600" i="1"/>
  <c r="O568" i="1"/>
  <c r="O526" i="1"/>
  <c r="O535" i="1"/>
  <c r="O511" i="1"/>
  <c r="O479" i="1"/>
  <c r="O455" i="1"/>
  <c r="O431" i="1"/>
  <c r="O415" i="1"/>
  <c r="O383" i="1"/>
  <c r="O351" i="1"/>
  <c r="O319" i="1"/>
  <c r="O287" i="1"/>
  <c r="O343" i="1"/>
  <c r="O311" i="1"/>
  <c r="O399" i="1"/>
  <c r="O367" i="1"/>
  <c r="O303" i="1"/>
  <c r="O423" i="1"/>
  <c r="O359" i="1"/>
  <c r="O295" i="1"/>
  <c r="O407" i="1"/>
  <c r="O375" i="1"/>
  <c r="O279" i="1"/>
  <c r="O335" i="1"/>
  <c r="O271" i="1"/>
  <c r="O391" i="1"/>
  <c r="O327" i="1"/>
  <c r="I11" i="2" l="1"/>
  <c r="K11" i="2" s="1"/>
  <c r="H13" i="2"/>
  <c r="H14" i="2" s="1"/>
  <c r="I14" i="2" s="1"/>
  <c r="N8" i="2"/>
  <c r="L10" i="2"/>
  <c r="N9" i="2"/>
  <c r="M9" i="2"/>
  <c r="P15" i="2"/>
  <c r="Q14" i="2"/>
  <c r="H8" i="1"/>
  <c r="I8" i="1" s="1"/>
  <c r="I7" i="1"/>
  <c r="K7" i="1" s="1"/>
  <c r="L7" i="1" s="1"/>
  <c r="N7" i="1" s="1"/>
  <c r="Q7" i="1"/>
  <c r="Q8" i="1"/>
  <c r="P10" i="1"/>
  <c r="Q9" i="1"/>
  <c r="I13" i="2" l="1"/>
  <c r="P16" i="2"/>
  <c r="Q15" i="2"/>
  <c r="H15" i="2"/>
  <c r="N10" i="2"/>
  <c r="M10" i="2"/>
  <c r="L11" i="2"/>
  <c r="K12" i="2"/>
  <c r="H9" i="1"/>
  <c r="H10" i="1" s="1"/>
  <c r="K8" i="1"/>
  <c r="P11" i="1"/>
  <c r="Q10" i="1"/>
  <c r="H16" i="2" l="1"/>
  <c r="I16" i="2" s="1"/>
  <c r="I15" i="2"/>
  <c r="K13" i="2"/>
  <c r="L12" i="2"/>
  <c r="N11" i="2"/>
  <c r="M11" i="2"/>
  <c r="Q16" i="2"/>
  <c r="P17" i="2"/>
  <c r="I9" i="1"/>
  <c r="K9" i="1" s="1"/>
  <c r="L9" i="1" s="1"/>
  <c r="N9" i="1" s="1"/>
  <c r="H11" i="1"/>
  <c r="H12" i="1" s="1"/>
  <c r="L8" i="1"/>
  <c r="I10" i="1"/>
  <c r="P12" i="1"/>
  <c r="Q11" i="1"/>
  <c r="P18" i="2" l="1"/>
  <c r="Q17" i="2"/>
  <c r="H17" i="2"/>
  <c r="N12" i="2"/>
  <c r="M12" i="2"/>
  <c r="L13" i="2"/>
  <c r="K14" i="2"/>
  <c r="M9" i="1"/>
  <c r="N8" i="1"/>
  <c r="M8" i="1"/>
  <c r="K10" i="1"/>
  <c r="P13" i="1"/>
  <c r="H13" i="1" s="1"/>
  <c r="H14" i="1" s="1"/>
  <c r="Q12" i="1"/>
  <c r="I11" i="1"/>
  <c r="H18" i="2" l="1"/>
  <c r="I18" i="2" s="1"/>
  <c r="I17" i="2"/>
  <c r="K15" i="2"/>
  <c r="L14" i="2"/>
  <c r="N13" i="2"/>
  <c r="M13" i="2"/>
  <c r="Q18" i="2"/>
  <c r="P19" i="2"/>
  <c r="K11" i="1"/>
  <c r="L11" i="1" s="1"/>
  <c r="L10" i="1"/>
  <c r="I12" i="1"/>
  <c r="P14" i="1"/>
  <c r="Q13" i="1"/>
  <c r="P20" i="2" l="1"/>
  <c r="Q19" i="2"/>
  <c r="H19" i="2"/>
  <c r="N14" i="2"/>
  <c r="M14" i="2"/>
  <c r="L15" i="2"/>
  <c r="K16" i="2"/>
  <c r="N11" i="1"/>
  <c r="M11" i="1"/>
  <c r="M10" i="1"/>
  <c r="N10" i="1"/>
  <c r="K12" i="1"/>
  <c r="P15" i="1"/>
  <c r="H15" i="1" s="1"/>
  <c r="H16" i="1" s="1"/>
  <c r="Q14" i="1"/>
  <c r="I13" i="1"/>
  <c r="H20" i="2" l="1"/>
  <c r="I20" i="2" s="1"/>
  <c r="I19" i="2"/>
  <c r="K17" i="2"/>
  <c r="L16" i="2"/>
  <c r="N15" i="2"/>
  <c r="M15" i="2"/>
  <c r="Q20" i="2"/>
  <c r="P21" i="2"/>
  <c r="K13" i="1"/>
  <c r="L13" i="1" s="1"/>
  <c r="N13" i="1" s="1"/>
  <c r="L12" i="1"/>
  <c r="I14" i="1"/>
  <c r="P16" i="1"/>
  <c r="Q15" i="1"/>
  <c r="P22" i="2" l="1"/>
  <c r="Q21" i="2"/>
  <c r="H21" i="2"/>
  <c r="N16" i="2"/>
  <c r="M16" i="2"/>
  <c r="K18" i="2"/>
  <c r="L17" i="2"/>
  <c r="M13" i="1"/>
  <c r="M12" i="1"/>
  <c r="N12" i="1"/>
  <c r="K14" i="1"/>
  <c r="P17" i="1"/>
  <c r="H17" i="1" s="1"/>
  <c r="H18" i="1" s="1"/>
  <c r="Q16" i="1"/>
  <c r="I15" i="1"/>
  <c r="H22" i="2" l="1"/>
  <c r="I22" i="2" s="1"/>
  <c r="I21" i="2"/>
  <c r="N17" i="2"/>
  <c r="M17" i="2"/>
  <c r="K19" i="2"/>
  <c r="L18" i="2"/>
  <c r="Q22" i="2"/>
  <c r="P23" i="2"/>
  <c r="K15" i="1"/>
  <c r="L15" i="1" s="1"/>
  <c r="L14" i="1"/>
  <c r="I16" i="1"/>
  <c r="P18" i="1"/>
  <c r="Q17" i="1"/>
  <c r="P24" i="2" l="1"/>
  <c r="Q23" i="2"/>
  <c r="H23" i="2"/>
  <c r="M18" i="2"/>
  <c r="N18" i="2"/>
  <c r="K20" i="2"/>
  <c r="L19" i="2"/>
  <c r="N15" i="1"/>
  <c r="M15" i="1"/>
  <c r="M14" i="1"/>
  <c r="N14" i="1"/>
  <c r="K16" i="1"/>
  <c r="P19" i="1"/>
  <c r="H19" i="1" s="1"/>
  <c r="H20" i="1" s="1"/>
  <c r="Q18" i="1"/>
  <c r="I17" i="1"/>
  <c r="H24" i="2" l="1"/>
  <c r="I24" i="2" s="1"/>
  <c r="I23" i="2"/>
  <c r="N19" i="2"/>
  <c r="M19" i="2"/>
  <c r="K21" i="2"/>
  <c r="L20" i="2"/>
  <c r="P25" i="2"/>
  <c r="Q24" i="2"/>
  <c r="K17" i="1"/>
  <c r="L17" i="1" s="1"/>
  <c r="N17" i="1" s="1"/>
  <c r="L16" i="1"/>
  <c r="I18" i="1"/>
  <c r="P20" i="1"/>
  <c r="Q19" i="1"/>
  <c r="P26" i="2" l="1"/>
  <c r="Q25" i="2"/>
  <c r="H25" i="2"/>
  <c r="M20" i="2"/>
  <c r="N20" i="2"/>
  <c r="K22" i="2"/>
  <c r="L21" i="2"/>
  <c r="M17" i="1"/>
  <c r="M16" i="1"/>
  <c r="N16" i="1"/>
  <c r="K18" i="1"/>
  <c r="P21" i="1"/>
  <c r="H21" i="1" s="1"/>
  <c r="H22" i="1" s="1"/>
  <c r="Q20" i="1"/>
  <c r="I19" i="1"/>
  <c r="H26" i="2" l="1"/>
  <c r="I26" i="2" s="1"/>
  <c r="I25" i="2"/>
  <c r="N21" i="2"/>
  <c r="M21" i="2"/>
  <c r="K23" i="2"/>
  <c r="L22" i="2"/>
  <c r="P27" i="2"/>
  <c r="Q26" i="2"/>
  <c r="K19" i="1"/>
  <c r="L19" i="1" s="1"/>
  <c r="N19" i="1" s="1"/>
  <c r="L18" i="1"/>
  <c r="I20" i="1"/>
  <c r="P22" i="1"/>
  <c r="Q21" i="1"/>
  <c r="P28" i="2" l="1"/>
  <c r="Q27" i="2"/>
  <c r="H27" i="2"/>
  <c r="M22" i="2"/>
  <c r="N22" i="2"/>
  <c r="K24" i="2"/>
  <c r="L23" i="2"/>
  <c r="M19" i="1"/>
  <c r="M18" i="1"/>
  <c r="N18" i="1"/>
  <c r="K20" i="1"/>
  <c r="P23" i="1"/>
  <c r="H23" i="1" s="1"/>
  <c r="H24" i="1" s="1"/>
  <c r="Q22" i="1"/>
  <c r="I21" i="1"/>
  <c r="N23" i="2" l="1"/>
  <c r="M23" i="2"/>
  <c r="H28" i="2"/>
  <c r="I28" i="2" s="1"/>
  <c r="I27" i="2"/>
  <c r="K25" i="2"/>
  <c r="L24" i="2"/>
  <c r="Q28" i="2"/>
  <c r="P29" i="2"/>
  <c r="K21" i="1"/>
  <c r="L21" i="1" s="1"/>
  <c r="L20" i="1"/>
  <c r="I22" i="1"/>
  <c r="P24" i="1"/>
  <c r="Q23" i="1"/>
  <c r="P30" i="2" l="1"/>
  <c r="Q29" i="2"/>
  <c r="H29" i="2"/>
  <c r="M24" i="2"/>
  <c r="N24" i="2"/>
  <c r="L25" i="2"/>
  <c r="K26" i="2"/>
  <c r="N21" i="1"/>
  <c r="M21" i="1"/>
  <c r="M20" i="1"/>
  <c r="N20" i="1"/>
  <c r="K22" i="1"/>
  <c r="P25" i="1"/>
  <c r="H25" i="1" s="1"/>
  <c r="H26" i="1" s="1"/>
  <c r="Q24" i="1"/>
  <c r="I23" i="1"/>
  <c r="H30" i="2" l="1"/>
  <c r="I30" i="2" s="1"/>
  <c r="I29" i="2"/>
  <c r="N25" i="2"/>
  <c r="M25" i="2"/>
  <c r="K27" i="2"/>
  <c r="L26" i="2"/>
  <c r="Q30" i="2"/>
  <c r="P31" i="2"/>
  <c r="K23" i="1"/>
  <c r="L23" i="1" s="1"/>
  <c r="N23" i="1" s="1"/>
  <c r="L22" i="1"/>
  <c r="I24" i="1"/>
  <c r="P26" i="1"/>
  <c r="Q25" i="1"/>
  <c r="P32" i="2" l="1"/>
  <c r="Q31" i="2"/>
  <c r="H31" i="2"/>
  <c r="L27" i="2"/>
  <c r="K28" i="2"/>
  <c r="N26" i="2"/>
  <c r="M26" i="2"/>
  <c r="M23" i="1"/>
  <c r="M22" i="1"/>
  <c r="N22" i="1"/>
  <c r="K24" i="1"/>
  <c r="I25" i="1"/>
  <c r="P27" i="1"/>
  <c r="H27" i="1" s="1"/>
  <c r="H28" i="1" s="1"/>
  <c r="Q26" i="1"/>
  <c r="N27" i="2" l="1"/>
  <c r="M27" i="2"/>
  <c r="H32" i="2"/>
  <c r="I32" i="2" s="1"/>
  <c r="I31" i="2"/>
  <c r="K29" i="2"/>
  <c r="L28" i="2"/>
  <c r="P33" i="2"/>
  <c r="Q32" i="2"/>
  <c r="K25" i="1"/>
  <c r="L25" i="1" s="1"/>
  <c r="L24" i="1"/>
  <c r="P28" i="1"/>
  <c r="Q27" i="1"/>
  <c r="I26" i="1"/>
  <c r="P34" i="2" l="1"/>
  <c r="Q33" i="2"/>
  <c r="H33" i="2"/>
  <c r="N28" i="2"/>
  <c r="M28" i="2"/>
  <c r="K30" i="2"/>
  <c r="L29" i="2"/>
  <c r="M25" i="1"/>
  <c r="N25" i="1"/>
  <c r="N24" i="1"/>
  <c r="M24" i="1"/>
  <c r="K26" i="1"/>
  <c r="I27" i="1"/>
  <c r="P29" i="1"/>
  <c r="H29" i="1" s="1"/>
  <c r="H30" i="1" s="1"/>
  <c r="Q28" i="1"/>
  <c r="H34" i="2" l="1"/>
  <c r="I34" i="2" s="1"/>
  <c r="I33" i="2"/>
  <c r="N29" i="2"/>
  <c r="M29" i="2"/>
  <c r="K31" i="2"/>
  <c r="L30" i="2"/>
  <c r="P35" i="2"/>
  <c r="Q34" i="2"/>
  <c r="K27" i="1"/>
  <c r="L27" i="1" s="1"/>
  <c r="N27" i="1" s="1"/>
  <c r="L26" i="1"/>
  <c r="P30" i="1"/>
  <c r="Q29" i="1"/>
  <c r="I28" i="1"/>
  <c r="P36" i="2" l="1"/>
  <c r="Q35" i="2"/>
  <c r="H35" i="2"/>
  <c r="M30" i="2"/>
  <c r="N30" i="2"/>
  <c r="K32" i="2"/>
  <c r="L31" i="2"/>
  <c r="M27" i="1"/>
  <c r="N26" i="1"/>
  <c r="M26" i="1"/>
  <c r="K28" i="1"/>
  <c r="I29" i="1"/>
  <c r="P31" i="1"/>
  <c r="H31" i="1" s="1"/>
  <c r="H32" i="1" s="1"/>
  <c r="Q30" i="1"/>
  <c r="H36" i="2" l="1"/>
  <c r="I36" i="2" s="1"/>
  <c r="I35" i="2"/>
  <c r="N31" i="2"/>
  <c r="M31" i="2"/>
  <c r="K33" i="2"/>
  <c r="L32" i="2"/>
  <c r="Q36" i="2"/>
  <c r="P37" i="2"/>
  <c r="K29" i="1"/>
  <c r="L29" i="1" s="1"/>
  <c r="L28" i="1"/>
  <c r="P32" i="1"/>
  <c r="Q31" i="1"/>
  <c r="I30" i="1"/>
  <c r="P38" i="2" l="1"/>
  <c r="Q37" i="2"/>
  <c r="H37" i="2"/>
  <c r="M32" i="2"/>
  <c r="N32" i="2"/>
  <c r="L33" i="2"/>
  <c r="K34" i="2"/>
  <c r="M29" i="1"/>
  <c r="N29" i="1"/>
  <c r="N28" i="1"/>
  <c r="M28" i="1"/>
  <c r="K30" i="1"/>
  <c r="I31" i="1"/>
  <c r="P33" i="1"/>
  <c r="H33" i="1" s="1"/>
  <c r="H34" i="1" s="1"/>
  <c r="Q32" i="1"/>
  <c r="H38" i="2" l="1"/>
  <c r="I38" i="2" s="1"/>
  <c r="I37" i="2"/>
  <c r="N33" i="2"/>
  <c r="M33" i="2"/>
  <c r="K35" i="2"/>
  <c r="L34" i="2"/>
  <c r="Q38" i="2"/>
  <c r="P39" i="2"/>
  <c r="K31" i="1"/>
  <c r="L31" i="1" s="1"/>
  <c r="N31" i="1" s="1"/>
  <c r="L30" i="1"/>
  <c r="P34" i="1"/>
  <c r="Q33" i="1"/>
  <c r="I32" i="1"/>
  <c r="L35" i="2" l="1"/>
  <c r="K36" i="2"/>
  <c r="P40" i="2"/>
  <c r="Q39" i="2"/>
  <c r="H39" i="2"/>
  <c r="N34" i="2"/>
  <c r="M34" i="2"/>
  <c r="M31" i="1"/>
  <c r="M30" i="1"/>
  <c r="N30" i="1"/>
  <c r="K32" i="1"/>
  <c r="P35" i="1"/>
  <c r="H35" i="1" s="1"/>
  <c r="H36" i="1" s="1"/>
  <c r="Q34" i="1"/>
  <c r="I33" i="1"/>
  <c r="P41" i="2" l="1"/>
  <c r="Q40" i="2"/>
  <c r="K37" i="2"/>
  <c r="L36" i="2"/>
  <c r="H40" i="2"/>
  <c r="I40" i="2" s="1"/>
  <c r="I39" i="2"/>
  <c r="N35" i="2"/>
  <c r="M35" i="2"/>
  <c r="K33" i="1"/>
  <c r="L33" i="1" s="1"/>
  <c r="N33" i="1" s="1"/>
  <c r="L32" i="1"/>
  <c r="P36" i="1"/>
  <c r="Q35" i="1"/>
  <c r="I34" i="1"/>
  <c r="K38" i="2" l="1"/>
  <c r="L37" i="2"/>
  <c r="N36" i="2"/>
  <c r="M36" i="2"/>
  <c r="P42" i="2"/>
  <c r="Q41" i="2"/>
  <c r="H41" i="2"/>
  <c r="M33" i="1"/>
  <c r="M32" i="1"/>
  <c r="N32" i="1"/>
  <c r="K34" i="1"/>
  <c r="P37" i="1"/>
  <c r="H37" i="1" s="1"/>
  <c r="H38" i="1" s="1"/>
  <c r="Q36" i="1"/>
  <c r="I35" i="1"/>
  <c r="N37" i="2" l="1"/>
  <c r="M37" i="2"/>
  <c r="H42" i="2"/>
  <c r="I42" i="2" s="1"/>
  <c r="I41" i="2"/>
  <c r="Q42" i="2"/>
  <c r="P43" i="2"/>
  <c r="K39" i="2"/>
  <c r="L38" i="2"/>
  <c r="K35" i="1"/>
  <c r="L35" i="1" s="1"/>
  <c r="L34" i="1"/>
  <c r="P38" i="1"/>
  <c r="Q37" i="1"/>
  <c r="I36" i="1"/>
  <c r="M38" i="2" l="1"/>
  <c r="N38" i="2"/>
  <c r="K40" i="2"/>
  <c r="L39" i="2"/>
  <c r="P44" i="2"/>
  <c r="Q43" i="2"/>
  <c r="H43" i="2"/>
  <c r="M35" i="1"/>
  <c r="N35" i="1"/>
  <c r="M34" i="1"/>
  <c r="N34" i="1"/>
  <c r="K36" i="1"/>
  <c r="P39" i="1"/>
  <c r="H39" i="1" s="1"/>
  <c r="H40" i="1" s="1"/>
  <c r="Q38" i="1"/>
  <c r="I37" i="1"/>
  <c r="K41" i="2" l="1"/>
  <c r="L40" i="2"/>
  <c r="N39" i="2"/>
  <c r="M39" i="2"/>
  <c r="H44" i="2"/>
  <c r="I44" i="2" s="1"/>
  <c r="I43" i="2"/>
  <c r="P45" i="2"/>
  <c r="Q44" i="2"/>
  <c r="K37" i="1"/>
  <c r="L37" i="1" s="1"/>
  <c r="N37" i="1" s="1"/>
  <c r="L36" i="1"/>
  <c r="I38" i="1"/>
  <c r="P40" i="1"/>
  <c r="Q39" i="1"/>
  <c r="P46" i="2" l="1"/>
  <c r="Q45" i="2"/>
  <c r="H45" i="2"/>
  <c r="M40" i="2"/>
  <c r="N40" i="2"/>
  <c r="L41" i="2"/>
  <c r="K42" i="2"/>
  <c r="M37" i="1"/>
  <c r="M36" i="1"/>
  <c r="N36" i="1"/>
  <c r="K38" i="1"/>
  <c r="Q40" i="1"/>
  <c r="P41" i="1"/>
  <c r="H41" i="1" s="1"/>
  <c r="H42" i="1" s="1"/>
  <c r="I39" i="1"/>
  <c r="H46" i="2" l="1"/>
  <c r="I46" i="2" s="1"/>
  <c r="I45" i="2"/>
  <c r="K43" i="2"/>
  <c r="L42" i="2"/>
  <c r="N41" i="2"/>
  <c r="M41" i="2"/>
  <c r="Q46" i="2"/>
  <c r="P47" i="2"/>
  <c r="K39" i="1"/>
  <c r="L39" i="1" s="1"/>
  <c r="L38" i="1"/>
  <c r="I40" i="1"/>
  <c r="P42" i="1"/>
  <c r="Q41" i="1"/>
  <c r="K44" i="2" l="1"/>
  <c r="L43" i="2"/>
  <c r="P48" i="2"/>
  <c r="Q47" i="2"/>
  <c r="H47" i="2"/>
  <c r="N42" i="2"/>
  <c r="M42" i="2"/>
  <c r="N39" i="1"/>
  <c r="M39" i="1"/>
  <c r="M38" i="1"/>
  <c r="N38" i="1"/>
  <c r="K40" i="1"/>
  <c r="P43" i="1"/>
  <c r="H43" i="1" s="1"/>
  <c r="H44" i="1" s="1"/>
  <c r="Q42" i="1"/>
  <c r="I41" i="1"/>
  <c r="P49" i="2" l="1"/>
  <c r="Q48" i="2"/>
  <c r="N43" i="2"/>
  <c r="M43" i="2"/>
  <c r="H48" i="2"/>
  <c r="I48" i="2" s="1"/>
  <c r="I47" i="2"/>
  <c r="K45" i="2"/>
  <c r="L44" i="2"/>
  <c r="K41" i="1"/>
  <c r="L41" i="1" s="1"/>
  <c r="N41" i="1" s="1"/>
  <c r="L40" i="1"/>
  <c r="I42" i="1"/>
  <c r="P44" i="1"/>
  <c r="Q43" i="1"/>
  <c r="M44" i="2" l="1"/>
  <c r="N44" i="2"/>
  <c r="L45" i="2"/>
  <c r="K46" i="2"/>
  <c r="P50" i="2"/>
  <c r="Q49" i="2"/>
  <c r="H49" i="2"/>
  <c r="M41" i="1"/>
  <c r="M40" i="1"/>
  <c r="N40" i="1"/>
  <c r="K42" i="1"/>
  <c r="Q44" i="1"/>
  <c r="P45" i="1"/>
  <c r="H45" i="1" s="1"/>
  <c r="H46" i="1" s="1"/>
  <c r="I43" i="1"/>
  <c r="K47" i="2" l="1"/>
  <c r="L46" i="2"/>
  <c r="H50" i="2"/>
  <c r="I50" i="2" s="1"/>
  <c r="I49" i="2"/>
  <c r="N45" i="2"/>
  <c r="M45" i="2"/>
  <c r="Q50" i="2"/>
  <c r="P51" i="2"/>
  <c r="K43" i="1"/>
  <c r="L43" i="1" s="1"/>
  <c r="N43" i="1" s="1"/>
  <c r="L42" i="1"/>
  <c r="I44" i="1"/>
  <c r="P46" i="1"/>
  <c r="Q45" i="1"/>
  <c r="P52" i="2" l="1"/>
  <c r="Q51" i="2"/>
  <c r="H51" i="2"/>
  <c r="N46" i="2"/>
  <c r="M46" i="2"/>
  <c r="K48" i="2"/>
  <c r="L47" i="2"/>
  <c r="M43" i="1"/>
  <c r="N42" i="1"/>
  <c r="M42" i="1"/>
  <c r="K44" i="1"/>
  <c r="I45" i="1"/>
  <c r="P47" i="1"/>
  <c r="H47" i="1" s="1"/>
  <c r="H48" i="1" s="1"/>
  <c r="Q46" i="1"/>
  <c r="N47" i="2" l="1"/>
  <c r="M47" i="2"/>
  <c r="H52" i="2"/>
  <c r="I52" i="2" s="1"/>
  <c r="I51" i="2"/>
  <c r="K49" i="2"/>
  <c r="L48" i="2"/>
  <c r="P53" i="2"/>
  <c r="Q52" i="2"/>
  <c r="K45" i="1"/>
  <c r="L45" i="1" s="1"/>
  <c r="L44" i="1"/>
  <c r="P48" i="1"/>
  <c r="Q47" i="1"/>
  <c r="I46" i="1"/>
  <c r="M48" i="2" l="1"/>
  <c r="N48" i="2"/>
  <c r="P54" i="2"/>
  <c r="Q53" i="2"/>
  <c r="H53" i="2"/>
  <c r="L49" i="2"/>
  <c r="K50" i="2"/>
  <c r="N45" i="1"/>
  <c r="M45" i="1"/>
  <c r="M44" i="1"/>
  <c r="N44" i="1"/>
  <c r="K46" i="1"/>
  <c r="I47" i="1"/>
  <c r="Q48" i="1"/>
  <c r="P49" i="1"/>
  <c r="H49" i="1" s="1"/>
  <c r="H50" i="1" s="1"/>
  <c r="K51" i="2" l="1"/>
  <c r="L50" i="2"/>
  <c r="Q54" i="2"/>
  <c r="P55" i="2"/>
  <c r="N49" i="2"/>
  <c r="M49" i="2"/>
  <c r="H54" i="2"/>
  <c r="I54" i="2" s="1"/>
  <c r="I53" i="2"/>
  <c r="K47" i="1"/>
  <c r="L47" i="1" s="1"/>
  <c r="N47" i="1" s="1"/>
  <c r="L46" i="1"/>
  <c r="P50" i="1"/>
  <c r="Q49" i="1"/>
  <c r="I48" i="1"/>
  <c r="P56" i="2" l="1"/>
  <c r="Q55" i="2"/>
  <c r="H55" i="2"/>
  <c r="N50" i="2"/>
  <c r="M50" i="2"/>
  <c r="K52" i="2"/>
  <c r="L51" i="2"/>
  <c r="M47" i="1"/>
  <c r="M46" i="1"/>
  <c r="N46" i="1"/>
  <c r="K48" i="1"/>
  <c r="I49" i="1"/>
  <c r="P51" i="1"/>
  <c r="H51" i="1" s="1"/>
  <c r="H52" i="1" s="1"/>
  <c r="Q50" i="1"/>
  <c r="H56" i="2" l="1"/>
  <c r="I56" i="2" s="1"/>
  <c r="I55" i="2"/>
  <c r="N51" i="2"/>
  <c r="M51" i="2"/>
  <c r="K53" i="2"/>
  <c r="L52" i="2"/>
  <c r="P57" i="2"/>
  <c r="Q56" i="2"/>
  <c r="K49" i="1"/>
  <c r="L49" i="1" s="1"/>
  <c r="L48" i="1"/>
  <c r="P52" i="1"/>
  <c r="Q51" i="1"/>
  <c r="I50" i="1"/>
  <c r="P58" i="2" l="1"/>
  <c r="Q57" i="2"/>
  <c r="H57" i="2"/>
  <c r="M52" i="2"/>
  <c r="N52" i="2"/>
  <c r="L53" i="2"/>
  <c r="K54" i="2"/>
  <c r="N49" i="1"/>
  <c r="M49" i="1"/>
  <c r="N48" i="1"/>
  <c r="M48" i="1"/>
  <c r="K50" i="1"/>
  <c r="I51" i="1"/>
  <c r="Q52" i="1"/>
  <c r="P53" i="1"/>
  <c r="H53" i="1" s="1"/>
  <c r="H54" i="1" s="1"/>
  <c r="K55" i="2" l="1"/>
  <c r="L54" i="2"/>
  <c r="H58" i="2"/>
  <c r="I58" i="2" s="1"/>
  <c r="I57" i="2"/>
  <c r="N53" i="2"/>
  <c r="M53" i="2"/>
  <c r="Q58" i="2"/>
  <c r="P59" i="2"/>
  <c r="K51" i="1"/>
  <c r="L51" i="1" s="1"/>
  <c r="N51" i="1" s="1"/>
  <c r="L50" i="1"/>
  <c r="P54" i="1"/>
  <c r="Q53" i="1"/>
  <c r="I52" i="1"/>
  <c r="I53" i="1"/>
  <c r="P60" i="2" l="1"/>
  <c r="Q59" i="2"/>
  <c r="H59" i="2"/>
  <c r="N54" i="2"/>
  <c r="M54" i="2"/>
  <c r="K56" i="2"/>
  <c r="L55" i="2"/>
  <c r="M51" i="1"/>
  <c r="M50" i="1"/>
  <c r="N50" i="1"/>
  <c r="K52" i="1"/>
  <c r="K53" i="1" s="1"/>
  <c r="P55" i="1"/>
  <c r="H55" i="1" s="1"/>
  <c r="H56" i="1" s="1"/>
  <c r="Q54" i="1"/>
  <c r="N55" i="2" l="1"/>
  <c r="M55" i="2"/>
  <c r="H60" i="2"/>
  <c r="I60" i="2" s="1"/>
  <c r="I59" i="2"/>
  <c r="K57" i="2"/>
  <c r="L56" i="2"/>
  <c r="P61" i="2"/>
  <c r="Q60" i="2"/>
  <c r="L53" i="1"/>
  <c r="L52" i="1"/>
  <c r="N53" i="1"/>
  <c r="P56" i="1"/>
  <c r="Q55" i="1"/>
  <c r="I54" i="1"/>
  <c r="P62" i="2" l="1"/>
  <c r="Q61" i="2"/>
  <c r="H61" i="2"/>
  <c r="M56" i="2"/>
  <c r="N56" i="2"/>
  <c r="L57" i="2"/>
  <c r="K58" i="2"/>
  <c r="M53" i="1"/>
  <c r="M52" i="1"/>
  <c r="N52" i="1"/>
  <c r="K54" i="1"/>
  <c r="L54" i="1" s="1"/>
  <c r="I55" i="1"/>
  <c r="Q56" i="1"/>
  <c r="P57" i="1"/>
  <c r="H57" i="1" s="1"/>
  <c r="H58" i="1" s="1"/>
  <c r="K59" i="2" l="1"/>
  <c r="L58" i="2"/>
  <c r="H62" i="2"/>
  <c r="I62" i="2" s="1"/>
  <c r="I61" i="2"/>
  <c r="N57" i="2"/>
  <c r="M57" i="2"/>
  <c r="Q62" i="2"/>
  <c r="P63" i="2"/>
  <c r="N54" i="1"/>
  <c r="M54" i="1"/>
  <c r="K55" i="1"/>
  <c r="L55" i="1" s="1"/>
  <c r="P58" i="1"/>
  <c r="Q57" i="1"/>
  <c r="I56" i="1"/>
  <c r="P64" i="2" l="1"/>
  <c r="Q63" i="2"/>
  <c r="H63" i="2"/>
  <c r="N58" i="2"/>
  <c r="M58" i="2"/>
  <c r="K60" i="2"/>
  <c r="L59" i="2"/>
  <c r="N55" i="1"/>
  <c r="M55" i="1"/>
  <c r="K56" i="1"/>
  <c r="L56" i="1" s="1"/>
  <c r="I57" i="1"/>
  <c r="P59" i="1"/>
  <c r="H59" i="1" s="1"/>
  <c r="H60" i="1" s="1"/>
  <c r="Q58" i="1"/>
  <c r="H64" i="2" l="1"/>
  <c r="I64" i="2" s="1"/>
  <c r="I63" i="2"/>
  <c r="N59" i="2"/>
  <c r="M59" i="2"/>
  <c r="K61" i="2"/>
  <c r="L60" i="2"/>
  <c r="P65" i="2"/>
  <c r="Q64" i="2"/>
  <c r="M56" i="1"/>
  <c r="N56" i="1"/>
  <c r="K57" i="1"/>
  <c r="L57" i="1" s="1"/>
  <c r="P60" i="1"/>
  <c r="Q59" i="1"/>
  <c r="I58" i="1"/>
  <c r="P66" i="2" l="1"/>
  <c r="Q65" i="2"/>
  <c r="H65" i="2"/>
  <c r="M60" i="2"/>
  <c r="N60" i="2"/>
  <c r="L61" i="2"/>
  <c r="K62" i="2"/>
  <c r="N57" i="1"/>
  <c r="M57" i="1"/>
  <c r="K58" i="1"/>
  <c r="L58" i="1" s="1"/>
  <c r="I59" i="1"/>
  <c r="Q60" i="1"/>
  <c r="P61" i="1"/>
  <c r="H61" i="1" s="1"/>
  <c r="H62" i="1" s="1"/>
  <c r="N61" i="2" l="1"/>
  <c r="M61" i="2"/>
  <c r="H66" i="2"/>
  <c r="I66" i="2" s="1"/>
  <c r="I65" i="2"/>
  <c r="K63" i="2"/>
  <c r="L62" i="2"/>
  <c r="Q66" i="2"/>
  <c r="P67" i="2"/>
  <c r="N58" i="1"/>
  <c r="M58" i="1"/>
  <c r="K59" i="1"/>
  <c r="L59" i="1" s="1"/>
  <c r="P62" i="1"/>
  <c r="Q61" i="1"/>
  <c r="I60" i="1"/>
  <c r="P68" i="2" l="1"/>
  <c r="Q67" i="2"/>
  <c r="H67" i="2"/>
  <c r="N62" i="2"/>
  <c r="M62" i="2"/>
  <c r="K64" i="2"/>
  <c r="L63" i="2"/>
  <c r="N59" i="1"/>
  <c r="M59" i="1"/>
  <c r="K60" i="1"/>
  <c r="L60" i="1" s="1"/>
  <c r="I61" i="1"/>
  <c r="P63" i="1"/>
  <c r="H63" i="1" s="1"/>
  <c r="H64" i="1" s="1"/>
  <c r="Q62" i="1"/>
  <c r="N63" i="2" l="1"/>
  <c r="M63" i="2"/>
  <c r="H68" i="2"/>
  <c r="I68" i="2" s="1"/>
  <c r="I67" i="2"/>
  <c r="K65" i="2"/>
  <c r="L64" i="2"/>
  <c r="P69" i="2"/>
  <c r="Q68" i="2"/>
  <c r="M60" i="1"/>
  <c r="N60" i="1"/>
  <c r="K61" i="1"/>
  <c r="L61" i="1" s="1"/>
  <c r="P64" i="1"/>
  <c r="Q63" i="1"/>
  <c r="I62" i="1"/>
  <c r="P70" i="2" l="1"/>
  <c r="Q69" i="2"/>
  <c r="H69" i="2"/>
  <c r="M64" i="2"/>
  <c r="N64" i="2"/>
  <c r="L65" i="2"/>
  <c r="K66" i="2"/>
  <c r="N61" i="1"/>
  <c r="M61" i="1"/>
  <c r="K62" i="1"/>
  <c r="L62" i="1" s="1"/>
  <c r="I63" i="1"/>
  <c r="Q64" i="1"/>
  <c r="P65" i="1"/>
  <c r="H65" i="1" s="1"/>
  <c r="H66" i="1" s="1"/>
  <c r="K67" i="2" l="1"/>
  <c r="L66" i="2"/>
  <c r="H70" i="2"/>
  <c r="I70" i="2" s="1"/>
  <c r="I69" i="2"/>
  <c r="N65" i="2"/>
  <c r="M65" i="2"/>
  <c r="Q70" i="2"/>
  <c r="P71" i="2"/>
  <c r="N62" i="1"/>
  <c r="M62" i="1"/>
  <c r="K63" i="1"/>
  <c r="L63" i="1" s="1"/>
  <c r="P66" i="1"/>
  <c r="Q65" i="1"/>
  <c r="I64" i="1"/>
  <c r="P72" i="2" l="1"/>
  <c r="Q71" i="2"/>
  <c r="H71" i="2"/>
  <c r="N66" i="2"/>
  <c r="M66" i="2"/>
  <c r="K68" i="2"/>
  <c r="L67" i="2"/>
  <c r="N63" i="1"/>
  <c r="M63" i="1"/>
  <c r="K64" i="1"/>
  <c r="L64" i="1" s="1"/>
  <c r="I65" i="1"/>
  <c r="P67" i="1"/>
  <c r="H67" i="1" s="1"/>
  <c r="H68" i="1" s="1"/>
  <c r="Q66" i="1"/>
  <c r="H72" i="2" l="1"/>
  <c r="I72" i="2" s="1"/>
  <c r="I71" i="2"/>
  <c r="N67" i="2"/>
  <c r="M67" i="2"/>
  <c r="K69" i="2"/>
  <c r="L68" i="2"/>
  <c r="P73" i="2"/>
  <c r="Q72" i="2"/>
  <c r="M64" i="1"/>
  <c r="N64" i="1"/>
  <c r="K65" i="1"/>
  <c r="L65" i="1" s="1"/>
  <c r="P68" i="1"/>
  <c r="Q67" i="1"/>
  <c r="I66" i="1"/>
  <c r="L69" i="2" l="1"/>
  <c r="K70" i="2"/>
  <c r="P74" i="2"/>
  <c r="Q73" i="2"/>
  <c r="H73" i="2"/>
  <c r="M68" i="2"/>
  <c r="N68" i="2"/>
  <c r="N65" i="1"/>
  <c r="M65" i="1"/>
  <c r="K66" i="1"/>
  <c r="L66" i="1" s="1"/>
  <c r="I67" i="1"/>
  <c r="Q68" i="1"/>
  <c r="P69" i="1"/>
  <c r="H69" i="1" s="1"/>
  <c r="H70" i="1" s="1"/>
  <c r="Q74" i="2" l="1"/>
  <c r="P75" i="2"/>
  <c r="K71" i="2"/>
  <c r="L70" i="2"/>
  <c r="H74" i="2"/>
  <c r="I74" i="2" s="1"/>
  <c r="I73" i="2"/>
  <c r="N69" i="2"/>
  <c r="M69" i="2"/>
  <c r="N66" i="1"/>
  <c r="M66" i="1"/>
  <c r="K67" i="1"/>
  <c r="L67" i="1" s="1"/>
  <c r="P70" i="1"/>
  <c r="Q69" i="1"/>
  <c r="I68" i="1"/>
  <c r="N70" i="2" l="1"/>
  <c r="M70" i="2"/>
  <c r="K72" i="2"/>
  <c r="L71" i="2"/>
  <c r="P76" i="2"/>
  <c r="Q75" i="2"/>
  <c r="H75" i="2"/>
  <c r="N67" i="1"/>
  <c r="M67" i="1"/>
  <c r="K68" i="1"/>
  <c r="L68" i="1" s="1"/>
  <c r="I69" i="1"/>
  <c r="P71" i="1"/>
  <c r="H71" i="1" s="1"/>
  <c r="H72" i="1" s="1"/>
  <c r="Q70" i="1"/>
  <c r="N71" i="2" l="1"/>
  <c r="M71" i="2"/>
  <c r="H76" i="2"/>
  <c r="I76" i="2" s="1"/>
  <c r="I75" i="2"/>
  <c r="K73" i="2"/>
  <c r="L72" i="2"/>
  <c r="P77" i="2"/>
  <c r="Q76" i="2"/>
  <c r="M68" i="1"/>
  <c r="N68" i="1"/>
  <c r="K69" i="1"/>
  <c r="L69" i="1" s="1"/>
  <c r="P72" i="1"/>
  <c r="Q71" i="1"/>
  <c r="I70" i="1"/>
  <c r="P78" i="2" l="1"/>
  <c r="Q77" i="2"/>
  <c r="H77" i="2"/>
  <c r="M72" i="2"/>
  <c r="N72" i="2"/>
  <c r="L73" i="2"/>
  <c r="K74" i="2"/>
  <c r="N69" i="1"/>
  <c r="M69" i="1"/>
  <c r="K70" i="1"/>
  <c r="L70" i="1" s="1"/>
  <c r="I71" i="1"/>
  <c r="Q72" i="1"/>
  <c r="P73" i="1"/>
  <c r="H73" i="1" s="1"/>
  <c r="H74" i="1" s="1"/>
  <c r="K75" i="2" l="1"/>
  <c r="L74" i="2"/>
  <c r="H78" i="2"/>
  <c r="I78" i="2" s="1"/>
  <c r="I77" i="2"/>
  <c r="N73" i="2"/>
  <c r="M73" i="2"/>
  <c r="Q78" i="2"/>
  <c r="P79" i="2"/>
  <c r="N70" i="1"/>
  <c r="M70" i="1"/>
  <c r="K71" i="1"/>
  <c r="L71" i="1" s="1"/>
  <c r="P74" i="1"/>
  <c r="Q73" i="1"/>
  <c r="I72" i="1"/>
  <c r="P80" i="2" l="1"/>
  <c r="Q79" i="2"/>
  <c r="H79" i="2"/>
  <c r="N74" i="2"/>
  <c r="M74" i="2"/>
  <c r="K76" i="2"/>
  <c r="L75" i="2"/>
  <c r="N71" i="1"/>
  <c r="M71" i="1"/>
  <c r="K72" i="1"/>
  <c r="L72" i="1" s="1"/>
  <c r="I73" i="1"/>
  <c r="P75" i="1"/>
  <c r="H75" i="1" s="1"/>
  <c r="H76" i="1" s="1"/>
  <c r="Q74" i="1"/>
  <c r="N75" i="2" l="1"/>
  <c r="M75" i="2"/>
  <c r="H80" i="2"/>
  <c r="I80" i="2" s="1"/>
  <c r="I79" i="2"/>
  <c r="K77" i="2"/>
  <c r="L76" i="2"/>
  <c r="P81" i="2"/>
  <c r="Q80" i="2"/>
  <c r="M72" i="1"/>
  <c r="N72" i="1"/>
  <c r="K73" i="1"/>
  <c r="L73" i="1" s="1"/>
  <c r="P76" i="1"/>
  <c r="Q75" i="1"/>
  <c r="I74" i="1"/>
  <c r="M76" i="2" l="1"/>
  <c r="N76" i="2"/>
  <c r="P82" i="2"/>
  <c r="Q81" i="2"/>
  <c r="H81" i="2"/>
  <c r="L77" i="2"/>
  <c r="K78" i="2"/>
  <c r="N73" i="1"/>
  <c r="M73" i="1"/>
  <c r="K74" i="1"/>
  <c r="L74" i="1" s="1"/>
  <c r="I75" i="1"/>
  <c r="Q76" i="1"/>
  <c r="P77" i="1"/>
  <c r="H77" i="1" s="1"/>
  <c r="H78" i="1" s="1"/>
  <c r="K79" i="2" l="1"/>
  <c r="L78" i="2"/>
  <c r="Q82" i="2"/>
  <c r="P83" i="2"/>
  <c r="N77" i="2"/>
  <c r="M77" i="2"/>
  <c r="H82" i="2"/>
  <c r="I82" i="2" s="1"/>
  <c r="I81" i="2"/>
  <c r="N74" i="1"/>
  <c r="M74" i="1"/>
  <c r="K75" i="1"/>
  <c r="L75" i="1" s="1"/>
  <c r="P78" i="1"/>
  <c r="Q77" i="1"/>
  <c r="I76" i="1"/>
  <c r="P84" i="2" l="1"/>
  <c r="Q83" i="2"/>
  <c r="H83" i="2"/>
  <c r="N78" i="2"/>
  <c r="M78" i="2"/>
  <c r="K80" i="2"/>
  <c r="L79" i="2"/>
  <c r="N75" i="1"/>
  <c r="M75" i="1"/>
  <c r="K76" i="1"/>
  <c r="L76" i="1" s="1"/>
  <c r="I77" i="1"/>
  <c r="P79" i="1"/>
  <c r="H79" i="1" s="1"/>
  <c r="H80" i="1" s="1"/>
  <c r="Q78" i="1"/>
  <c r="H84" i="2" l="1"/>
  <c r="I84" i="2" s="1"/>
  <c r="I83" i="2"/>
  <c r="N79" i="2"/>
  <c r="M79" i="2"/>
  <c r="K81" i="2"/>
  <c r="L80" i="2"/>
  <c r="P85" i="2"/>
  <c r="Q84" i="2"/>
  <c r="M76" i="1"/>
  <c r="N76" i="1"/>
  <c r="K77" i="1"/>
  <c r="L77" i="1" s="1"/>
  <c r="P80" i="1"/>
  <c r="Q79" i="1"/>
  <c r="I78" i="1"/>
  <c r="P86" i="2" l="1"/>
  <c r="Q85" i="2"/>
  <c r="H85" i="2"/>
  <c r="M80" i="2"/>
  <c r="N80" i="2"/>
  <c r="L81" i="2"/>
  <c r="K82" i="2"/>
  <c r="N77" i="1"/>
  <c r="M77" i="1"/>
  <c r="K78" i="1"/>
  <c r="L78" i="1" s="1"/>
  <c r="I79" i="1"/>
  <c r="Q80" i="1"/>
  <c r="P81" i="1"/>
  <c r="H81" i="1" s="1"/>
  <c r="H82" i="1" s="1"/>
  <c r="K83" i="2" l="1"/>
  <c r="L82" i="2"/>
  <c r="H86" i="2"/>
  <c r="I86" i="2" s="1"/>
  <c r="I85" i="2"/>
  <c r="N81" i="2"/>
  <c r="M81" i="2"/>
  <c r="Q86" i="2"/>
  <c r="P87" i="2"/>
  <c r="N78" i="1"/>
  <c r="M78" i="1"/>
  <c r="K79" i="1"/>
  <c r="L79" i="1" s="1"/>
  <c r="P82" i="1"/>
  <c r="Q81" i="1"/>
  <c r="I80" i="1"/>
  <c r="P88" i="2" l="1"/>
  <c r="Q87" i="2"/>
  <c r="H87" i="2"/>
  <c r="N82" i="2"/>
  <c r="M82" i="2"/>
  <c r="K84" i="2"/>
  <c r="L83" i="2"/>
  <c r="N79" i="1"/>
  <c r="M79" i="1"/>
  <c r="K80" i="1"/>
  <c r="L80" i="1" s="1"/>
  <c r="I81" i="1"/>
  <c r="P83" i="1"/>
  <c r="H83" i="1" s="1"/>
  <c r="H84" i="1" s="1"/>
  <c r="Q82" i="1"/>
  <c r="N83" i="2" l="1"/>
  <c r="M83" i="2"/>
  <c r="H88" i="2"/>
  <c r="I88" i="2" s="1"/>
  <c r="I87" i="2"/>
  <c r="K85" i="2"/>
  <c r="L84" i="2"/>
  <c r="P89" i="2"/>
  <c r="Q88" i="2"/>
  <c r="M80" i="1"/>
  <c r="N80" i="1"/>
  <c r="K81" i="1"/>
  <c r="L81" i="1" s="1"/>
  <c r="P84" i="1"/>
  <c r="Q83" i="1"/>
  <c r="I82" i="1"/>
  <c r="P90" i="2" l="1"/>
  <c r="Q89" i="2"/>
  <c r="H89" i="2"/>
  <c r="M84" i="2"/>
  <c r="N84" i="2"/>
  <c r="L85" i="2"/>
  <c r="K86" i="2"/>
  <c r="N81" i="1"/>
  <c r="M81" i="1"/>
  <c r="K82" i="1"/>
  <c r="L82" i="1" s="1"/>
  <c r="I83" i="1"/>
  <c r="Q84" i="1"/>
  <c r="P85" i="1"/>
  <c r="H85" i="1" s="1"/>
  <c r="H86" i="1" s="1"/>
  <c r="K87" i="2" l="1"/>
  <c r="L86" i="2"/>
  <c r="H90" i="2"/>
  <c r="I90" i="2" s="1"/>
  <c r="I89" i="2"/>
  <c r="N85" i="2"/>
  <c r="M85" i="2"/>
  <c r="Q90" i="2"/>
  <c r="P91" i="2"/>
  <c r="N82" i="1"/>
  <c r="M82" i="1"/>
  <c r="K83" i="1"/>
  <c r="L83" i="1" s="1"/>
  <c r="P86" i="1"/>
  <c r="Q85" i="1"/>
  <c r="I84" i="1"/>
  <c r="P92" i="2" l="1"/>
  <c r="Q91" i="2"/>
  <c r="H91" i="2"/>
  <c r="N86" i="2"/>
  <c r="M86" i="2"/>
  <c r="K88" i="2"/>
  <c r="L87" i="2"/>
  <c r="N83" i="1"/>
  <c r="M83" i="1"/>
  <c r="K84" i="1"/>
  <c r="L84" i="1" s="1"/>
  <c r="I85" i="1"/>
  <c r="P87" i="1"/>
  <c r="H87" i="1" s="1"/>
  <c r="H88" i="1" s="1"/>
  <c r="Q86" i="1"/>
  <c r="N87" i="2" l="1"/>
  <c r="M87" i="2"/>
  <c r="H92" i="2"/>
  <c r="I92" i="2" s="1"/>
  <c r="I91" i="2"/>
  <c r="K89" i="2"/>
  <c r="L88" i="2"/>
  <c r="P93" i="2"/>
  <c r="Q92" i="2"/>
  <c r="M84" i="1"/>
  <c r="N84" i="1"/>
  <c r="K85" i="1"/>
  <c r="L85" i="1" s="1"/>
  <c r="P88" i="1"/>
  <c r="Q87" i="1"/>
  <c r="I86" i="1"/>
  <c r="P94" i="2" l="1"/>
  <c r="Q93" i="2"/>
  <c r="H93" i="2"/>
  <c r="M88" i="2"/>
  <c r="N88" i="2"/>
  <c r="L89" i="2"/>
  <c r="K90" i="2"/>
  <c r="N85" i="1"/>
  <c r="M85" i="1"/>
  <c r="K86" i="1"/>
  <c r="L86" i="1" s="1"/>
  <c r="I87" i="1"/>
  <c r="Q88" i="1"/>
  <c r="P89" i="1"/>
  <c r="H89" i="1" s="1"/>
  <c r="H90" i="1" s="1"/>
  <c r="H94" i="2" l="1"/>
  <c r="I94" i="2" s="1"/>
  <c r="I93" i="2"/>
  <c r="K91" i="2"/>
  <c r="L90" i="2"/>
  <c r="N89" i="2"/>
  <c r="M89" i="2"/>
  <c r="Q94" i="2"/>
  <c r="P95" i="2"/>
  <c r="N86" i="1"/>
  <c r="M86" i="1"/>
  <c r="K87" i="1"/>
  <c r="L87" i="1" s="1"/>
  <c r="P90" i="1"/>
  <c r="Q89" i="1"/>
  <c r="I88" i="1"/>
  <c r="P96" i="2" l="1"/>
  <c r="Q95" i="2"/>
  <c r="H95" i="2"/>
  <c r="N90" i="2"/>
  <c r="M90" i="2"/>
  <c r="K92" i="2"/>
  <c r="L91" i="2"/>
  <c r="N87" i="1"/>
  <c r="M87" i="1"/>
  <c r="K88" i="1"/>
  <c r="L88" i="1" s="1"/>
  <c r="I89" i="1"/>
  <c r="P91" i="1"/>
  <c r="H91" i="1" s="1"/>
  <c r="H92" i="1" s="1"/>
  <c r="Q90" i="1"/>
  <c r="H96" i="2" l="1"/>
  <c r="I96" i="2" s="1"/>
  <c r="I95" i="2"/>
  <c r="N91" i="2"/>
  <c r="M91" i="2"/>
  <c r="K93" i="2"/>
  <c r="L92" i="2"/>
  <c r="P97" i="2"/>
  <c r="Q96" i="2"/>
  <c r="M88" i="1"/>
  <c r="N88" i="1"/>
  <c r="K89" i="1"/>
  <c r="L89" i="1" s="1"/>
  <c r="P92" i="1"/>
  <c r="Q91" i="1"/>
  <c r="I90" i="1"/>
  <c r="P98" i="2" l="1"/>
  <c r="Q97" i="2"/>
  <c r="H97" i="2"/>
  <c r="M92" i="2"/>
  <c r="N92" i="2"/>
  <c r="L93" i="2"/>
  <c r="K94" i="2"/>
  <c r="N89" i="1"/>
  <c r="M89" i="1"/>
  <c r="K90" i="1"/>
  <c r="L90" i="1" s="1"/>
  <c r="I91" i="1"/>
  <c r="Q92" i="1"/>
  <c r="P93" i="1"/>
  <c r="H93" i="1" s="1"/>
  <c r="H94" i="1" s="1"/>
  <c r="H98" i="2" l="1"/>
  <c r="I98" i="2" s="1"/>
  <c r="I97" i="2"/>
  <c r="K95" i="2"/>
  <c r="L94" i="2"/>
  <c r="N93" i="2"/>
  <c r="M93" i="2"/>
  <c r="Q98" i="2"/>
  <c r="P99" i="2"/>
  <c r="N90" i="1"/>
  <c r="M90" i="1"/>
  <c r="K91" i="1"/>
  <c r="L91" i="1" s="1"/>
  <c r="P94" i="1"/>
  <c r="Q93" i="1"/>
  <c r="I92" i="1"/>
  <c r="P100" i="2" l="1"/>
  <c r="Q99" i="2"/>
  <c r="H99" i="2"/>
  <c r="N94" i="2"/>
  <c r="M94" i="2"/>
  <c r="K96" i="2"/>
  <c r="L95" i="2"/>
  <c r="N91" i="1"/>
  <c r="M91" i="1"/>
  <c r="K92" i="1"/>
  <c r="L92" i="1" s="1"/>
  <c r="I93" i="1"/>
  <c r="P95" i="1"/>
  <c r="H95" i="1" s="1"/>
  <c r="H96" i="1" s="1"/>
  <c r="Q94" i="1"/>
  <c r="N95" i="2" l="1"/>
  <c r="M95" i="2"/>
  <c r="H100" i="2"/>
  <c r="I100" i="2" s="1"/>
  <c r="I99" i="2"/>
  <c r="K97" i="2"/>
  <c r="L96" i="2"/>
  <c r="P101" i="2"/>
  <c r="Q100" i="2"/>
  <c r="M92" i="1"/>
  <c r="N92" i="1"/>
  <c r="K93" i="1"/>
  <c r="L93" i="1" s="1"/>
  <c r="P96" i="1"/>
  <c r="Q95" i="1"/>
  <c r="I94" i="1"/>
  <c r="M96" i="2" l="1"/>
  <c r="N96" i="2"/>
  <c r="P102" i="2"/>
  <c r="Q101" i="2"/>
  <c r="H101" i="2"/>
  <c r="L97" i="2"/>
  <c r="K98" i="2"/>
  <c r="N93" i="1"/>
  <c r="M93" i="1"/>
  <c r="K94" i="1"/>
  <c r="L94" i="1" s="1"/>
  <c r="I95" i="1"/>
  <c r="P97" i="1"/>
  <c r="H97" i="1" s="1"/>
  <c r="H98" i="1" s="1"/>
  <c r="Q96" i="1"/>
  <c r="K99" i="2" l="1"/>
  <c r="L98" i="2"/>
  <c r="Q102" i="2"/>
  <c r="P103" i="2"/>
  <c r="N97" i="2"/>
  <c r="M97" i="2"/>
  <c r="H102" i="2"/>
  <c r="I102" i="2" s="1"/>
  <c r="I101" i="2"/>
  <c r="N94" i="1"/>
  <c r="M94" i="1"/>
  <c r="K95" i="1"/>
  <c r="L95" i="1" s="1"/>
  <c r="P98" i="1"/>
  <c r="Q97" i="1"/>
  <c r="I96" i="1"/>
  <c r="P104" i="2" l="1"/>
  <c r="Q103" i="2"/>
  <c r="H103" i="2"/>
  <c r="N98" i="2"/>
  <c r="M98" i="2"/>
  <c r="K100" i="2"/>
  <c r="L99" i="2"/>
  <c r="M95" i="1"/>
  <c r="N95" i="1"/>
  <c r="K96" i="1"/>
  <c r="L96" i="1" s="1"/>
  <c r="I97" i="1"/>
  <c r="P99" i="1"/>
  <c r="H99" i="1" s="1"/>
  <c r="H100" i="1" s="1"/>
  <c r="Q98" i="1"/>
  <c r="H104" i="2" l="1"/>
  <c r="I104" i="2" s="1"/>
  <c r="I103" i="2"/>
  <c r="N99" i="2"/>
  <c r="M99" i="2"/>
  <c r="K101" i="2"/>
  <c r="L100" i="2"/>
  <c r="P105" i="2"/>
  <c r="Q104" i="2"/>
  <c r="M96" i="1"/>
  <c r="N96" i="1"/>
  <c r="K97" i="1"/>
  <c r="L97" i="1" s="1"/>
  <c r="P100" i="1"/>
  <c r="Q99" i="1"/>
  <c r="I98" i="1"/>
  <c r="P106" i="2" l="1"/>
  <c r="Q105" i="2"/>
  <c r="H105" i="2"/>
  <c r="M100" i="2"/>
  <c r="N100" i="2"/>
  <c r="L101" i="2"/>
  <c r="K102" i="2"/>
  <c r="M97" i="1"/>
  <c r="N97" i="1"/>
  <c r="K98" i="1"/>
  <c r="L98" i="1" s="1"/>
  <c r="I99" i="1"/>
  <c r="P101" i="1"/>
  <c r="H101" i="1" s="1"/>
  <c r="H102" i="1" s="1"/>
  <c r="Q100" i="1"/>
  <c r="K103" i="2" l="1"/>
  <c r="L102" i="2"/>
  <c r="H106" i="2"/>
  <c r="I106" i="2" s="1"/>
  <c r="I105" i="2"/>
  <c r="N101" i="2"/>
  <c r="M101" i="2"/>
  <c r="Q106" i="2"/>
  <c r="P107" i="2"/>
  <c r="M98" i="1"/>
  <c r="N98" i="1"/>
  <c r="K99" i="1"/>
  <c r="L99" i="1" s="1"/>
  <c r="P102" i="1"/>
  <c r="Q101" i="1"/>
  <c r="I101" i="1"/>
  <c r="I100" i="1"/>
  <c r="P108" i="2" l="1"/>
  <c r="Q107" i="2"/>
  <c r="H107" i="2"/>
  <c r="N102" i="2"/>
  <c r="M102" i="2"/>
  <c r="K104" i="2"/>
  <c r="L103" i="2"/>
  <c r="M99" i="1"/>
  <c r="N99" i="1"/>
  <c r="K100" i="1"/>
  <c r="K101" i="1" s="1"/>
  <c r="L101" i="1" s="1"/>
  <c r="N101" i="1" s="1"/>
  <c r="P103" i="1"/>
  <c r="H103" i="1" s="1"/>
  <c r="H104" i="1" s="1"/>
  <c r="Q102" i="1"/>
  <c r="N103" i="2" l="1"/>
  <c r="M103" i="2"/>
  <c r="H108" i="2"/>
  <c r="I108" i="2" s="1"/>
  <c r="I107" i="2"/>
  <c r="K105" i="2"/>
  <c r="L104" i="2"/>
  <c r="P109" i="2"/>
  <c r="Q108" i="2"/>
  <c r="L100" i="1"/>
  <c r="M101" i="1" s="1"/>
  <c r="I102" i="1"/>
  <c r="P104" i="1"/>
  <c r="Q103" i="1"/>
  <c r="M104" i="2" l="1"/>
  <c r="N104" i="2"/>
  <c r="P110" i="2"/>
  <c r="Q109" i="2"/>
  <c r="H109" i="2"/>
  <c r="L105" i="2"/>
  <c r="K106" i="2"/>
  <c r="M100" i="1"/>
  <c r="N100" i="1"/>
  <c r="K102" i="1"/>
  <c r="P105" i="1"/>
  <c r="H105" i="1" s="1"/>
  <c r="H106" i="1" s="1"/>
  <c r="Q104" i="1"/>
  <c r="I103" i="1"/>
  <c r="K107" i="2" l="1"/>
  <c r="L106" i="2"/>
  <c r="Q110" i="2"/>
  <c r="P111" i="2"/>
  <c r="N105" i="2"/>
  <c r="M105" i="2"/>
  <c r="H110" i="2"/>
  <c r="I110" i="2" s="1"/>
  <c r="I109" i="2"/>
  <c r="K103" i="1"/>
  <c r="L103" i="1" s="1"/>
  <c r="N103" i="1" s="1"/>
  <c r="L102" i="1"/>
  <c r="I104" i="1"/>
  <c r="P106" i="1"/>
  <c r="Q105" i="1"/>
  <c r="P112" i="2" l="1"/>
  <c r="Q111" i="2"/>
  <c r="H111" i="2"/>
  <c r="N106" i="2"/>
  <c r="M106" i="2"/>
  <c r="K108" i="2"/>
  <c r="L107" i="2"/>
  <c r="M103" i="1"/>
  <c r="M102" i="1"/>
  <c r="N102" i="1"/>
  <c r="K104" i="1"/>
  <c r="P107" i="1"/>
  <c r="H107" i="1" s="1"/>
  <c r="H108" i="1" s="1"/>
  <c r="Q106" i="1"/>
  <c r="I105" i="1"/>
  <c r="H112" i="2" l="1"/>
  <c r="I112" i="2" s="1"/>
  <c r="I111" i="2"/>
  <c r="N107" i="2"/>
  <c r="M107" i="2"/>
  <c r="K109" i="2"/>
  <c r="L108" i="2"/>
  <c r="P113" i="2"/>
  <c r="Q112" i="2"/>
  <c r="K105" i="1"/>
  <c r="L105" i="1" s="1"/>
  <c r="L104" i="1"/>
  <c r="I106" i="1"/>
  <c r="P108" i="1"/>
  <c r="Q107" i="1"/>
  <c r="L109" i="2" l="1"/>
  <c r="K110" i="2"/>
  <c r="P114" i="2"/>
  <c r="Q113" i="2"/>
  <c r="H113" i="2"/>
  <c r="M108" i="2"/>
  <c r="N108" i="2"/>
  <c r="N105" i="1"/>
  <c r="M105" i="1"/>
  <c r="M104" i="1"/>
  <c r="N104" i="1"/>
  <c r="K106" i="1"/>
  <c r="P109" i="1"/>
  <c r="H109" i="1" s="1"/>
  <c r="H110" i="1" s="1"/>
  <c r="Q108" i="1"/>
  <c r="I107" i="1"/>
  <c r="Q114" i="2" l="1"/>
  <c r="P115" i="2"/>
  <c r="K111" i="2"/>
  <c r="L110" i="2"/>
  <c r="H114" i="2"/>
  <c r="I114" i="2" s="1"/>
  <c r="I113" i="2"/>
  <c r="N109" i="2"/>
  <c r="M109" i="2"/>
  <c r="K107" i="1"/>
  <c r="L107" i="1" s="1"/>
  <c r="N107" i="1" s="1"/>
  <c r="L106" i="1"/>
  <c r="I108" i="1"/>
  <c r="P110" i="1"/>
  <c r="Q109" i="1"/>
  <c r="N110" i="2" l="1"/>
  <c r="M110" i="2"/>
  <c r="K112" i="2"/>
  <c r="L111" i="2"/>
  <c r="P116" i="2"/>
  <c r="Q115" i="2"/>
  <c r="H115" i="2"/>
  <c r="M107" i="1"/>
  <c r="M106" i="1"/>
  <c r="N106" i="1"/>
  <c r="K108" i="1"/>
  <c r="P111" i="1"/>
  <c r="H111" i="1" s="1"/>
  <c r="H112" i="1" s="1"/>
  <c r="Q110" i="1"/>
  <c r="I109" i="1"/>
  <c r="N111" i="2" l="1"/>
  <c r="M111" i="2"/>
  <c r="H116" i="2"/>
  <c r="I116" i="2" s="1"/>
  <c r="I115" i="2"/>
  <c r="K113" i="2"/>
  <c r="L112" i="2"/>
  <c r="P117" i="2"/>
  <c r="Q116" i="2"/>
  <c r="K109" i="1"/>
  <c r="L109" i="1" s="1"/>
  <c r="L108" i="1"/>
  <c r="I110" i="1"/>
  <c r="P112" i="1"/>
  <c r="Q111" i="1"/>
  <c r="P118" i="2" l="1"/>
  <c r="Q117" i="2"/>
  <c r="H117" i="2"/>
  <c r="M112" i="2"/>
  <c r="N112" i="2"/>
  <c r="L113" i="2"/>
  <c r="K114" i="2"/>
  <c r="N109" i="1"/>
  <c r="M109" i="1"/>
  <c r="M108" i="1"/>
  <c r="N108" i="1"/>
  <c r="K110" i="1"/>
  <c r="P113" i="1"/>
  <c r="H113" i="1" s="1"/>
  <c r="H114" i="1" s="1"/>
  <c r="Q112" i="1"/>
  <c r="I111" i="1"/>
  <c r="K115" i="2" l="1"/>
  <c r="L114" i="2"/>
  <c r="H118" i="2"/>
  <c r="I118" i="2" s="1"/>
  <c r="I117" i="2"/>
  <c r="N113" i="2"/>
  <c r="M113" i="2"/>
  <c r="Q118" i="2"/>
  <c r="P119" i="2"/>
  <c r="K111" i="1"/>
  <c r="L111" i="1" s="1"/>
  <c r="N111" i="1" s="1"/>
  <c r="L110" i="1"/>
  <c r="I112" i="1"/>
  <c r="P114" i="1"/>
  <c r="Q113" i="1"/>
  <c r="P120" i="2" l="1"/>
  <c r="Q119" i="2"/>
  <c r="H119" i="2"/>
  <c r="N114" i="2"/>
  <c r="M114" i="2"/>
  <c r="K116" i="2"/>
  <c r="L115" i="2"/>
  <c r="M111" i="1"/>
  <c r="M110" i="1"/>
  <c r="N110" i="1"/>
  <c r="K112" i="1"/>
  <c r="P115" i="1"/>
  <c r="H115" i="1" s="1"/>
  <c r="H116" i="1" s="1"/>
  <c r="Q114" i="1"/>
  <c r="I113" i="1"/>
  <c r="H120" i="2" l="1"/>
  <c r="I120" i="2" s="1"/>
  <c r="I119" i="2"/>
  <c r="N115" i="2"/>
  <c r="M115" i="2"/>
  <c r="K117" i="2"/>
  <c r="L116" i="2"/>
  <c r="P121" i="2"/>
  <c r="Q120" i="2"/>
  <c r="K113" i="1"/>
  <c r="L113" i="1" s="1"/>
  <c r="L112" i="1"/>
  <c r="I114" i="1"/>
  <c r="P116" i="1"/>
  <c r="Q115" i="1"/>
  <c r="L117" i="2" l="1"/>
  <c r="K118" i="2"/>
  <c r="P122" i="2"/>
  <c r="Q121" i="2"/>
  <c r="H121" i="2"/>
  <c r="M116" i="2"/>
  <c r="N116" i="2"/>
  <c r="N113" i="1"/>
  <c r="M113" i="1"/>
  <c r="M112" i="1"/>
  <c r="N112" i="1"/>
  <c r="K114" i="1"/>
  <c r="P117" i="1"/>
  <c r="H117" i="1" s="1"/>
  <c r="H118" i="1" s="1"/>
  <c r="Q116" i="1"/>
  <c r="I115" i="1"/>
  <c r="Q122" i="2" l="1"/>
  <c r="P123" i="2"/>
  <c r="K119" i="2"/>
  <c r="L118" i="2"/>
  <c r="H122" i="2"/>
  <c r="I122" i="2" s="1"/>
  <c r="I121" i="2"/>
  <c r="N117" i="2"/>
  <c r="M117" i="2"/>
  <c r="K115" i="1"/>
  <c r="L115" i="1" s="1"/>
  <c r="N115" i="1" s="1"/>
  <c r="L114" i="1"/>
  <c r="I116" i="1"/>
  <c r="P118" i="1"/>
  <c r="Q117" i="1"/>
  <c r="N118" i="2" l="1"/>
  <c r="M118" i="2"/>
  <c r="K120" i="2"/>
  <c r="L119" i="2"/>
  <c r="P124" i="2"/>
  <c r="Q123" i="2"/>
  <c r="H123" i="2"/>
  <c r="M115" i="1"/>
  <c r="M114" i="1"/>
  <c r="N114" i="1"/>
  <c r="K116" i="1"/>
  <c r="P119" i="1"/>
  <c r="H119" i="1" s="1"/>
  <c r="H120" i="1" s="1"/>
  <c r="Q118" i="1"/>
  <c r="I117" i="1"/>
  <c r="N119" i="2" l="1"/>
  <c r="M119" i="2"/>
  <c r="H124" i="2"/>
  <c r="I124" i="2" s="1"/>
  <c r="I123" i="2"/>
  <c r="K121" i="2"/>
  <c r="L120" i="2"/>
  <c r="P125" i="2"/>
  <c r="Q124" i="2"/>
  <c r="K117" i="1"/>
  <c r="L117" i="1" s="1"/>
  <c r="L116" i="1"/>
  <c r="I118" i="1"/>
  <c r="P120" i="1"/>
  <c r="Q119" i="1"/>
  <c r="M120" i="2" l="1"/>
  <c r="N120" i="2"/>
  <c r="P126" i="2"/>
  <c r="Q125" i="2"/>
  <c r="H125" i="2"/>
  <c r="L121" i="2"/>
  <c r="K122" i="2"/>
  <c r="N117" i="1"/>
  <c r="M117" i="1"/>
  <c r="M116" i="1"/>
  <c r="N116" i="1"/>
  <c r="K118" i="1"/>
  <c r="P121" i="1"/>
  <c r="H121" i="1" s="1"/>
  <c r="H122" i="1" s="1"/>
  <c r="Q120" i="1"/>
  <c r="I119" i="1"/>
  <c r="K123" i="2" l="1"/>
  <c r="L122" i="2"/>
  <c r="Q126" i="2"/>
  <c r="P127" i="2"/>
  <c r="N121" i="2"/>
  <c r="M121" i="2"/>
  <c r="H126" i="2"/>
  <c r="I126" i="2" s="1"/>
  <c r="I125" i="2"/>
  <c r="K119" i="1"/>
  <c r="L119" i="1" s="1"/>
  <c r="N119" i="1" s="1"/>
  <c r="L118" i="1"/>
  <c r="I120" i="1"/>
  <c r="P122" i="1"/>
  <c r="Q121" i="1"/>
  <c r="P128" i="2" l="1"/>
  <c r="Q127" i="2"/>
  <c r="H127" i="2"/>
  <c r="N122" i="2"/>
  <c r="M122" i="2"/>
  <c r="K124" i="2"/>
  <c r="L123" i="2"/>
  <c r="M119" i="1"/>
  <c r="M118" i="1"/>
  <c r="N118" i="1"/>
  <c r="K120" i="1"/>
  <c r="P123" i="1"/>
  <c r="H123" i="1" s="1"/>
  <c r="H124" i="1" s="1"/>
  <c r="Q122" i="1"/>
  <c r="I121" i="1"/>
  <c r="N123" i="2" l="1"/>
  <c r="M123" i="2"/>
  <c r="H128" i="2"/>
  <c r="I128" i="2" s="1"/>
  <c r="I127" i="2"/>
  <c r="K125" i="2"/>
  <c r="L124" i="2"/>
  <c r="P129" i="2"/>
  <c r="Q128" i="2"/>
  <c r="K121" i="1"/>
  <c r="L121" i="1" s="1"/>
  <c r="L120" i="1"/>
  <c r="I122" i="1"/>
  <c r="P124" i="1"/>
  <c r="Q123" i="1"/>
  <c r="M124" i="2" l="1"/>
  <c r="N124" i="2"/>
  <c r="P130" i="2"/>
  <c r="Q129" i="2"/>
  <c r="H129" i="2"/>
  <c r="L125" i="2"/>
  <c r="K126" i="2"/>
  <c r="N121" i="1"/>
  <c r="M121" i="1"/>
  <c r="M120" i="1"/>
  <c r="N120" i="1"/>
  <c r="K122" i="1"/>
  <c r="P125" i="1"/>
  <c r="H125" i="1" s="1"/>
  <c r="H126" i="1" s="1"/>
  <c r="Q124" i="1"/>
  <c r="I123" i="1"/>
  <c r="K127" i="2" l="1"/>
  <c r="L126" i="2"/>
  <c r="Q130" i="2"/>
  <c r="P131" i="2"/>
  <c r="N125" i="2"/>
  <c r="M125" i="2"/>
  <c r="H130" i="2"/>
  <c r="I130" i="2" s="1"/>
  <c r="I129" i="2"/>
  <c r="K123" i="1"/>
  <c r="L123" i="1" s="1"/>
  <c r="N123" i="1" s="1"/>
  <c r="L122" i="1"/>
  <c r="I124" i="1"/>
  <c r="P126" i="1"/>
  <c r="Q125" i="1"/>
  <c r="P132" i="2" l="1"/>
  <c r="Q131" i="2"/>
  <c r="H131" i="2"/>
  <c r="N126" i="2"/>
  <c r="M126" i="2"/>
  <c r="K128" i="2"/>
  <c r="L127" i="2"/>
  <c r="M123" i="1"/>
  <c r="M122" i="1"/>
  <c r="N122" i="1"/>
  <c r="K124" i="1"/>
  <c r="P127" i="1"/>
  <c r="H127" i="1" s="1"/>
  <c r="H128" i="1" s="1"/>
  <c r="Q126" i="1"/>
  <c r="I125" i="1"/>
  <c r="H132" i="2" l="1"/>
  <c r="I132" i="2" s="1"/>
  <c r="I131" i="2"/>
  <c r="N127" i="2"/>
  <c r="M127" i="2"/>
  <c r="K129" i="2"/>
  <c r="L128" i="2"/>
  <c r="P133" i="2"/>
  <c r="Q132" i="2"/>
  <c r="K125" i="1"/>
  <c r="L125" i="1" s="1"/>
  <c r="L124" i="1"/>
  <c r="I126" i="1"/>
  <c r="P128" i="1"/>
  <c r="Q127" i="1"/>
  <c r="L129" i="2" l="1"/>
  <c r="K130" i="2"/>
  <c r="P134" i="2"/>
  <c r="Q133" i="2"/>
  <c r="H133" i="2"/>
  <c r="M128" i="2"/>
  <c r="N128" i="2"/>
  <c r="N125" i="1"/>
  <c r="M125" i="1"/>
  <c r="M124" i="1"/>
  <c r="N124" i="1"/>
  <c r="K126" i="1"/>
  <c r="P129" i="1"/>
  <c r="H129" i="1" s="1"/>
  <c r="H130" i="1" s="1"/>
  <c r="Q128" i="1"/>
  <c r="I127" i="1"/>
  <c r="Q134" i="2" l="1"/>
  <c r="P135" i="2"/>
  <c r="K131" i="2"/>
  <c r="L130" i="2"/>
  <c r="H134" i="2"/>
  <c r="I134" i="2" s="1"/>
  <c r="I133" i="2"/>
  <c r="N129" i="2"/>
  <c r="M129" i="2"/>
  <c r="K127" i="1"/>
  <c r="L127" i="1" s="1"/>
  <c r="N127" i="1" s="1"/>
  <c r="L126" i="1"/>
  <c r="I128" i="1"/>
  <c r="P130" i="1"/>
  <c r="Q129" i="1"/>
  <c r="N130" i="2" l="1"/>
  <c r="M130" i="2"/>
  <c r="K132" i="2"/>
  <c r="L131" i="2"/>
  <c r="P136" i="2"/>
  <c r="Q135" i="2"/>
  <c r="H135" i="2"/>
  <c r="M127" i="1"/>
  <c r="M126" i="1"/>
  <c r="N126" i="1"/>
  <c r="K128" i="1"/>
  <c r="P131" i="1"/>
  <c r="H131" i="1" s="1"/>
  <c r="H132" i="1" s="1"/>
  <c r="Q130" i="1"/>
  <c r="I129" i="1"/>
  <c r="N131" i="2" l="1"/>
  <c r="M131" i="2"/>
  <c r="H136" i="2"/>
  <c r="I136" i="2" s="1"/>
  <c r="I135" i="2"/>
  <c r="K133" i="2"/>
  <c r="L132" i="2"/>
  <c r="P137" i="2"/>
  <c r="Q136" i="2"/>
  <c r="K129" i="1"/>
  <c r="L129" i="1" s="1"/>
  <c r="L128" i="1"/>
  <c r="I130" i="1"/>
  <c r="P132" i="1"/>
  <c r="Q131" i="1"/>
  <c r="P138" i="2" l="1"/>
  <c r="Q137" i="2"/>
  <c r="H137" i="2"/>
  <c r="M132" i="2"/>
  <c r="N132" i="2"/>
  <c r="L133" i="2"/>
  <c r="K134" i="2"/>
  <c r="N129" i="1"/>
  <c r="M129" i="1"/>
  <c r="M128" i="1"/>
  <c r="N128" i="1"/>
  <c r="K130" i="1"/>
  <c r="P133" i="1"/>
  <c r="H133" i="1" s="1"/>
  <c r="H134" i="1" s="1"/>
  <c r="Q132" i="1"/>
  <c r="I131" i="1"/>
  <c r="K135" i="2" l="1"/>
  <c r="L134" i="2"/>
  <c r="H138" i="2"/>
  <c r="I138" i="2" s="1"/>
  <c r="I137" i="2"/>
  <c r="N133" i="2"/>
  <c r="M133" i="2"/>
  <c r="Q138" i="2"/>
  <c r="P139" i="2"/>
  <c r="K131" i="1"/>
  <c r="L131" i="1" s="1"/>
  <c r="N131" i="1" s="1"/>
  <c r="L130" i="1"/>
  <c r="I132" i="1"/>
  <c r="P134" i="1"/>
  <c r="Q133" i="1"/>
  <c r="P140" i="2" l="1"/>
  <c r="Q139" i="2"/>
  <c r="H139" i="2"/>
  <c r="N134" i="2"/>
  <c r="M134" i="2"/>
  <c r="K136" i="2"/>
  <c r="L135" i="2"/>
  <c r="M131" i="1"/>
  <c r="M130" i="1"/>
  <c r="N130" i="1"/>
  <c r="K132" i="1"/>
  <c r="P135" i="1"/>
  <c r="H135" i="1" s="1"/>
  <c r="H136" i="1" s="1"/>
  <c r="Q134" i="1"/>
  <c r="I133" i="1"/>
  <c r="H140" i="2" l="1"/>
  <c r="I140" i="2" s="1"/>
  <c r="I139" i="2"/>
  <c r="N135" i="2"/>
  <c r="M135" i="2"/>
  <c r="K137" i="2"/>
  <c r="L136" i="2"/>
  <c r="P141" i="2"/>
  <c r="Q140" i="2"/>
  <c r="K133" i="1"/>
  <c r="L133" i="1" s="1"/>
  <c r="L132" i="1"/>
  <c r="I134" i="1"/>
  <c r="P136" i="1"/>
  <c r="Q135" i="1"/>
  <c r="L137" i="2" l="1"/>
  <c r="K138" i="2"/>
  <c r="P142" i="2"/>
  <c r="Q141" i="2"/>
  <c r="H141" i="2"/>
  <c r="M136" i="2"/>
  <c r="N136" i="2"/>
  <c r="N133" i="1"/>
  <c r="M133" i="1"/>
  <c r="M132" i="1"/>
  <c r="N132" i="1"/>
  <c r="K134" i="1"/>
  <c r="P137" i="1"/>
  <c r="H137" i="1" s="1"/>
  <c r="H138" i="1" s="1"/>
  <c r="Q136" i="1"/>
  <c r="I135" i="1"/>
  <c r="Q142" i="2" l="1"/>
  <c r="P143" i="2"/>
  <c r="K139" i="2"/>
  <c r="L138" i="2"/>
  <c r="H142" i="2"/>
  <c r="I142" i="2" s="1"/>
  <c r="I141" i="2"/>
  <c r="N137" i="2"/>
  <c r="M137" i="2"/>
  <c r="K135" i="1"/>
  <c r="L135" i="1" s="1"/>
  <c r="N135" i="1" s="1"/>
  <c r="L134" i="1"/>
  <c r="I136" i="1"/>
  <c r="P138" i="1"/>
  <c r="Q137" i="1"/>
  <c r="N138" i="2" l="1"/>
  <c r="M138" i="2"/>
  <c r="K140" i="2"/>
  <c r="L139" i="2"/>
  <c r="P144" i="2"/>
  <c r="Q143" i="2"/>
  <c r="H143" i="2"/>
  <c r="M135" i="1"/>
  <c r="M134" i="1"/>
  <c r="N134" i="1"/>
  <c r="K136" i="1"/>
  <c r="P139" i="1"/>
  <c r="H139" i="1" s="1"/>
  <c r="H140" i="1" s="1"/>
  <c r="Q138" i="1"/>
  <c r="I137" i="1"/>
  <c r="N139" i="2" l="1"/>
  <c r="M139" i="2"/>
  <c r="K141" i="2"/>
  <c r="L140" i="2"/>
  <c r="H144" i="2"/>
  <c r="I144" i="2" s="1"/>
  <c r="I143" i="2"/>
  <c r="P145" i="2"/>
  <c r="Q144" i="2"/>
  <c r="K137" i="1"/>
  <c r="L137" i="1" s="1"/>
  <c r="L136" i="1"/>
  <c r="I138" i="1"/>
  <c r="P140" i="1"/>
  <c r="Q139" i="1"/>
  <c r="M140" i="2" l="1"/>
  <c r="N140" i="2"/>
  <c r="L141" i="2"/>
  <c r="K142" i="2"/>
  <c r="P146" i="2"/>
  <c r="Q145" i="2"/>
  <c r="H145" i="2"/>
  <c r="N137" i="1"/>
  <c r="M137" i="1"/>
  <c r="M136" i="1"/>
  <c r="N136" i="1"/>
  <c r="K138" i="1"/>
  <c r="P141" i="1"/>
  <c r="H141" i="1" s="1"/>
  <c r="H142" i="1" s="1"/>
  <c r="Q140" i="1"/>
  <c r="I139" i="1"/>
  <c r="K143" i="2" l="1"/>
  <c r="L142" i="2"/>
  <c r="H146" i="2"/>
  <c r="I146" i="2" s="1"/>
  <c r="I145" i="2"/>
  <c r="N141" i="2"/>
  <c r="M141" i="2"/>
  <c r="Q146" i="2"/>
  <c r="P147" i="2"/>
  <c r="K139" i="1"/>
  <c r="L139" i="1" s="1"/>
  <c r="N139" i="1" s="1"/>
  <c r="L138" i="1"/>
  <c r="I140" i="1"/>
  <c r="P142" i="1"/>
  <c r="Q141" i="1"/>
  <c r="P148" i="2" l="1"/>
  <c r="Q147" i="2"/>
  <c r="H147" i="2"/>
  <c r="N142" i="2"/>
  <c r="M142" i="2"/>
  <c r="K144" i="2"/>
  <c r="L143" i="2"/>
  <c r="M139" i="1"/>
  <c r="M138" i="1"/>
  <c r="N138" i="1"/>
  <c r="K140" i="1"/>
  <c r="P143" i="1"/>
  <c r="H143" i="1" s="1"/>
  <c r="H144" i="1" s="1"/>
  <c r="Q142" i="1"/>
  <c r="I141" i="1"/>
  <c r="H148" i="2" l="1"/>
  <c r="I148" i="2" s="1"/>
  <c r="I147" i="2"/>
  <c r="N143" i="2"/>
  <c r="M143" i="2"/>
  <c r="K145" i="2"/>
  <c r="L144" i="2"/>
  <c r="P149" i="2"/>
  <c r="Q148" i="2"/>
  <c r="K141" i="1"/>
  <c r="L141" i="1" s="1"/>
  <c r="L140" i="1"/>
  <c r="I142" i="1"/>
  <c r="P144" i="1"/>
  <c r="Q143" i="1"/>
  <c r="L145" i="2" l="1"/>
  <c r="K146" i="2"/>
  <c r="P150" i="2"/>
  <c r="Q149" i="2"/>
  <c r="H149" i="2"/>
  <c r="M144" i="2"/>
  <c r="N144" i="2"/>
  <c r="N141" i="1"/>
  <c r="M141" i="1"/>
  <c r="M140" i="1"/>
  <c r="N140" i="1"/>
  <c r="K142" i="1"/>
  <c r="P145" i="1"/>
  <c r="H145" i="1" s="1"/>
  <c r="H146" i="1" s="1"/>
  <c r="Q144" i="1"/>
  <c r="I143" i="1"/>
  <c r="Q150" i="2" l="1"/>
  <c r="P151" i="2"/>
  <c r="K147" i="2"/>
  <c r="L146" i="2"/>
  <c r="H150" i="2"/>
  <c r="I150" i="2" s="1"/>
  <c r="I149" i="2"/>
  <c r="N145" i="2"/>
  <c r="M145" i="2"/>
  <c r="K143" i="1"/>
  <c r="L143" i="1" s="1"/>
  <c r="N143" i="1" s="1"/>
  <c r="L142" i="1"/>
  <c r="I144" i="1"/>
  <c r="P146" i="1"/>
  <c r="Q145" i="1"/>
  <c r="N146" i="2" l="1"/>
  <c r="M146" i="2"/>
  <c r="K148" i="2"/>
  <c r="L147" i="2"/>
  <c r="P152" i="2"/>
  <c r="Q151" i="2"/>
  <c r="H151" i="2"/>
  <c r="M143" i="1"/>
  <c r="M142" i="1"/>
  <c r="N142" i="1"/>
  <c r="K144" i="1"/>
  <c r="P147" i="1"/>
  <c r="H147" i="1" s="1"/>
  <c r="H148" i="1" s="1"/>
  <c r="Q146" i="1"/>
  <c r="I145" i="1"/>
  <c r="N147" i="2" l="1"/>
  <c r="M147" i="2"/>
  <c r="K149" i="2"/>
  <c r="L148" i="2"/>
  <c r="H152" i="2"/>
  <c r="I152" i="2" s="1"/>
  <c r="I151" i="2"/>
  <c r="P153" i="2"/>
  <c r="Q152" i="2"/>
  <c r="K145" i="1"/>
  <c r="L145" i="1" s="1"/>
  <c r="L144" i="1"/>
  <c r="I146" i="1"/>
  <c r="P148" i="1"/>
  <c r="Q147" i="1"/>
  <c r="M148" i="2" l="1"/>
  <c r="N148" i="2"/>
  <c r="L149" i="2"/>
  <c r="K150" i="2"/>
  <c r="P154" i="2"/>
  <c r="Q153" i="2"/>
  <c r="H153" i="2"/>
  <c r="N145" i="1"/>
  <c r="M145" i="1"/>
  <c r="M144" i="1"/>
  <c r="N144" i="1"/>
  <c r="K146" i="1"/>
  <c r="P149" i="1"/>
  <c r="H149" i="1" s="1"/>
  <c r="H150" i="1" s="1"/>
  <c r="Q148" i="1"/>
  <c r="I147" i="1"/>
  <c r="K151" i="2" l="1"/>
  <c r="L150" i="2"/>
  <c r="N149" i="2"/>
  <c r="M149" i="2"/>
  <c r="H154" i="2"/>
  <c r="I154" i="2" s="1"/>
  <c r="I153" i="2"/>
  <c r="Q154" i="2"/>
  <c r="P155" i="2"/>
  <c r="K147" i="1"/>
  <c r="L147" i="1" s="1"/>
  <c r="N147" i="1" s="1"/>
  <c r="L146" i="1"/>
  <c r="I149" i="1"/>
  <c r="I148" i="1"/>
  <c r="P150" i="1"/>
  <c r="Q149" i="1"/>
  <c r="P156" i="2" l="1"/>
  <c r="Q155" i="2"/>
  <c r="H155" i="2"/>
  <c r="N150" i="2"/>
  <c r="M150" i="2"/>
  <c r="K152" i="2"/>
  <c r="L151" i="2"/>
  <c r="M147" i="1"/>
  <c r="M146" i="1"/>
  <c r="N146" i="1"/>
  <c r="K148" i="1"/>
  <c r="K149" i="1" s="1"/>
  <c r="P151" i="1"/>
  <c r="H151" i="1" s="1"/>
  <c r="H152" i="1" s="1"/>
  <c r="Q150" i="1"/>
  <c r="N151" i="2" l="1"/>
  <c r="M151" i="2"/>
  <c r="H156" i="2"/>
  <c r="I156" i="2" s="1"/>
  <c r="I155" i="2"/>
  <c r="K153" i="2"/>
  <c r="L152" i="2"/>
  <c r="P157" i="2"/>
  <c r="Q156" i="2"/>
  <c r="L149" i="1"/>
  <c r="N149" i="1" s="1"/>
  <c r="L148" i="1"/>
  <c r="I150" i="1"/>
  <c r="P152" i="1"/>
  <c r="Q151" i="1"/>
  <c r="P158" i="2" l="1"/>
  <c r="Q157" i="2"/>
  <c r="H157" i="2"/>
  <c r="M152" i="2"/>
  <c r="N152" i="2"/>
  <c r="L153" i="2"/>
  <c r="K154" i="2"/>
  <c r="M149" i="1"/>
  <c r="N148" i="1"/>
  <c r="M148" i="1"/>
  <c r="K150" i="1"/>
  <c r="L150" i="1" s="1"/>
  <c r="P153" i="1"/>
  <c r="H153" i="1" s="1"/>
  <c r="H154" i="1" s="1"/>
  <c r="Q152" i="1"/>
  <c r="I151" i="1"/>
  <c r="K155" i="2" l="1"/>
  <c r="L154" i="2"/>
  <c r="H158" i="2"/>
  <c r="I158" i="2" s="1"/>
  <c r="I157" i="2"/>
  <c r="N153" i="2"/>
  <c r="M153" i="2"/>
  <c r="Q158" i="2"/>
  <c r="P159" i="2"/>
  <c r="N150" i="1"/>
  <c r="M150" i="1"/>
  <c r="K151" i="1"/>
  <c r="L151" i="1" s="1"/>
  <c r="I152" i="1"/>
  <c r="P154" i="1"/>
  <c r="Q153" i="1"/>
  <c r="P160" i="2" l="1"/>
  <c r="Q159" i="2"/>
  <c r="H159" i="2"/>
  <c r="N154" i="2"/>
  <c r="M154" i="2"/>
  <c r="K156" i="2"/>
  <c r="L155" i="2"/>
  <c r="N151" i="1"/>
  <c r="M151" i="1"/>
  <c r="K152" i="1"/>
  <c r="L152" i="1" s="1"/>
  <c r="P155" i="1"/>
  <c r="H155" i="1" s="1"/>
  <c r="H156" i="1" s="1"/>
  <c r="Q154" i="1"/>
  <c r="I153" i="1"/>
  <c r="N155" i="2" l="1"/>
  <c r="M155" i="2"/>
  <c r="H160" i="2"/>
  <c r="I160" i="2" s="1"/>
  <c r="I159" i="2"/>
  <c r="K157" i="2"/>
  <c r="L156" i="2"/>
  <c r="P161" i="2"/>
  <c r="Q160" i="2"/>
  <c r="N152" i="1"/>
  <c r="M152" i="1"/>
  <c r="K153" i="1"/>
  <c r="L153" i="1" s="1"/>
  <c r="I154" i="1"/>
  <c r="P156" i="1"/>
  <c r="Q155" i="1"/>
  <c r="M156" i="2" l="1"/>
  <c r="N156" i="2"/>
  <c r="P162" i="2"/>
  <c r="Q161" i="2"/>
  <c r="H161" i="2"/>
  <c r="L157" i="2"/>
  <c r="K158" i="2"/>
  <c r="N153" i="1"/>
  <c r="M153" i="1"/>
  <c r="K154" i="1"/>
  <c r="L154" i="1" s="1"/>
  <c r="P157" i="1"/>
  <c r="H157" i="1" s="1"/>
  <c r="H158" i="1" s="1"/>
  <c r="Q156" i="1"/>
  <c r="I155" i="1"/>
  <c r="K159" i="2" l="1"/>
  <c r="L158" i="2"/>
  <c r="Q162" i="2"/>
  <c r="P163" i="2"/>
  <c r="N157" i="2"/>
  <c r="M157" i="2"/>
  <c r="H162" i="2"/>
  <c r="I162" i="2" s="1"/>
  <c r="I161" i="2"/>
  <c r="N154" i="1"/>
  <c r="M154" i="1"/>
  <c r="K155" i="1"/>
  <c r="L155" i="1" s="1"/>
  <c r="I156" i="1"/>
  <c r="P158" i="1"/>
  <c r="Q157" i="1"/>
  <c r="P164" i="2" l="1"/>
  <c r="Q163" i="2"/>
  <c r="H163" i="2"/>
  <c r="N158" i="2"/>
  <c r="M158" i="2"/>
  <c r="K160" i="2"/>
  <c r="L159" i="2"/>
  <c r="N155" i="1"/>
  <c r="M155" i="1"/>
  <c r="K156" i="1"/>
  <c r="L156" i="1" s="1"/>
  <c r="P159" i="1"/>
  <c r="H159" i="1" s="1"/>
  <c r="H160" i="1" s="1"/>
  <c r="Q158" i="1"/>
  <c r="I157" i="1"/>
  <c r="H164" i="2" l="1"/>
  <c r="I164" i="2" s="1"/>
  <c r="I163" i="2"/>
  <c r="N159" i="2"/>
  <c r="M159" i="2"/>
  <c r="K161" i="2"/>
  <c r="L160" i="2"/>
  <c r="P165" i="2"/>
  <c r="Q164" i="2"/>
  <c r="N156" i="1"/>
  <c r="M156" i="1"/>
  <c r="K157" i="1"/>
  <c r="L157" i="1" s="1"/>
  <c r="I158" i="1"/>
  <c r="P160" i="1"/>
  <c r="Q159" i="1"/>
  <c r="L161" i="2" l="1"/>
  <c r="K162" i="2"/>
  <c r="P166" i="2"/>
  <c r="Q165" i="2"/>
  <c r="H165" i="2"/>
  <c r="M160" i="2"/>
  <c r="N160" i="2"/>
  <c r="N157" i="1"/>
  <c r="M157" i="1"/>
  <c r="K158" i="1"/>
  <c r="L158" i="1" s="1"/>
  <c r="P161" i="1"/>
  <c r="H161" i="1" s="1"/>
  <c r="H162" i="1" s="1"/>
  <c r="Q160" i="1"/>
  <c r="I159" i="1"/>
  <c r="Q166" i="2" l="1"/>
  <c r="P167" i="2"/>
  <c r="K163" i="2"/>
  <c r="L162" i="2"/>
  <c r="H166" i="2"/>
  <c r="I166" i="2" s="1"/>
  <c r="I165" i="2"/>
  <c r="N161" i="2"/>
  <c r="M161" i="2"/>
  <c r="N158" i="1"/>
  <c r="M158" i="1"/>
  <c r="K159" i="1"/>
  <c r="L159" i="1" s="1"/>
  <c r="I160" i="1"/>
  <c r="P162" i="1"/>
  <c r="Q161" i="1"/>
  <c r="N162" i="2" l="1"/>
  <c r="M162" i="2"/>
  <c r="K164" i="2"/>
  <c r="L163" i="2"/>
  <c r="P168" i="2"/>
  <c r="Q167" i="2"/>
  <c r="H167" i="2"/>
  <c r="N159" i="1"/>
  <c r="M159" i="1"/>
  <c r="K160" i="1"/>
  <c r="L160" i="1" s="1"/>
  <c r="P163" i="1"/>
  <c r="H163" i="1" s="1"/>
  <c r="H164" i="1" s="1"/>
  <c r="Q162" i="1"/>
  <c r="I161" i="1"/>
  <c r="N163" i="2" l="1"/>
  <c r="M163" i="2"/>
  <c r="K165" i="2"/>
  <c r="L164" i="2"/>
  <c r="H168" i="2"/>
  <c r="I168" i="2" s="1"/>
  <c r="I167" i="2"/>
  <c r="P169" i="2"/>
  <c r="Q168" i="2"/>
  <c r="N160" i="1"/>
  <c r="M160" i="1"/>
  <c r="K161" i="1"/>
  <c r="L161" i="1" s="1"/>
  <c r="I162" i="1"/>
  <c r="P164" i="1"/>
  <c r="Q163" i="1"/>
  <c r="M164" i="2" l="1"/>
  <c r="N164" i="2"/>
  <c r="L165" i="2"/>
  <c r="K166" i="2"/>
  <c r="P170" i="2"/>
  <c r="Q169" i="2"/>
  <c r="H169" i="2"/>
  <c r="N161" i="1"/>
  <c r="M161" i="1"/>
  <c r="K162" i="1"/>
  <c r="L162" i="1" s="1"/>
  <c r="P165" i="1"/>
  <c r="H165" i="1" s="1"/>
  <c r="H166" i="1" s="1"/>
  <c r="Q164" i="1"/>
  <c r="I163" i="1"/>
  <c r="K167" i="2" l="1"/>
  <c r="L166" i="2"/>
  <c r="N165" i="2"/>
  <c r="M165" i="2"/>
  <c r="H170" i="2"/>
  <c r="I170" i="2" s="1"/>
  <c r="I169" i="2"/>
  <c r="Q170" i="2"/>
  <c r="P171" i="2"/>
  <c r="N162" i="1"/>
  <c r="M162" i="1"/>
  <c r="K163" i="1"/>
  <c r="L163" i="1" s="1"/>
  <c r="I164" i="1"/>
  <c r="P166" i="1"/>
  <c r="Q165" i="1"/>
  <c r="P172" i="2" l="1"/>
  <c r="Q171" i="2"/>
  <c r="H171" i="2"/>
  <c r="N166" i="2"/>
  <c r="M166" i="2"/>
  <c r="K168" i="2"/>
  <c r="L167" i="2"/>
  <c r="N163" i="1"/>
  <c r="M163" i="1"/>
  <c r="K164" i="1"/>
  <c r="L164" i="1" s="1"/>
  <c r="P167" i="1"/>
  <c r="H167" i="1" s="1"/>
  <c r="H168" i="1" s="1"/>
  <c r="Q166" i="1"/>
  <c r="I165" i="1"/>
  <c r="N167" i="2" l="1"/>
  <c r="M167" i="2"/>
  <c r="H172" i="2"/>
  <c r="I172" i="2" s="1"/>
  <c r="I171" i="2"/>
  <c r="K169" i="2"/>
  <c r="L168" i="2"/>
  <c r="P173" i="2"/>
  <c r="Q172" i="2"/>
  <c r="N164" i="1"/>
  <c r="M164" i="1"/>
  <c r="K165" i="1"/>
  <c r="L165" i="1" s="1"/>
  <c r="I166" i="1"/>
  <c r="P168" i="1"/>
  <c r="Q167" i="1"/>
  <c r="P174" i="2" l="1"/>
  <c r="Q173" i="2"/>
  <c r="H173" i="2"/>
  <c r="M168" i="2"/>
  <c r="N168" i="2"/>
  <c r="L169" i="2"/>
  <c r="K170" i="2"/>
  <c r="N165" i="1"/>
  <c r="M165" i="1"/>
  <c r="K166" i="1"/>
  <c r="L166" i="1" s="1"/>
  <c r="P169" i="1"/>
  <c r="H169" i="1" s="1"/>
  <c r="H170" i="1" s="1"/>
  <c r="Q168" i="1"/>
  <c r="I167" i="1"/>
  <c r="H174" i="2" l="1"/>
  <c r="I174" i="2" s="1"/>
  <c r="I173" i="2"/>
  <c r="K171" i="2"/>
  <c r="L170" i="2"/>
  <c r="N169" i="2"/>
  <c r="M169" i="2"/>
  <c r="Q174" i="2"/>
  <c r="P175" i="2"/>
  <c r="M166" i="1"/>
  <c r="N166" i="1"/>
  <c r="K167" i="1"/>
  <c r="L167" i="1" s="1"/>
  <c r="P170" i="1"/>
  <c r="Q169" i="1"/>
  <c r="I168" i="1"/>
  <c r="P176" i="2" l="1"/>
  <c r="Q175" i="2"/>
  <c r="H175" i="2"/>
  <c r="N170" i="2"/>
  <c r="M170" i="2"/>
  <c r="K172" i="2"/>
  <c r="L171" i="2"/>
  <c r="M167" i="1"/>
  <c r="N167" i="1"/>
  <c r="K168" i="1"/>
  <c r="L168" i="1" s="1"/>
  <c r="P171" i="1"/>
  <c r="H171" i="1" s="1"/>
  <c r="H172" i="1" s="1"/>
  <c r="Q170" i="1"/>
  <c r="I169" i="1"/>
  <c r="H176" i="2" l="1"/>
  <c r="I176" i="2" s="1"/>
  <c r="I175" i="2"/>
  <c r="K173" i="2"/>
  <c r="L172" i="2"/>
  <c r="N171" i="2"/>
  <c r="M171" i="2"/>
  <c r="P177" i="2"/>
  <c r="Q176" i="2"/>
  <c r="N168" i="1"/>
  <c r="M168" i="1"/>
  <c r="K169" i="1"/>
  <c r="L169" i="1" s="1"/>
  <c r="P172" i="1"/>
  <c r="Q171" i="1"/>
  <c r="I170" i="1"/>
  <c r="M172" i="2" l="1"/>
  <c r="N172" i="2"/>
  <c r="L173" i="2"/>
  <c r="K174" i="2"/>
  <c r="P178" i="2"/>
  <c r="Q177" i="2"/>
  <c r="H177" i="2"/>
  <c r="M169" i="1"/>
  <c r="N169" i="1"/>
  <c r="K170" i="1"/>
  <c r="L170" i="1" s="1"/>
  <c r="P173" i="1"/>
  <c r="H173" i="1" s="1"/>
  <c r="H174" i="1" s="1"/>
  <c r="Q172" i="1"/>
  <c r="I171" i="1"/>
  <c r="K175" i="2" l="1"/>
  <c r="L174" i="2"/>
  <c r="N173" i="2"/>
  <c r="M173" i="2"/>
  <c r="H178" i="2"/>
  <c r="I178" i="2" s="1"/>
  <c r="I177" i="2"/>
  <c r="Q178" i="2"/>
  <c r="P179" i="2"/>
  <c r="N170" i="1"/>
  <c r="M170" i="1"/>
  <c r="K171" i="1"/>
  <c r="L171" i="1" s="1"/>
  <c r="P174" i="1"/>
  <c r="Q173" i="1"/>
  <c r="I172" i="1"/>
  <c r="P180" i="2" l="1"/>
  <c r="Q179" i="2"/>
  <c r="H179" i="2"/>
  <c r="N174" i="2"/>
  <c r="M174" i="2"/>
  <c r="K176" i="2"/>
  <c r="L175" i="2"/>
  <c r="M171" i="1"/>
  <c r="N171" i="1"/>
  <c r="K172" i="1"/>
  <c r="L172" i="1" s="1"/>
  <c r="P175" i="1"/>
  <c r="H175" i="1" s="1"/>
  <c r="H176" i="1" s="1"/>
  <c r="Q174" i="1"/>
  <c r="I173" i="1"/>
  <c r="N175" i="2" l="1"/>
  <c r="M175" i="2"/>
  <c r="H180" i="2"/>
  <c r="I180" i="2" s="1"/>
  <c r="I179" i="2"/>
  <c r="K177" i="2"/>
  <c r="L176" i="2"/>
  <c r="P181" i="2"/>
  <c r="Q180" i="2"/>
  <c r="N172" i="1"/>
  <c r="M172" i="1"/>
  <c r="K173" i="1"/>
  <c r="L173" i="1" s="1"/>
  <c r="P176" i="1"/>
  <c r="Q175" i="1"/>
  <c r="I174" i="1"/>
  <c r="P182" i="2" l="1"/>
  <c r="Q181" i="2"/>
  <c r="H181" i="2"/>
  <c r="M176" i="2"/>
  <c r="N176" i="2"/>
  <c r="L177" i="2"/>
  <c r="K178" i="2"/>
  <c r="M173" i="1"/>
  <c r="N173" i="1"/>
  <c r="K174" i="1"/>
  <c r="L174" i="1" s="1"/>
  <c r="P177" i="1"/>
  <c r="H177" i="1" s="1"/>
  <c r="H178" i="1" s="1"/>
  <c r="Q176" i="1"/>
  <c r="I175" i="1"/>
  <c r="H182" i="2" l="1"/>
  <c r="I182" i="2" s="1"/>
  <c r="I181" i="2"/>
  <c r="K179" i="2"/>
  <c r="L178" i="2"/>
  <c r="N177" i="2"/>
  <c r="M177" i="2"/>
  <c r="Q182" i="2"/>
  <c r="P183" i="2"/>
  <c r="N174" i="1"/>
  <c r="M174" i="1"/>
  <c r="K175" i="1"/>
  <c r="L175" i="1" s="1"/>
  <c r="P178" i="1"/>
  <c r="Q177" i="1"/>
  <c r="I176" i="1"/>
  <c r="P184" i="2" l="1"/>
  <c r="Q183" i="2"/>
  <c r="H183" i="2"/>
  <c r="N178" i="2"/>
  <c r="M178" i="2"/>
  <c r="K180" i="2"/>
  <c r="L179" i="2"/>
  <c r="M175" i="1"/>
  <c r="N175" i="1"/>
  <c r="K176" i="1"/>
  <c r="L176" i="1" s="1"/>
  <c r="P179" i="1"/>
  <c r="H179" i="1" s="1"/>
  <c r="H180" i="1" s="1"/>
  <c r="Q178" i="1"/>
  <c r="I177" i="1"/>
  <c r="N179" i="2" l="1"/>
  <c r="M179" i="2"/>
  <c r="H184" i="2"/>
  <c r="I184" i="2" s="1"/>
  <c r="I183" i="2"/>
  <c r="K181" i="2"/>
  <c r="L180" i="2"/>
  <c r="P185" i="2"/>
  <c r="Q184" i="2"/>
  <c r="N176" i="1"/>
  <c r="M176" i="1"/>
  <c r="K177" i="1"/>
  <c r="L177" i="1" s="1"/>
  <c r="P180" i="1"/>
  <c r="Q179" i="1"/>
  <c r="I178" i="1"/>
  <c r="P186" i="2" l="1"/>
  <c r="Q185" i="2"/>
  <c r="H185" i="2"/>
  <c r="M180" i="2"/>
  <c r="N180" i="2"/>
  <c r="L181" i="2"/>
  <c r="K182" i="2"/>
  <c r="M177" i="1"/>
  <c r="N177" i="1"/>
  <c r="K178" i="1"/>
  <c r="L178" i="1" s="1"/>
  <c r="P181" i="1"/>
  <c r="H181" i="1" s="1"/>
  <c r="H182" i="1" s="1"/>
  <c r="Q180" i="1"/>
  <c r="I179" i="1"/>
  <c r="K183" i="2" l="1"/>
  <c r="L182" i="2"/>
  <c r="H186" i="2"/>
  <c r="I186" i="2" s="1"/>
  <c r="I185" i="2"/>
  <c r="N181" i="2"/>
  <c r="M181" i="2"/>
  <c r="Q186" i="2"/>
  <c r="P187" i="2"/>
  <c r="N178" i="1"/>
  <c r="M178" i="1"/>
  <c r="K179" i="1"/>
  <c r="L179" i="1" s="1"/>
  <c r="P182" i="1"/>
  <c r="Q181" i="1"/>
  <c r="I180" i="1"/>
  <c r="P188" i="2" l="1"/>
  <c r="Q187" i="2"/>
  <c r="H187" i="2"/>
  <c r="N182" i="2"/>
  <c r="M182" i="2"/>
  <c r="K184" i="2"/>
  <c r="L183" i="2"/>
  <c r="M179" i="1"/>
  <c r="N179" i="1"/>
  <c r="K180" i="1"/>
  <c r="L180" i="1" s="1"/>
  <c r="P183" i="1"/>
  <c r="H183" i="1" s="1"/>
  <c r="H184" i="1" s="1"/>
  <c r="Q182" i="1"/>
  <c r="I181" i="1"/>
  <c r="N183" i="2" l="1"/>
  <c r="M183" i="2"/>
  <c r="H188" i="2"/>
  <c r="I188" i="2" s="1"/>
  <c r="I187" i="2"/>
  <c r="K185" i="2"/>
  <c r="L184" i="2"/>
  <c r="P189" i="2"/>
  <c r="Q188" i="2"/>
  <c r="N180" i="1"/>
  <c r="M180" i="1"/>
  <c r="K181" i="1"/>
  <c r="L181" i="1" s="1"/>
  <c r="P184" i="1"/>
  <c r="Q183" i="1"/>
  <c r="I182" i="1"/>
  <c r="M184" i="2" l="1"/>
  <c r="N184" i="2"/>
  <c r="P190" i="2"/>
  <c r="Q189" i="2"/>
  <c r="H189" i="2"/>
  <c r="L185" i="2"/>
  <c r="K186" i="2"/>
  <c r="M181" i="1"/>
  <c r="N181" i="1"/>
  <c r="K182" i="1"/>
  <c r="L182" i="1" s="1"/>
  <c r="P185" i="1"/>
  <c r="H185" i="1" s="1"/>
  <c r="H186" i="1" s="1"/>
  <c r="Q184" i="1"/>
  <c r="I183" i="1"/>
  <c r="K187" i="2" l="1"/>
  <c r="L186" i="2"/>
  <c r="Q190" i="2"/>
  <c r="P191" i="2"/>
  <c r="N185" i="2"/>
  <c r="M185" i="2"/>
  <c r="H190" i="2"/>
  <c r="I190" i="2" s="1"/>
  <c r="I189" i="2"/>
  <c r="N182" i="1"/>
  <c r="M182" i="1"/>
  <c r="K183" i="1"/>
  <c r="L183" i="1" s="1"/>
  <c r="P186" i="1"/>
  <c r="Q185" i="1"/>
  <c r="I184" i="1"/>
  <c r="P192" i="2" l="1"/>
  <c r="Q191" i="2"/>
  <c r="H191" i="2"/>
  <c r="N186" i="2"/>
  <c r="M186" i="2"/>
  <c r="K188" i="2"/>
  <c r="L187" i="2"/>
  <c r="M183" i="1"/>
  <c r="N183" i="1"/>
  <c r="K184" i="1"/>
  <c r="L184" i="1" s="1"/>
  <c r="P187" i="1"/>
  <c r="H187" i="1" s="1"/>
  <c r="H188" i="1" s="1"/>
  <c r="Q186" i="1"/>
  <c r="I185" i="1"/>
  <c r="H192" i="2" l="1"/>
  <c r="I192" i="2" s="1"/>
  <c r="I191" i="2"/>
  <c r="N187" i="2"/>
  <c r="M187" i="2"/>
  <c r="K189" i="2"/>
  <c r="L188" i="2"/>
  <c r="P193" i="2"/>
  <c r="Q192" i="2"/>
  <c r="N184" i="1"/>
  <c r="M184" i="1"/>
  <c r="K185" i="1"/>
  <c r="L185" i="1" s="1"/>
  <c r="P188" i="1"/>
  <c r="Q187" i="1"/>
  <c r="I186" i="1"/>
  <c r="P194" i="2" l="1"/>
  <c r="Q193" i="2"/>
  <c r="H193" i="2"/>
  <c r="L189" i="2"/>
  <c r="K190" i="2"/>
  <c r="M188" i="2"/>
  <c r="N188" i="2"/>
  <c r="M185" i="1"/>
  <c r="N185" i="1"/>
  <c r="K186" i="1"/>
  <c r="L186" i="1" s="1"/>
  <c r="P189" i="1"/>
  <c r="H189" i="1" s="1"/>
  <c r="H190" i="1" s="1"/>
  <c r="Q188" i="1"/>
  <c r="I187" i="1"/>
  <c r="N189" i="2" l="1"/>
  <c r="M189" i="2"/>
  <c r="H194" i="2"/>
  <c r="I194" i="2" s="1"/>
  <c r="I193" i="2"/>
  <c r="K191" i="2"/>
  <c r="L190" i="2"/>
  <c r="P195" i="2"/>
  <c r="Q194" i="2"/>
  <c r="N186" i="1"/>
  <c r="M186" i="1"/>
  <c r="K187" i="1"/>
  <c r="L187" i="1" s="1"/>
  <c r="P190" i="1"/>
  <c r="Q189" i="1"/>
  <c r="I188" i="1"/>
  <c r="P196" i="2" l="1"/>
  <c r="Q195" i="2"/>
  <c r="H195" i="2"/>
  <c r="N190" i="2"/>
  <c r="M190" i="2"/>
  <c r="K192" i="2"/>
  <c r="L191" i="2"/>
  <c r="M187" i="1"/>
  <c r="N187" i="1"/>
  <c r="K188" i="1"/>
  <c r="L188" i="1" s="1"/>
  <c r="P191" i="1"/>
  <c r="H191" i="1" s="1"/>
  <c r="H192" i="1" s="1"/>
  <c r="Q190" i="1"/>
  <c r="I189" i="1"/>
  <c r="N191" i="2" l="1"/>
  <c r="M191" i="2"/>
  <c r="H196" i="2"/>
  <c r="I196" i="2" s="1"/>
  <c r="I195" i="2"/>
  <c r="K193" i="2"/>
  <c r="L192" i="2"/>
  <c r="Q196" i="2"/>
  <c r="P197" i="2"/>
  <c r="N188" i="1"/>
  <c r="M188" i="1"/>
  <c r="K189" i="1"/>
  <c r="L189" i="1" s="1"/>
  <c r="P192" i="1"/>
  <c r="Q191" i="1"/>
  <c r="I190" i="1"/>
  <c r="P198" i="2" l="1"/>
  <c r="Q197" i="2"/>
  <c r="H197" i="2"/>
  <c r="M192" i="2"/>
  <c r="N192" i="2"/>
  <c r="L193" i="2"/>
  <c r="K194" i="2"/>
  <c r="M189" i="1"/>
  <c r="N189" i="1"/>
  <c r="K190" i="1"/>
  <c r="L190" i="1" s="1"/>
  <c r="P193" i="1"/>
  <c r="H193" i="1" s="1"/>
  <c r="H194" i="1" s="1"/>
  <c r="Q192" i="1"/>
  <c r="I191" i="1"/>
  <c r="H198" i="2" l="1"/>
  <c r="I198" i="2" s="1"/>
  <c r="I197" i="2"/>
  <c r="K195" i="2"/>
  <c r="L194" i="2"/>
  <c r="N193" i="2"/>
  <c r="M193" i="2"/>
  <c r="Q198" i="2"/>
  <c r="P199" i="2"/>
  <c r="N190" i="1"/>
  <c r="M190" i="1"/>
  <c r="K191" i="1"/>
  <c r="L191" i="1" s="1"/>
  <c r="P194" i="1"/>
  <c r="Q193" i="1"/>
  <c r="I192" i="1"/>
  <c r="P200" i="2" l="1"/>
  <c r="Q199" i="2"/>
  <c r="H199" i="2"/>
  <c r="N194" i="2"/>
  <c r="M194" i="2"/>
  <c r="L195" i="2"/>
  <c r="K196" i="2"/>
  <c r="M191" i="1"/>
  <c r="N191" i="1"/>
  <c r="K192" i="1"/>
  <c r="L192" i="1" s="1"/>
  <c r="P195" i="1"/>
  <c r="H195" i="1" s="1"/>
  <c r="H196" i="1" s="1"/>
  <c r="Q194" i="1"/>
  <c r="I193" i="1"/>
  <c r="H200" i="2" l="1"/>
  <c r="I200" i="2" s="1"/>
  <c r="I199" i="2"/>
  <c r="N195" i="2"/>
  <c r="M195" i="2"/>
  <c r="K197" i="2"/>
  <c r="L196" i="2"/>
  <c r="P201" i="2"/>
  <c r="Q200" i="2"/>
  <c r="N192" i="1"/>
  <c r="M192" i="1"/>
  <c r="K193" i="1"/>
  <c r="L193" i="1" s="1"/>
  <c r="P196" i="1"/>
  <c r="Q195" i="1"/>
  <c r="I194" i="1"/>
  <c r="P202" i="2" l="1"/>
  <c r="Q201" i="2"/>
  <c r="H201" i="2"/>
  <c r="N196" i="2"/>
  <c r="M196" i="2"/>
  <c r="K198" i="2"/>
  <c r="L197" i="2"/>
  <c r="M193" i="1"/>
  <c r="N193" i="1"/>
  <c r="K194" i="1"/>
  <c r="L194" i="1" s="1"/>
  <c r="P197" i="1"/>
  <c r="H197" i="1" s="1"/>
  <c r="H198" i="1" s="1"/>
  <c r="Q196" i="1"/>
  <c r="I195" i="1"/>
  <c r="N197" i="2" l="1"/>
  <c r="M197" i="2"/>
  <c r="H202" i="2"/>
  <c r="I202" i="2" s="1"/>
  <c r="I201" i="2"/>
  <c r="K199" i="2"/>
  <c r="L198" i="2"/>
  <c r="Q202" i="2"/>
  <c r="P203" i="2"/>
  <c r="N194" i="1"/>
  <c r="M194" i="1"/>
  <c r="K195" i="1"/>
  <c r="L195" i="1" s="1"/>
  <c r="P198" i="1"/>
  <c r="Q197" i="1"/>
  <c r="I197" i="1"/>
  <c r="I196" i="1"/>
  <c r="P204" i="2" l="1"/>
  <c r="Q203" i="2"/>
  <c r="H203" i="2"/>
  <c r="M198" i="2"/>
  <c r="N198" i="2"/>
  <c r="K200" i="2"/>
  <c r="L199" i="2"/>
  <c r="M195" i="1"/>
  <c r="N195" i="1"/>
  <c r="K196" i="1"/>
  <c r="K197" i="1" s="1"/>
  <c r="L197" i="1" s="1"/>
  <c r="N197" i="1" s="1"/>
  <c r="P199" i="1"/>
  <c r="H199" i="1" s="1"/>
  <c r="H200" i="1" s="1"/>
  <c r="Q198" i="1"/>
  <c r="N199" i="2" l="1"/>
  <c r="M199" i="2"/>
  <c r="H204" i="2"/>
  <c r="I204" i="2" s="1"/>
  <c r="I203" i="2"/>
  <c r="K201" i="2"/>
  <c r="L200" i="2"/>
  <c r="P205" i="2"/>
  <c r="Q204" i="2"/>
  <c r="L196" i="1"/>
  <c r="M197" i="1" s="1"/>
  <c r="I198" i="1"/>
  <c r="P200" i="1"/>
  <c r="Q199" i="1"/>
  <c r="P206" i="2" l="1"/>
  <c r="Q205" i="2"/>
  <c r="H205" i="2"/>
  <c r="M200" i="2"/>
  <c r="N200" i="2"/>
  <c r="L201" i="2"/>
  <c r="K202" i="2"/>
  <c r="M196" i="1"/>
  <c r="N196" i="1"/>
  <c r="K198" i="1"/>
  <c r="P201" i="1"/>
  <c r="H201" i="1" s="1"/>
  <c r="H202" i="1" s="1"/>
  <c r="Q200" i="1"/>
  <c r="I199" i="1"/>
  <c r="H206" i="2" l="1"/>
  <c r="I206" i="2" s="1"/>
  <c r="I205" i="2"/>
  <c r="K203" i="2"/>
  <c r="L202" i="2"/>
  <c r="N201" i="2"/>
  <c r="M201" i="2"/>
  <c r="Q206" i="2"/>
  <c r="P207" i="2"/>
  <c r="K199" i="1"/>
  <c r="L199" i="1" s="1"/>
  <c r="N199" i="1" s="1"/>
  <c r="L198" i="1"/>
  <c r="P202" i="1"/>
  <c r="Q201" i="1"/>
  <c r="I200" i="1"/>
  <c r="P208" i="2" l="1"/>
  <c r="Q207" i="2"/>
  <c r="H207" i="2"/>
  <c r="N202" i="2"/>
  <c r="M202" i="2"/>
  <c r="K204" i="2"/>
  <c r="L203" i="2"/>
  <c r="M199" i="1"/>
  <c r="N198" i="1"/>
  <c r="M198" i="1"/>
  <c r="K200" i="1"/>
  <c r="P203" i="1"/>
  <c r="H203" i="1" s="1"/>
  <c r="H204" i="1" s="1"/>
  <c r="Q202" i="1"/>
  <c r="I201" i="1"/>
  <c r="H208" i="2" l="1"/>
  <c r="I208" i="2" s="1"/>
  <c r="I207" i="2"/>
  <c r="K205" i="2"/>
  <c r="L204" i="2"/>
  <c r="N203" i="2"/>
  <c r="M203" i="2"/>
  <c r="P209" i="2"/>
  <c r="Q208" i="2"/>
  <c r="K201" i="1"/>
  <c r="L201" i="1" s="1"/>
  <c r="L200" i="1"/>
  <c r="P204" i="1"/>
  <c r="Q203" i="1"/>
  <c r="I202" i="1"/>
  <c r="M204" i="2" l="1"/>
  <c r="N204" i="2"/>
  <c r="L205" i="2"/>
  <c r="K206" i="2"/>
  <c r="P210" i="2"/>
  <c r="Q209" i="2"/>
  <c r="H209" i="2"/>
  <c r="M201" i="1"/>
  <c r="N201" i="1"/>
  <c r="M200" i="1"/>
  <c r="N200" i="1"/>
  <c r="K202" i="1"/>
  <c r="P205" i="1"/>
  <c r="H205" i="1" s="1"/>
  <c r="H206" i="1" s="1"/>
  <c r="Q204" i="1"/>
  <c r="I203" i="1"/>
  <c r="K207" i="2" l="1"/>
  <c r="L206" i="2"/>
  <c r="H210" i="2"/>
  <c r="I210" i="2" s="1"/>
  <c r="I209" i="2"/>
  <c r="N205" i="2"/>
  <c r="M205" i="2"/>
  <c r="Q210" i="2"/>
  <c r="P211" i="2"/>
  <c r="K203" i="1"/>
  <c r="L203" i="1" s="1"/>
  <c r="N203" i="1" s="1"/>
  <c r="L202" i="1"/>
  <c r="P206" i="1"/>
  <c r="Q205" i="1"/>
  <c r="I204" i="1"/>
  <c r="P212" i="2" l="1"/>
  <c r="Q211" i="2"/>
  <c r="H211" i="2"/>
  <c r="N206" i="2"/>
  <c r="M206" i="2"/>
  <c r="K208" i="2"/>
  <c r="L207" i="2"/>
  <c r="M203" i="1"/>
  <c r="M202" i="1"/>
  <c r="N202" i="1"/>
  <c r="K204" i="1"/>
  <c r="P207" i="1"/>
  <c r="H207" i="1" s="1"/>
  <c r="H208" i="1" s="1"/>
  <c r="Q206" i="1"/>
  <c r="I205" i="1"/>
  <c r="H212" i="2" l="1"/>
  <c r="I212" i="2" s="1"/>
  <c r="I211" i="2"/>
  <c r="N207" i="2"/>
  <c r="M207" i="2"/>
  <c r="K209" i="2"/>
  <c r="L208" i="2"/>
  <c r="P213" i="2"/>
  <c r="Q212" i="2"/>
  <c r="K205" i="1"/>
  <c r="L205" i="1" s="1"/>
  <c r="L204" i="1"/>
  <c r="P208" i="1"/>
  <c r="Q207" i="1"/>
  <c r="I206" i="1"/>
  <c r="L209" i="2" l="1"/>
  <c r="K210" i="2"/>
  <c r="P214" i="2"/>
  <c r="Q213" i="2"/>
  <c r="H213" i="2"/>
  <c r="M208" i="2"/>
  <c r="N208" i="2"/>
  <c r="M205" i="1"/>
  <c r="N205" i="1"/>
  <c r="M204" i="1"/>
  <c r="N204" i="1"/>
  <c r="K206" i="1"/>
  <c r="I207" i="1"/>
  <c r="P209" i="1"/>
  <c r="H209" i="1" s="1"/>
  <c r="H210" i="1" s="1"/>
  <c r="Q208" i="1"/>
  <c r="Q214" i="2" l="1"/>
  <c r="P215" i="2"/>
  <c r="K211" i="2"/>
  <c r="L210" i="2"/>
  <c r="H214" i="2"/>
  <c r="I214" i="2" s="1"/>
  <c r="I213" i="2"/>
  <c r="N209" i="2"/>
  <c r="M209" i="2"/>
  <c r="K207" i="1"/>
  <c r="L207" i="1" s="1"/>
  <c r="N207" i="1" s="1"/>
  <c r="L206" i="1"/>
  <c r="P210" i="1"/>
  <c r="Q209" i="1"/>
  <c r="I208" i="1"/>
  <c r="N210" i="2" l="1"/>
  <c r="M210" i="2"/>
  <c r="K212" i="2"/>
  <c r="L211" i="2"/>
  <c r="P216" i="2"/>
  <c r="Q215" i="2"/>
  <c r="H215" i="2"/>
  <c r="M207" i="1"/>
  <c r="N206" i="1"/>
  <c r="M206" i="1"/>
  <c r="K208" i="1"/>
  <c r="I209" i="1"/>
  <c r="P211" i="1"/>
  <c r="H211" i="1" s="1"/>
  <c r="H212" i="1" s="1"/>
  <c r="Q210" i="1"/>
  <c r="N211" i="2" l="1"/>
  <c r="M211" i="2"/>
  <c r="H216" i="2"/>
  <c r="I216" i="2" s="1"/>
  <c r="I215" i="2"/>
  <c r="K213" i="2"/>
  <c r="L212" i="2"/>
  <c r="P217" i="2"/>
  <c r="Q216" i="2"/>
  <c r="K209" i="1"/>
  <c r="L209" i="1" s="1"/>
  <c r="L208" i="1"/>
  <c r="P212" i="1"/>
  <c r="Q211" i="1"/>
  <c r="I210" i="1"/>
  <c r="P218" i="2" l="1"/>
  <c r="Q217" i="2"/>
  <c r="H217" i="2"/>
  <c r="M212" i="2"/>
  <c r="N212" i="2"/>
  <c r="L213" i="2"/>
  <c r="K214" i="2"/>
  <c r="M209" i="1"/>
  <c r="N209" i="1"/>
  <c r="N208" i="1"/>
  <c r="M208" i="1"/>
  <c r="K210" i="1"/>
  <c r="I211" i="1"/>
  <c r="P213" i="1"/>
  <c r="H213" i="1" s="1"/>
  <c r="H214" i="1" s="1"/>
  <c r="Q212" i="1"/>
  <c r="K215" i="2" l="1"/>
  <c r="L214" i="2"/>
  <c r="N213" i="2"/>
  <c r="M213" i="2"/>
  <c r="H218" i="2"/>
  <c r="I218" i="2" s="1"/>
  <c r="I217" i="2"/>
  <c r="P219" i="2"/>
  <c r="Q218" i="2"/>
  <c r="K211" i="1"/>
  <c r="L211" i="1" s="1"/>
  <c r="N211" i="1" s="1"/>
  <c r="L210" i="1"/>
  <c r="P214" i="1"/>
  <c r="Q213" i="1"/>
  <c r="I212" i="1"/>
  <c r="P220" i="2" l="1"/>
  <c r="Q219" i="2"/>
  <c r="H219" i="2"/>
  <c r="N214" i="2"/>
  <c r="M214" i="2"/>
  <c r="K216" i="2"/>
  <c r="L215" i="2"/>
  <c r="M211" i="1"/>
  <c r="N210" i="1"/>
  <c r="M210" i="1"/>
  <c r="K212" i="1"/>
  <c r="I213" i="1"/>
  <c r="P215" i="1"/>
  <c r="H215" i="1" s="1"/>
  <c r="H216" i="1" s="1"/>
  <c r="Q214" i="1"/>
  <c r="N215" i="2" l="1"/>
  <c r="M215" i="2"/>
  <c r="H220" i="2"/>
  <c r="I220" i="2" s="1"/>
  <c r="I219" i="2"/>
  <c r="K217" i="2"/>
  <c r="L216" i="2"/>
  <c r="P221" i="2"/>
  <c r="Q220" i="2"/>
  <c r="K213" i="1"/>
  <c r="L213" i="1" s="1"/>
  <c r="L212" i="1"/>
  <c r="P216" i="1"/>
  <c r="Q215" i="1"/>
  <c r="I214" i="1"/>
  <c r="M216" i="2" l="1"/>
  <c r="N216" i="2"/>
  <c r="P222" i="2"/>
  <c r="Q221" i="2"/>
  <c r="H221" i="2"/>
  <c r="L217" i="2"/>
  <c r="K218" i="2"/>
  <c r="M213" i="1"/>
  <c r="N213" i="1"/>
  <c r="N212" i="1"/>
  <c r="M212" i="1"/>
  <c r="K214" i="1"/>
  <c r="I215" i="1"/>
  <c r="P217" i="1"/>
  <c r="H217" i="1" s="1"/>
  <c r="H218" i="1" s="1"/>
  <c r="Q216" i="1"/>
  <c r="K219" i="2" l="1"/>
  <c r="L218" i="2"/>
  <c r="P223" i="2"/>
  <c r="Q222" i="2"/>
  <c r="N217" i="2"/>
  <c r="M217" i="2"/>
  <c r="H222" i="2"/>
  <c r="I222" i="2" s="1"/>
  <c r="I221" i="2"/>
  <c r="K215" i="1"/>
  <c r="L215" i="1" s="1"/>
  <c r="N215" i="1" s="1"/>
  <c r="L214" i="1"/>
  <c r="P218" i="1"/>
  <c r="Q217" i="1"/>
  <c r="I216" i="1"/>
  <c r="P224" i="2" l="1"/>
  <c r="Q223" i="2"/>
  <c r="H223" i="2"/>
  <c r="N218" i="2"/>
  <c r="M218" i="2"/>
  <c r="L219" i="2"/>
  <c r="K220" i="2"/>
  <c r="M215" i="1"/>
  <c r="N214" i="1"/>
  <c r="M214" i="1"/>
  <c r="K216" i="1"/>
  <c r="I217" i="1"/>
  <c r="P219" i="1"/>
  <c r="H219" i="1" s="1"/>
  <c r="H220" i="1" s="1"/>
  <c r="Q218" i="1"/>
  <c r="H224" i="2" l="1"/>
  <c r="I224" i="2" s="1"/>
  <c r="I223" i="2"/>
  <c r="K221" i="2"/>
  <c r="L220" i="2"/>
  <c r="N219" i="2"/>
  <c r="M219" i="2"/>
  <c r="P225" i="2"/>
  <c r="Q224" i="2"/>
  <c r="K217" i="1"/>
  <c r="L217" i="1" s="1"/>
  <c r="L216" i="1"/>
  <c r="P220" i="1"/>
  <c r="Q219" i="1"/>
  <c r="I218" i="1"/>
  <c r="N220" i="2" l="1"/>
  <c r="M220" i="2"/>
  <c r="L221" i="2"/>
  <c r="K222" i="2"/>
  <c r="P226" i="2"/>
  <c r="Q225" i="2"/>
  <c r="H225" i="2"/>
  <c r="M217" i="1"/>
  <c r="N217" i="1"/>
  <c r="N216" i="1"/>
  <c r="M216" i="1"/>
  <c r="K218" i="1"/>
  <c r="I219" i="1"/>
  <c r="P221" i="1"/>
  <c r="H221" i="1" s="1"/>
  <c r="H222" i="1" s="1"/>
  <c r="Q220" i="1"/>
  <c r="K223" i="2" l="1"/>
  <c r="L222" i="2"/>
  <c r="H226" i="2"/>
  <c r="I226" i="2" s="1"/>
  <c r="I225" i="2"/>
  <c r="N221" i="2"/>
  <c r="M221" i="2"/>
  <c r="P227" i="2"/>
  <c r="Q226" i="2"/>
  <c r="K219" i="1"/>
  <c r="L219" i="1" s="1"/>
  <c r="N219" i="1" s="1"/>
  <c r="L218" i="1"/>
  <c r="P222" i="1"/>
  <c r="Q221" i="1"/>
  <c r="I220" i="1"/>
  <c r="N222" i="2" l="1"/>
  <c r="M222" i="2"/>
  <c r="P228" i="2"/>
  <c r="Q227" i="2"/>
  <c r="H227" i="2"/>
  <c r="L223" i="2"/>
  <c r="K224" i="2"/>
  <c r="M219" i="1"/>
  <c r="N218" i="1"/>
  <c r="M218" i="1"/>
  <c r="K220" i="1"/>
  <c r="I221" i="1"/>
  <c r="P223" i="1"/>
  <c r="H223" i="1" s="1"/>
  <c r="H224" i="1" s="1"/>
  <c r="Q222" i="1"/>
  <c r="K225" i="2" l="1"/>
  <c r="L224" i="2"/>
  <c r="P229" i="2"/>
  <c r="Q228" i="2"/>
  <c r="N223" i="2"/>
  <c r="M223" i="2"/>
  <c r="H228" i="2"/>
  <c r="I228" i="2" s="1"/>
  <c r="I227" i="2"/>
  <c r="K221" i="1"/>
  <c r="L221" i="1" s="1"/>
  <c r="L220" i="1"/>
  <c r="P224" i="1"/>
  <c r="Q223" i="1"/>
  <c r="I222" i="1"/>
  <c r="P230" i="2" l="1"/>
  <c r="Q229" i="2"/>
  <c r="H229" i="2"/>
  <c r="N224" i="2"/>
  <c r="M224" i="2"/>
  <c r="L225" i="2"/>
  <c r="K226" i="2"/>
  <c r="M221" i="1"/>
  <c r="N221" i="1"/>
  <c r="N220" i="1"/>
  <c r="M220" i="1"/>
  <c r="K222" i="1"/>
  <c r="I223" i="1"/>
  <c r="P225" i="1"/>
  <c r="H225" i="1" s="1"/>
  <c r="H226" i="1" s="1"/>
  <c r="Q224" i="1"/>
  <c r="H230" i="2" l="1"/>
  <c r="I230" i="2" s="1"/>
  <c r="I229" i="2"/>
  <c r="K227" i="2"/>
  <c r="L226" i="2"/>
  <c r="N225" i="2"/>
  <c r="M225" i="2"/>
  <c r="P231" i="2"/>
  <c r="Q230" i="2"/>
  <c r="K223" i="1"/>
  <c r="L223" i="1" s="1"/>
  <c r="N223" i="1" s="1"/>
  <c r="L222" i="1"/>
  <c r="P226" i="1"/>
  <c r="Q225" i="1"/>
  <c r="I224" i="1"/>
  <c r="N226" i="2" l="1"/>
  <c r="M226" i="2"/>
  <c r="L227" i="2"/>
  <c r="K228" i="2"/>
  <c r="P232" i="2"/>
  <c r="Q231" i="2"/>
  <c r="H231" i="2"/>
  <c r="M223" i="1"/>
  <c r="N222" i="1"/>
  <c r="M222" i="1"/>
  <c r="K224" i="1"/>
  <c r="I225" i="1"/>
  <c r="P227" i="1"/>
  <c r="H227" i="1" s="1"/>
  <c r="H228" i="1" s="1"/>
  <c r="Q226" i="1"/>
  <c r="K229" i="2" l="1"/>
  <c r="L228" i="2"/>
  <c r="N227" i="2"/>
  <c r="M227" i="2"/>
  <c r="H232" i="2"/>
  <c r="I232" i="2" s="1"/>
  <c r="I231" i="2"/>
  <c r="Q232" i="2"/>
  <c r="P233" i="2"/>
  <c r="K225" i="1"/>
  <c r="L225" i="1" s="1"/>
  <c r="L224" i="1"/>
  <c r="P228" i="1"/>
  <c r="Q227" i="1"/>
  <c r="I226" i="1"/>
  <c r="Q233" i="2" l="1"/>
  <c r="P234" i="2"/>
  <c r="H233" i="2"/>
  <c r="N228" i="2"/>
  <c r="M228" i="2"/>
  <c r="L229" i="2"/>
  <c r="K230" i="2"/>
  <c r="M225" i="1"/>
  <c r="N225" i="1"/>
  <c r="N224" i="1"/>
  <c r="M224" i="1"/>
  <c r="K226" i="1"/>
  <c r="I227" i="1"/>
  <c r="P229" i="1"/>
  <c r="H229" i="1" s="1"/>
  <c r="H230" i="1" s="1"/>
  <c r="Q228" i="1"/>
  <c r="H234" i="2" l="1"/>
  <c r="I234" i="2" s="1"/>
  <c r="I233" i="2"/>
  <c r="Q234" i="2"/>
  <c r="P235" i="2"/>
  <c r="K231" i="2"/>
  <c r="L230" i="2"/>
  <c r="N229" i="2"/>
  <c r="M229" i="2"/>
  <c r="K227" i="1"/>
  <c r="L227" i="1" s="1"/>
  <c r="N227" i="1" s="1"/>
  <c r="L226" i="1"/>
  <c r="P230" i="1"/>
  <c r="Q229" i="1"/>
  <c r="I228" i="1"/>
  <c r="L231" i="2" l="1"/>
  <c r="K232" i="2"/>
  <c r="P236" i="2"/>
  <c r="Q235" i="2"/>
  <c r="H235" i="2"/>
  <c r="N230" i="2"/>
  <c r="M230" i="2"/>
  <c r="M227" i="1"/>
  <c r="N226" i="1"/>
  <c r="M226" i="1"/>
  <c r="K228" i="1"/>
  <c r="I229" i="1"/>
  <c r="P231" i="1"/>
  <c r="H231" i="1" s="1"/>
  <c r="H232" i="1" s="1"/>
  <c r="Q230" i="1"/>
  <c r="Q236" i="2" l="1"/>
  <c r="P237" i="2"/>
  <c r="K233" i="2"/>
  <c r="L232" i="2"/>
  <c r="I235" i="2"/>
  <c r="H236" i="2"/>
  <c r="I236" i="2" s="1"/>
  <c r="N231" i="2"/>
  <c r="M231" i="2"/>
  <c r="K229" i="1"/>
  <c r="L229" i="1" s="1"/>
  <c r="L228" i="1"/>
  <c r="P232" i="1"/>
  <c r="Q231" i="1"/>
  <c r="I230" i="1"/>
  <c r="M232" i="2" l="1"/>
  <c r="N232" i="2"/>
  <c r="L233" i="2"/>
  <c r="K234" i="2"/>
  <c r="Q237" i="2"/>
  <c r="P238" i="2"/>
  <c r="H237" i="2"/>
  <c r="M229" i="1"/>
  <c r="N229" i="1"/>
  <c r="N228" i="1"/>
  <c r="M228" i="1"/>
  <c r="K230" i="1"/>
  <c r="I231" i="1"/>
  <c r="P233" i="1"/>
  <c r="H233" i="1" s="1"/>
  <c r="H234" i="1" s="1"/>
  <c r="Q232" i="1"/>
  <c r="K235" i="2" l="1"/>
  <c r="L234" i="2"/>
  <c r="M233" i="2"/>
  <c r="N233" i="2"/>
  <c r="H238" i="2"/>
  <c r="I238" i="2" s="1"/>
  <c r="I237" i="2"/>
  <c r="Q238" i="2"/>
  <c r="P239" i="2"/>
  <c r="K231" i="1"/>
  <c r="L231" i="1" s="1"/>
  <c r="N231" i="1" s="1"/>
  <c r="L230" i="1"/>
  <c r="P234" i="1"/>
  <c r="Q233" i="1"/>
  <c r="I232" i="1"/>
  <c r="P240" i="2" l="1"/>
  <c r="Q239" i="2"/>
  <c r="H239" i="2"/>
  <c r="M234" i="2"/>
  <c r="N234" i="2"/>
  <c r="K236" i="2"/>
  <c r="L235" i="2"/>
  <c r="M231" i="1"/>
  <c r="N230" i="1"/>
  <c r="M230" i="1"/>
  <c r="K232" i="1"/>
  <c r="I233" i="1"/>
  <c r="P235" i="1"/>
  <c r="H235" i="1" s="1"/>
  <c r="H236" i="1" s="1"/>
  <c r="Q234" i="1"/>
  <c r="N235" i="2" l="1"/>
  <c r="M235" i="2"/>
  <c r="I239" i="2"/>
  <c r="H240" i="2"/>
  <c r="I240" i="2" s="1"/>
  <c r="K237" i="2"/>
  <c r="L236" i="2"/>
  <c r="Q240" i="2"/>
  <c r="P241" i="2"/>
  <c r="K233" i="1"/>
  <c r="L233" i="1" s="1"/>
  <c r="N233" i="1" s="1"/>
  <c r="L232" i="1"/>
  <c r="P236" i="1"/>
  <c r="Q235" i="1"/>
  <c r="I234" i="1"/>
  <c r="M236" i="2" l="1"/>
  <c r="N236" i="2"/>
  <c r="Q241" i="2"/>
  <c r="P242" i="2"/>
  <c r="H241" i="2"/>
  <c r="L237" i="2"/>
  <c r="K238" i="2"/>
  <c r="M233" i="1"/>
  <c r="N232" i="1"/>
  <c r="M232" i="1"/>
  <c r="K234" i="1"/>
  <c r="I235" i="1"/>
  <c r="P237" i="1"/>
  <c r="H237" i="1" s="1"/>
  <c r="H238" i="1" s="1"/>
  <c r="Q236" i="1"/>
  <c r="Q242" i="2" l="1"/>
  <c r="P243" i="2"/>
  <c r="K239" i="2"/>
  <c r="L238" i="2"/>
  <c r="M237" i="2"/>
  <c r="N237" i="2"/>
  <c r="H242" i="2"/>
  <c r="I242" i="2" s="1"/>
  <c r="I241" i="2"/>
  <c r="K235" i="1"/>
  <c r="L235" i="1" s="1"/>
  <c r="L234" i="1"/>
  <c r="P238" i="1"/>
  <c r="Q237" i="1"/>
  <c r="I236" i="1"/>
  <c r="M238" i="2" l="1"/>
  <c r="N238" i="2"/>
  <c r="K240" i="2"/>
  <c r="L239" i="2"/>
  <c r="P244" i="2"/>
  <c r="Q243" i="2"/>
  <c r="H243" i="2"/>
  <c r="M235" i="1"/>
  <c r="N235" i="1"/>
  <c r="N234" i="1"/>
  <c r="M234" i="1"/>
  <c r="K236" i="1"/>
  <c r="I237" i="1"/>
  <c r="P239" i="1"/>
  <c r="H239" i="1" s="1"/>
  <c r="H240" i="1" s="1"/>
  <c r="Q238" i="1"/>
  <c r="N239" i="2" l="1"/>
  <c r="M239" i="2"/>
  <c r="I243" i="2"/>
  <c r="H244" i="2"/>
  <c r="I244" i="2" s="1"/>
  <c r="K241" i="2"/>
  <c r="L240" i="2"/>
  <c r="Q244" i="2"/>
  <c r="P245" i="2"/>
  <c r="K237" i="1"/>
  <c r="L237" i="1" s="1"/>
  <c r="N237" i="1" s="1"/>
  <c r="L236" i="1"/>
  <c r="P240" i="1"/>
  <c r="Q239" i="1"/>
  <c r="I238" i="1"/>
  <c r="M240" i="2" l="1"/>
  <c r="N240" i="2"/>
  <c r="P246" i="2"/>
  <c r="Q245" i="2"/>
  <c r="H245" i="2"/>
  <c r="L241" i="2"/>
  <c r="K242" i="2"/>
  <c r="M237" i="1"/>
  <c r="N236" i="1"/>
  <c r="M236" i="1"/>
  <c r="K238" i="1"/>
  <c r="I239" i="1"/>
  <c r="P241" i="1"/>
  <c r="H241" i="1" s="1"/>
  <c r="H242" i="1" s="1"/>
  <c r="Q240" i="1"/>
  <c r="K243" i="2" l="1"/>
  <c r="L242" i="2"/>
  <c r="Q246" i="2"/>
  <c r="P247" i="2"/>
  <c r="M241" i="2"/>
  <c r="N241" i="2"/>
  <c r="H246" i="2"/>
  <c r="I246" i="2" s="1"/>
  <c r="I245" i="2"/>
  <c r="K239" i="1"/>
  <c r="L239" i="1" s="1"/>
  <c r="L238" i="1"/>
  <c r="P242" i="1"/>
  <c r="Q241" i="1"/>
  <c r="I240" i="1"/>
  <c r="Q247" i="2" l="1"/>
  <c r="P248" i="2"/>
  <c r="H247" i="2"/>
  <c r="M242" i="2"/>
  <c r="N242" i="2"/>
  <c r="K244" i="2"/>
  <c r="L243" i="2"/>
  <c r="M239" i="1"/>
  <c r="N239" i="1"/>
  <c r="N238" i="1"/>
  <c r="M238" i="1"/>
  <c r="K240" i="1"/>
  <c r="I241" i="1"/>
  <c r="P243" i="1"/>
  <c r="H243" i="1" s="1"/>
  <c r="H244" i="1" s="1"/>
  <c r="Q242" i="1"/>
  <c r="H248" i="2" l="1"/>
  <c r="I248" i="2" s="1"/>
  <c r="I247" i="2"/>
  <c r="N243" i="2"/>
  <c r="M243" i="2"/>
  <c r="Q248" i="2"/>
  <c r="P249" i="2"/>
  <c r="K245" i="2"/>
  <c r="L244" i="2"/>
  <c r="K241" i="1"/>
  <c r="L241" i="1" s="1"/>
  <c r="N241" i="1" s="1"/>
  <c r="L240" i="1"/>
  <c r="P244" i="1"/>
  <c r="Q243" i="1"/>
  <c r="I242" i="1"/>
  <c r="M244" i="2" l="1"/>
  <c r="N244" i="2"/>
  <c r="K246" i="2"/>
  <c r="L245" i="2"/>
  <c r="P250" i="2"/>
  <c r="Q249" i="2"/>
  <c r="H249" i="2"/>
  <c r="M241" i="1"/>
  <c r="N240" i="1"/>
  <c r="M240" i="1"/>
  <c r="K242" i="1"/>
  <c r="I243" i="1"/>
  <c r="P245" i="1"/>
  <c r="H245" i="1" s="1"/>
  <c r="H246" i="1" s="1"/>
  <c r="Q244" i="1"/>
  <c r="M245" i="2" l="1"/>
  <c r="N245" i="2"/>
  <c r="I249" i="2"/>
  <c r="H250" i="2"/>
  <c r="I250" i="2" s="1"/>
  <c r="K247" i="2"/>
  <c r="L246" i="2"/>
  <c r="Q250" i="2"/>
  <c r="P251" i="2"/>
  <c r="K243" i="1"/>
  <c r="L243" i="1" s="1"/>
  <c r="L242" i="1"/>
  <c r="P246" i="1"/>
  <c r="Q245" i="1"/>
  <c r="I245" i="1"/>
  <c r="I244" i="1"/>
  <c r="Q251" i="2" l="1"/>
  <c r="P252" i="2"/>
  <c r="H251" i="2"/>
  <c r="M246" i="2"/>
  <c r="N246" i="2"/>
  <c r="L247" i="2"/>
  <c r="K248" i="2"/>
  <c r="M243" i="1"/>
  <c r="N243" i="1"/>
  <c r="N242" i="1"/>
  <c r="M242" i="1"/>
  <c r="K244" i="1"/>
  <c r="K245" i="1" s="1"/>
  <c r="P247" i="1"/>
  <c r="H247" i="1" s="1"/>
  <c r="H248" i="1" s="1"/>
  <c r="Q246" i="1"/>
  <c r="H252" i="2" l="1"/>
  <c r="I252" i="2" s="1"/>
  <c r="I251" i="2"/>
  <c r="K249" i="2"/>
  <c r="L248" i="2"/>
  <c r="N247" i="2"/>
  <c r="M247" i="2"/>
  <c r="Q252" i="2"/>
  <c r="P253" i="2"/>
  <c r="L245" i="1"/>
  <c r="N245" i="1" s="1"/>
  <c r="L244" i="1"/>
  <c r="I246" i="1"/>
  <c r="P248" i="1"/>
  <c r="Q247" i="1"/>
  <c r="P254" i="2" l="1"/>
  <c r="Q253" i="2"/>
  <c r="H253" i="2"/>
  <c r="M248" i="2"/>
  <c r="N248" i="2"/>
  <c r="K250" i="2"/>
  <c r="L249" i="2"/>
  <c r="M245" i="1"/>
  <c r="N244" i="1"/>
  <c r="M244" i="1"/>
  <c r="K246" i="1"/>
  <c r="L246" i="1" s="1"/>
  <c r="P249" i="1"/>
  <c r="H249" i="1" s="1"/>
  <c r="H250" i="1" s="1"/>
  <c r="Q248" i="1"/>
  <c r="I247" i="1"/>
  <c r="I253" i="2" l="1"/>
  <c r="H254" i="2"/>
  <c r="I254" i="2" s="1"/>
  <c r="N249" i="2"/>
  <c r="M249" i="2"/>
  <c r="K251" i="2"/>
  <c r="L250" i="2"/>
  <c r="Q254" i="2"/>
  <c r="P255" i="2"/>
  <c r="N246" i="1"/>
  <c r="M246" i="1"/>
  <c r="K247" i="1"/>
  <c r="L247" i="1" s="1"/>
  <c r="I248" i="1"/>
  <c r="P250" i="1"/>
  <c r="Q249" i="1"/>
  <c r="M250" i="2" l="1"/>
  <c r="N250" i="2"/>
  <c r="Q255" i="2"/>
  <c r="P256" i="2"/>
  <c r="H255" i="2"/>
  <c r="L251" i="2"/>
  <c r="K252" i="2"/>
  <c r="N247" i="1"/>
  <c r="M247" i="1"/>
  <c r="K248" i="1"/>
  <c r="L248" i="1" s="1"/>
  <c r="P251" i="1"/>
  <c r="H251" i="1" s="1"/>
  <c r="H252" i="1" s="1"/>
  <c r="Q250" i="1"/>
  <c r="I249" i="1"/>
  <c r="K253" i="2" l="1"/>
  <c r="L252" i="2"/>
  <c r="N251" i="2"/>
  <c r="M251" i="2"/>
  <c r="Q256" i="2"/>
  <c r="P257" i="2"/>
  <c r="H256" i="2"/>
  <c r="I256" i="2" s="1"/>
  <c r="I255" i="2"/>
  <c r="N248" i="1"/>
  <c r="M248" i="1"/>
  <c r="K249" i="1"/>
  <c r="L249" i="1" s="1"/>
  <c r="I250" i="1"/>
  <c r="P252" i="1"/>
  <c r="Q251" i="1"/>
  <c r="P258" i="2" l="1"/>
  <c r="Q257" i="2"/>
  <c r="H257" i="2"/>
  <c r="M252" i="2"/>
  <c r="N252" i="2"/>
  <c r="K254" i="2"/>
  <c r="L253" i="2"/>
  <c r="N249" i="1"/>
  <c r="M249" i="1"/>
  <c r="K250" i="1"/>
  <c r="L250" i="1" s="1"/>
  <c r="P253" i="1"/>
  <c r="H253" i="1" s="1"/>
  <c r="H254" i="1" s="1"/>
  <c r="Q252" i="1"/>
  <c r="I251" i="1"/>
  <c r="N253" i="2" l="1"/>
  <c r="M253" i="2"/>
  <c r="I257" i="2"/>
  <c r="H258" i="2"/>
  <c r="I258" i="2" s="1"/>
  <c r="K255" i="2"/>
  <c r="L254" i="2"/>
  <c r="Q258" i="2"/>
  <c r="P259" i="2"/>
  <c r="N250" i="1"/>
  <c r="M250" i="1"/>
  <c r="K251" i="1"/>
  <c r="L251" i="1" s="1"/>
  <c r="I252" i="1"/>
  <c r="P254" i="1"/>
  <c r="Q253" i="1"/>
  <c r="P260" i="2" l="1"/>
  <c r="Q259" i="2"/>
  <c r="H259" i="2"/>
  <c r="M254" i="2"/>
  <c r="N254" i="2"/>
  <c r="L255" i="2"/>
  <c r="K256" i="2"/>
  <c r="N251" i="1"/>
  <c r="M251" i="1"/>
  <c r="K252" i="1"/>
  <c r="L252" i="1" s="1"/>
  <c r="P255" i="1"/>
  <c r="H255" i="1" s="1"/>
  <c r="H256" i="1" s="1"/>
  <c r="Q254" i="1"/>
  <c r="I253" i="1"/>
  <c r="H260" i="2" l="1"/>
  <c r="I260" i="2" s="1"/>
  <c r="I259" i="2"/>
  <c r="K257" i="2"/>
  <c r="L256" i="2"/>
  <c r="N255" i="2"/>
  <c r="M255" i="2"/>
  <c r="Q260" i="2"/>
  <c r="P261" i="2"/>
  <c r="N252" i="1"/>
  <c r="M252" i="1"/>
  <c r="K253" i="1"/>
  <c r="L253" i="1" s="1"/>
  <c r="I254" i="1"/>
  <c r="P256" i="1"/>
  <c r="Q255" i="1"/>
  <c r="P262" i="2" l="1"/>
  <c r="Q261" i="2"/>
  <c r="H261" i="2"/>
  <c r="M256" i="2"/>
  <c r="N256" i="2"/>
  <c r="K258" i="2"/>
  <c r="L257" i="2"/>
  <c r="N253" i="1"/>
  <c r="M253" i="1"/>
  <c r="K254" i="1"/>
  <c r="L254" i="1" s="1"/>
  <c r="P257" i="1"/>
  <c r="H257" i="1" s="1"/>
  <c r="H258" i="1" s="1"/>
  <c r="Q256" i="1"/>
  <c r="I255" i="1"/>
  <c r="N257" i="2" l="1"/>
  <c r="M257" i="2"/>
  <c r="I261" i="2"/>
  <c r="H262" i="2"/>
  <c r="I262" i="2" s="1"/>
  <c r="K259" i="2"/>
  <c r="L258" i="2"/>
  <c r="Q262" i="2"/>
  <c r="P263" i="2"/>
  <c r="N254" i="1"/>
  <c r="M254" i="1"/>
  <c r="K255" i="1"/>
  <c r="L255" i="1" s="1"/>
  <c r="I256" i="1"/>
  <c r="P258" i="1"/>
  <c r="Q257" i="1"/>
  <c r="M258" i="2" l="1"/>
  <c r="N258" i="2"/>
  <c r="Q263" i="2"/>
  <c r="P264" i="2"/>
  <c r="H263" i="2"/>
  <c r="L259" i="2"/>
  <c r="K260" i="2"/>
  <c r="N255" i="1"/>
  <c r="M255" i="1"/>
  <c r="K256" i="1"/>
  <c r="L256" i="1" s="1"/>
  <c r="P259" i="1"/>
  <c r="H259" i="1" s="1"/>
  <c r="H260" i="1" s="1"/>
  <c r="Q258" i="1"/>
  <c r="I257" i="1"/>
  <c r="Q264" i="2" l="1"/>
  <c r="P265" i="2"/>
  <c r="K261" i="2"/>
  <c r="L260" i="2"/>
  <c r="N259" i="2"/>
  <c r="M259" i="2"/>
  <c r="H264" i="2"/>
  <c r="I264" i="2" s="1"/>
  <c r="I263" i="2"/>
  <c r="N256" i="1"/>
  <c r="M256" i="1"/>
  <c r="K257" i="1"/>
  <c r="L257" i="1" s="1"/>
  <c r="I258" i="1"/>
  <c r="P260" i="1"/>
  <c r="Q259" i="1"/>
  <c r="M260" i="2" l="1"/>
  <c r="N260" i="2"/>
  <c r="P266" i="2"/>
  <c r="Q265" i="2"/>
  <c r="H265" i="2"/>
  <c r="K262" i="2"/>
  <c r="L261" i="2"/>
  <c r="N257" i="1"/>
  <c r="M257" i="1"/>
  <c r="K258" i="1"/>
  <c r="L258" i="1" s="1"/>
  <c r="P261" i="1"/>
  <c r="H261" i="1" s="1"/>
  <c r="H262" i="1" s="1"/>
  <c r="Q260" i="1"/>
  <c r="I259" i="1"/>
  <c r="N261" i="2" l="1"/>
  <c r="M261" i="2"/>
  <c r="Q266" i="2"/>
  <c r="P267" i="2"/>
  <c r="K263" i="2"/>
  <c r="L262" i="2"/>
  <c r="I265" i="2"/>
  <c r="H266" i="2"/>
  <c r="I266" i="2" s="1"/>
  <c r="N258" i="1"/>
  <c r="M258" i="1"/>
  <c r="K259" i="1"/>
  <c r="L259" i="1" s="1"/>
  <c r="I260" i="1"/>
  <c r="P262" i="1"/>
  <c r="Q261" i="1"/>
  <c r="Q267" i="2" l="1"/>
  <c r="P268" i="2"/>
  <c r="H267" i="2"/>
  <c r="M262" i="2"/>
  <c r="N262" i="2"/>
  <c r="L263" i="2"/>
  <c r="K264" i="2"/>
  <c r="N259" i="1"/>
  <c r="M259" i="1"/>
  <c r="K260" i="1"/>
  <c r="L260" i="1" s="1"/>
  <c r="P263" i="1"/>
  <c r="H263" i="1" s="1"/>
  <c r="H264" i="1" s="1"/>
  <c r="Q262" i="1"/>
  <c r="I261" i="1"/>
  <c r="H268" i="2" l="1"/>
  <c r="I268" i="2" s="1"/>
  <c r="I267" i="2"/>
  <c r="K265" i="2"/>
  <c r="L264" i="2"/>
  <c r="Q268" i="2"/>
  <c r="P269" i="2"/>
  <c r="M263" i="2"/>
  <c r="N263" i="2"/>
  <c r="N260" i="1"/>
  <c r="M260" i="1"/>
  <c r="K261" i="1"/>
  <c r="L261" i="1" s="1"/>
  <c r="I262" i="1"/>
  <c r="P264" i="1"/>
  <c r="Q263" i="1"/>
  <c r="M264" i="2" l="1"/>
  <c r="N264" i="2"/>
  <c r="K266" i="2"/>
  <c r="L265" i="2"/>
  <c r="P270" i="2"/>
  <c r="Q269" i="2"/>
  <c r="H269" i="2"/>
  <c r="N261" i="1"/>
  <c r="M261" i="1"/>
  <c r="K262" i="1"/>
  <c r="L262" i="1" s="1"/>
  <c r="P265" i="1"/>
  <c r="H265" i="1" s="1"/>
  <c r="H266" i="1" s="1"/>
  <c r="Q264" i="1"/>
  <c r="I263" i="1"/>
  <c r="N265" i="2" l="1"/>
  <c r="M265" i="2"/>
  <c r="I269" i="2"/>
  <c r="H270" i="2"/>
  <c r="I270" i="2" s="1"/>
  <c r="K267" i="2"/>
  <c r="L266" i="2"/>
  <c r="Q270" i="2"/>
  <c r="P271" i="2"/>
  <c r="N262" i="1"/>
  <c r="M262" i="1"/>
  <c r="K263" i="1"/>
  <c r="L263" i="1" s="1"/>
  <c r="I264" i="1"/>
  <c r="P266" i="1"/>
  <c r="Q265" i="1"/>
  <c r="Q271" i="2" l="1"/>
  <c r="P272" i="2"/>
  <c r="H271" i="2"/>
  <c r="M266" i="2"/>
  <c r="N266" i="2"/>
  <c r="L267" i="2"/>
  <c r="K268" i="2"/>
  <c r="N263" i="1"/>
  <c r="M263" i="1"/>
  <c r="K264" i="1"/>
  <c r="L264" i="1" s="1"/>
  <c r="P267" i="1"/>
  <c r="H267" i="1" s="1"/>
  <c r="H268" i="1" s="1"/>
  <c r="Q266" i="1"/>
  <c r="I265" i="1"/>
  <c r="H272" i="2" l="1"/>
  <c r="I272" i="2" s="1"/>
  <c r="I271" i="2"/>
  <c r="Q272" i="2"/>
  <c r="P273" i="2"/>
  <c r="K269" i="2"/>
  <c r="L268" i="2"/>
  <c r="M267" i="2"/>
  <c r="N267" i="2"/>
  <c r="N264" i="1"/>
  <c r="M264" i="1"/>
  <c r="K265" i="1"/>
  <c r="L265" i="1" s="1"/>
  <c r="I266" i="1"/>
  <c r="P268" i="1"/>
  <c r="Q267" i="1"/>
  <c r="P274" i="2" l="1"/>
  <c r="Q273" i="2"/>
  <c r="H273" i="2"/>
  <c r="K270" i="2"/>
  <c r="L269" i="2"/>
  <c r="M268" i="2"/>
  <c r="N268" i="2"/>
  <c r="N265" i="1"/>
  <c r="M265" i="1"/>
  <c r="K266" i="1"/>
  <c r="L266" i="1" s="1"/>
  <c r="P269" i="1"/>
  <c r="H269" i="1" s="1"/>
  <c r="H270" i="1" s="1"/>
  <c r="Q268" i="1"/>
  <c r="I267" i="1"/>
  <c r="K271" i="2" l="1"/>
  <c r="L270" i="2"/>
  <c r="I273" i="2"/>
  <c r="H274" i="2"/>
  <c r="I274" i="2" s="1"/>
  <c r="N269" i="2"/>
  <c r="M269" i="2"/>
  <c r="Q274" i="2"/>
  <c r="P275" i="2"/>
  <c r="N266" i="1"/>
  <c r="M266" i="1"/>
  <c r="K267" i="1"/>
  <c r="L267" i="1" s="1"/>
  <c r="I268" i="1"/>
  <c r="P270" i="1"/>
  <c r="Q269" i="1"/>
  <c r="Q275" i="2" l="1"/>
  <c r="P276" i="2"/>
  <c r="H275" i="2"/>
  <c r="M270" i="2"/>
  <c r="N270" i="2"/>
  <c r="L271" i="2"/>
  <c r="K272" i="2"/>
  <c r="N267" i="1"/>
  <c r="M267" i="1"/>
  <c r="K268" i="1"/>
  <c r="L268" i="1" s="1"/>
  <c r="P271" i="1"/>
  <c r="H271" i="1" s="1"/>
  <c r="H272" i="1" s="1"/>
  <c r="Q270" i="1"/>
  <c r="I269" i="1"/>
  <c r="H276" i="2" l="1"/>
  <c r="I276" i="2" s="1"/>
  <c r="I275" i="2"/>
  <c r="M271" i="2"/>
  <c r="N271" i="2"/>
  <c r="Q276" i="2"/>
  <c r="P277" i="2"/>
  <c r="K273" i="2"/>
  <c r="L272" i="2"/>
  <c r="N268" i="1"/>
  <c r="M268" i="1"/>
  <c r="K269" i="1"/>
  <c r="L269" i="1" s="1"/>
  <c r="I270" i="1"/>
  <c r="P272" i="1"/>
  <c r="Q271" i="1"/>
  <c r="M272" i="2" l="1"/>
  <c r="N272" i="2"/>
  <c r="K274" i="2"/>
  <c r="L273" i="2"/>
  <c r="P278" i="2"/>
  <c r="Q277" i="2"/>
  <c r="H277" i="2"/>
  <c r="N269" i="1"/>
  <c r="M269" i="1"/>
  <c r="K270" i="1"/>
  <c r="L270" i="1" s="1"/>
  <c r="P273" i="1"/>
  <c r="H273" i="1" s="1"/>
  <c r="H274" i="1" s="1"/>
  <c r="Q272" i="1"/>
  <c r="I271" i="1"/>
  <c r="N273" i="2" l="1"/>
  <c r="M273" i="2"/>
  <c r="I277" i="2"/>
  <c r="H278" i="2"/>
  <c r="I278" i="2" s="1"/>
  <c r="K275" i="2"/>
  <c r="L274" i="2"/>
  <c r="Q278" i="2"/>
  <c r="P279" i="2"/>
  <c r="N270" i="1"/>
  <c r="M270" i="1"/>
  <c r="K271" i="1"/>
  <c r="L271" i="1" s="1"/>
  <c r="I272" i="1"/>
  <c r="P274" i="1"/>
  <c r="Q273" i="1"/>
  <c r="M274" i="2" l="1"/>
  <c r="N274" i="2"/>
  <c r="Q279" i="2"/>
  <c r="P280" i="2"/>
  <c r="H279" i="2"/>
  <c r="L275" i="2"/>
  <c r="K276" i="2"/>
  <c r="N271" i="1"/>
  <c r="M271" i="1"/>
  <c r="K272" i="1"/>
  <c r="L272" i="1" s="1"/>
  <c r="P275" i="1"/>
  <c r="H275" i="1" s="1"/>
  <c r="H276" i="1" s="1"/>
  <c r="Q274" i="1"/>
  <c r="I273" i="1"/>
  <c r="Q280" i="2" l="1"/>
  <c r="P281" i="2"/>
  <c r="K277" i="2"/>
  <c r="L276" i="2"/>
  <c r="M275" i="2"/>
  <c r="N275" i="2"/>
  <c r="H280" i="2"/>
  <c r="I280" i="2" s="1"/>
  <c r="I279" i="2"/>
  <c r="N272" i="1"/>
  <c r="M272" i="1"/>
  <c r="K273" i="1"/>
  <c r="L273" i="1" s="1"/>
  <c r="I274" i="1"/>
  <c r="P276" i="1"/>
  <c r="Q275" i="1"/>
  <c r="M276" i="2" l="1"/>
  <c r="N276" i="2"/>
  <c r="P282" i="2"/>
  <c r="Q281" i="2"/>
  <c r="H281" i="2"/>
  <c r="K278" i="2"/>
  <c r="L277" i="2"/>
  <c r="N273" i="1"/>
  <c r="M273" i="1"/>
  <c r="K274" i="1"/>
  <c r="L274" i="1" s="1"/>
  <c r="P277" i="1"/>
  <c r="H277" i="1" s="1"/>
  <c r="H278" i="1" s="1"/>
  <c r="Q276" i="1"/>
  <c r="I275" i="1"/>
  <c r="N277" i="2" l="1"/>
  <c r="M277" i="2"/>
  <c r="Q282" i="2"/>
  <c r="P283" i="2"/>
  <c r="K279" i="2"/>
  <c r="L278" i="2"/>
  <c r="I281" i="2"/>
  <c r="H282" i="2"/>
  <c r="I282" i="2" s="1"/>
  <c r="N274" i="1"/>
  <c r="M274" i="1"/>
  <c r="K275" i="1"/>
  <c r="L275" i="1" s="1"/>
  <c r="I276" i="1"/>
  <c r="P278" i="1"/>
  <c r="Q277" i="1"/>
  <c r="Q283" i="2" l="1"/>
  <c r="P284" i="2"/>
  <c r="H283" i="2"/>
  <c r="M278" i="2"/>
  <c r="N278" i="2"/>
  <c r="L279" i="2"/>
  <c r="K280" i="2"/>
  <c r="N275" i="1"/>
  <c r="M275" i="1"/>
  <c r="K276" i="1"/>
  <c r="L276" i="1" s="1"/>
  <c r="P279" i="1"/>
  <c r="H279" i="1" s="1"/>
  <c r="H280" i="1" s="1"/>
  <c r="Q278" i="1"/>
  <c r="I277" i="1"/>
  <c r="H284" i="2" l="1"/>
  <c r="I284" i="2" s="1"/>
  <c r="I283" i="2"/>
  <c r="Q284" i="2"/>
  <c r="P285" i="2"/>
  <c r="K281" i="2"/>
  <c r="L280" i="2"/>
  <c r="M279" i="2"/>
  <c r="N279" i="2"/>
  <c r="N276" i="1"/>
  <c r="M276" i="1"/>
  <c r="K277" i="1"/>
  <c r="L277" i="1" s="1"/>
  <c r="I278" i="1"/>
  <c r="P280" i="1"/>
  <c r="Q279" i="1"/>
  <c r="K282" i="2" l="1"/>
  <c r="L281" i="2"/>
  <c r="P286" i="2"/>
  <c r="Q285" i="2"/>
  <c r="H285" i="2"/>
  <c r="M280" i="2"/>
  <c r="N280" i="2"/>
  <c r="N277" i="1"/>
  <c r="M277" i="1"/>
  <c r="K278" i="1"/>
  <c r="L278" i="1" s="1"/>
  <c r="P281" i="1"/>
  <c r="H281" i="1" s="1"/>
  <c r="H282" i="1" s="1"/>
  <c r="Q280" i="1"/>
  <c r="I279" i="1"/>
  <c r="Q286" i="2" l="1"/>
  <c r="P287" i="2"/>
  <c r="N281" i="2"/>
  <c r="M281" i="2"/>
  <c r="I285" i="2"/>
  <c r="H286" i="2"/>
  <c r="I286" i="2" s="1"/>
  <c r="K283" i="2"/>
  <c r="L282" i="2"/>
  <c r="N278" i="1"/>
  <c r="M278" i="1"/>
  <c r="K279" i="1"/>
  <c r="L279" i="1" s="1"/>
  <c r="I280" i="1"/>
  <c r="P282" i="1"/>
  <c r="Q281" i="1"/>
  <c r="M282" i="2" l="1"/>
  <c r="N282" i="2"/>
  <c r="L283" i="2"/>
  <c r="K284" i="2"/>
  <c r="Q287" i="2"/>
  <c r="P288" i="2"/>
  <c r="H287" i="2"/>
  <c r="N279" i="1"/>
  <c r="M279" i="1"/>
  <c r="K280" i="1"/>
  <c r="L280" i="1" s="1"/>
  <c r="P283" i="1"/>
  <c r="H283" i="1" s="1"/>
  <c r="H284" i="1" s="1"/>
  <c r="Q282" i="1"/>
  <c r="I281" i="1"/>
  <c r="K285" i="2" l="1"/>
  <c r="L284" i="2"/>
  <c r="H288" i="2"/>
  <c r="I288" i="2" s="1"/>
  <c r="I287" i="2"/>
  <c r="M283" i="2"/>
  <c r="N283" i="2"/>
  <c r="Q288" i="2"/>
  <c r="P289" i="2"/>
  <c r="N280" i="1"/>
  <c r="M280" i="1"/>
  <c r="K281" i="1"/>
  <c r="L281" i="1" s="1"/>
  <c r="I282" i="1"/>
  <c r="P284" i="1"/>
  <c r="Q283" i="1"/>
  <c r="P290" i="2" l="1"/>
  <c r="Q289" i="2"/>
  <c r="H289" i="2"/>
  <c r="M284" i="2"/>
  <c r="N284" i="2"/>
  <c r="K286" i="2"/>
  <c r="L285" i="2"/>
  <c r="N281" i="1"/>
  <c r="M281" i="1"/>
  <c r="K282" i="1"/>
  <c r="L282" i="1" s="1"/>
  <c r="P285" i="1"/>
  <c r="H285" i="1" s="1"/>
  <c r="H286" i="1" s="1"/>
  <c r="Q284" i="1"/>
  <c r="I283" i="1"/>
  <c r="I289" i="2" l="1"/>
  <c r="H290" i="2"/>
  <c r="I290" i="2" s="1"/>
  <c r="N285" i="2"/>
  <c r="M285" i="2"/>
  <c r="K287" i="2"/>
  <c r="L286" i="2"/>
  <c r="Q290" i="2"/>
  <c r="P291" i="2"/>
  <c r="N282" i="1"/>
  <c r="M282" i="1"/>
  <c r="K283" i="1"/>
  <c r="L283" i="1" s="1"/>
  <c r="I284" i="1"/>
  <c r="P286" i="1"/>
  <c r="Q285" i="1"/>
  <c r="Q291" i="2" l="1"/>
  <c r="P292" i="2"/>
  <c r="H291" i="2"/>
  <c r="M286" i="2"/>
  <c r="N286" i="2"/>
  <c r="L287" i="2"/>
  <c r="K288" i="2"/>
  <c r="N283" i="1"/>
  <c r="M283" i="1"/>
  <c r="K284" i="1"/>
  <c r="L284" i="1" s="1"/>
  <c r="P287" i="1"/>
  <c r="H287" i="1" s="1"/>
  <c r="H288" i="1" s="1"/>
  <c r="Q286" i="1"/>
  <c r="I285" i="1"/>
  <c r="K289" i="2" l="1"/>
  <c r="L288" i="2"/>
  <c r="H292" i="2"/>
  <c r="I292" i="2" s="1"/>
  <c r="I291" i="2"/>
  <c r="Q292" i="2"/>
  <c r="P293" i="2"/>
  <c r="M287" i="2"/>
  <c r="N287" i="2"/>
  <c r="N284" i="1"/>
  <c r="M284" i="1"/>
  <c r="K285" i="1"/>
  <c r="L285" i="1" s="1"/>
  <c r="I286" i="1"/>
  <c r="P288" i="1"/>
  <c r="Q287" i="1"/>
  <c r="P294" i="2" l="1"/>
  <c r="Q293" i="2"/>
  <c r="H293" i="2"/>
  <c r="M288" i="2"/>
  <c r="N288" i="2"/>
  <c r="K290" i="2"/>
  <c r="L289" i="2"/>
  <c r="N285" i="1"/>
  <c r="M285" i="1"/>
  <c r="K286" i="1"/>
  <c r="L286" i="1" s="1"/>
  <c r="P289" i="1"/>
  <c r="H289" i="1" s="1"/>
  <c r="H290" i="1" s="1"/>
  <c r="Q288" i="1"/>
  <c r="I287" i="1"/>
  <c r="N289" i="2" l="1"/>
  <c r="M289" i="2"/>
  <c r="I293" i="2"/>
  <c r="H294" i="2"/>
  <c r="I294" i="2" s="1"/>
  <c r="K291" i="2"/>
  <c r="L290" i="2"/>
  <c r="Q294" i="2"/>
  <c r="P295" i="2"/>
  <c r="N286" i="1"/>
  <c r="M286" i="1"/>
  <c r="K287" i="1"/>
  <c r="L287" i="1" s="1"/>
  <c r="I288" i="1"/>
  <c r="P290" i="1"/>
  <c r="Q289" i="1"/>
  <c r="Q295" i="2" l="1"/>
  <c r="P296" i="2"/>
  <c r="H295" i="2"/>
  <c r="M290" i="2"/>
  <c r="N290" i="2"/>
  <c r="L291" i="2"/>
  <c r="K292" i="2"/>
  <c r="N287" i="1"/>
  <c r="M287" i="1"/>
  <c r="K288" i="1"/>
  <c r="L288" i="1" s="1"/>
  <c r="P291" i="1"/>
  <c r="H291" i="1" s="1"/>
  <c r="H292" i="1" s="1"/>
  <c r="Q290" i="1"/>
  <c r="I289" i="1"/>
  <c r="H296" i="2" l="1"/>
  <c r="I296" i="2" s="1"/>
  <c r="I295" i="2"/>
  <c r="Q296" i="2"/>
  <c r="P297" i="2"/>
  <c r="K293" i="2"/>
  <c r="L292" i="2"/>
  <c r="M291" i="2"/>
  <c r="N291" i="2"/>
  <c r="N288" i="1"/>
  <c r="M288" i="1"/>
  <c r="K289" i="1"/>
  <c r="L289" i="1" s="1"/>
  <c r="I290" i="1"/>
  <c r="P292" i="1"/>
  <c r="Q291" i="1"/>
  <c r="P298" i="2" l="1"/>
  <c r="Q297" i="2"/>
  <c r="H297" i="2"/>
  <c r="K294" i="2"/>
  <c r="L293" i="2"/>
  <c r="M292" i="2"/>
  <c r="N292" i="2"/>
  <c r="N289" i="1"/>
  <c r="M289" i="1"/>
  <c r="K290" i="1"/>
  <c r="L290" i="1" s="1"/>
  <c r="P293" i="1"/>
  <c r="H293" i="1" s="1"/>
  <c r="H294" i="1" s="1"/>
  <c r="Q292" i="1"/>
  <c r="I291" i="1"/>
  <c r="K295" i="2" l="1"/>
  <c r="L294" i="2"/>
  <c r="I297" i="2"/>
  <c r="H298" i="2"/>
  <c r="I298" i="2" s="1"/>
  <c r="N293" i="2"/>
  <c r="M293" i="2"/>
  <c r="Q298" i="2"/>
  <c r="P299" i="2"/>
  <c r="N290" i="1"/>
  <c r="M290" i="1"/>
  <c r="K291" i="1"/>
  <c r="L291" i="1" s="1"/>
  <c r="I293" i="1"/>
  <c r="I292" i="1"/>
  <c r="P294" i="1"/>
  <c r="Q293" i="1"/>
  <c r="M294" i="2" l="1"/>
  <c r="N294" i="2"/>
  <c r="Q299" i="2"/>
  <c r="P300" i="2"/>
  <c r="H299" i="2"/>
  <c r="L295" i="2"/>
  <c r="K296" i="2"/>
  <c r="M291" i="1"/>
  <c r="N291" i="1"/>
  <c r="K292" i="1"/>
  <c r="K293" i="1" s="1"/>
  <c r="L293" i="1" s="1"/>
  <c r="P295" i="1"/>
  <c r="H295" i="1" s="1"/>
  <c r="H296" i="1" s="1"/>
  <c r="Q294" i="1"/>
  <c r="Q300" i="2" l="1"/>
  <c r="P301" i="2"/>
  <c r="K297" i="2"/>
  <c r="L296" i="2"/>
  <c r="M295" i="2"/>
  <c r="N295" i="2"/>
  <c r="H300" i="2"/>
  <c r="I300" i="2" s="1"/>
  <c r="I299" i="2"/>
  <c r="L292" i="1"/>
  <c r="N293" i="1"/>
  <c r="I294" i="1"/>
  <c r="P296" i="1"/>
  <c r="Q295" i="1"/>
  <c r="M296" i="2" l="1"/>
  <c r="N296" i="2"/>
  <c r="K298" i="2"/>
  <c r="L297" i="2"/>
  <c r="P302" i="2"/>
  <c r="Q301" i="2"/>
  <c r="H301" i="2"/>
  <c r="M292" i="1"/>
  <c r="N292" i="1"/>
  <c r="M293" i="1"/>
  <c r="K294" i="1"/>
  <c r="P297" i="1"/>
  <c r="H297" i="1" s="1"/>
  <c r="H298" i="1" s="1"/>
  <c r="Q296" i="1"/>
  <c r="I295" i="1"/>
  <c r="I301" i="2" l="1"/>
  <c r="H302" i="2"/>
  <c r="I302" i="2" s="1"/>
  <c r="N297" i="2"/>
  <c r="M297" i="2"/>
  <c r="K299" i="2"/>
  <c r="L298" i="2"/>
  <c r="Q302" i="2"/>
  <c r="P303" i="2"/>
  <c r="K295" i="1"/>
  <c r="L295" i="1" s="1"/>
  <c r="N295" i="1" s="1"/>
  <c r="L294" i="1"/>
  <c r="I296" i="1"/>
  <c r="P298" i="1"/>
  <c r="Q297" i="1"/>
  <c r="Q303" i="2" l="1"/>
  <c r="P304" i="2"/>
  <c r="H303" i="2"/>
  <c r="M298" i="2"/>
  <c r="N298" i="2"/>
  <c r="L299" i="2"/>
  <c r="K300" i="2"/>
  <c r="M295" i="1"/>
  <c r="M294" i="1"/>
  <c r="N294" i="1"/>
  <c r="K296" i="1"/>
  <c r="P299" i="1"/>
  <c r="H299" i="1" s="1"/>
  <c r="H300" i="1" s="1"/>
  <c r="Q298" i="1"/>
  <c r="I297" i="1"/>
  <c r="H304" i="2" l="1"/>
  <c r="I304" i="2" s="1"/>
  <c r="I303" i="2"/>
  <c r="M299" i="2"/>
  <c r="N299" i="2"/>
  <c r="Q304" i="2"/>
  <c r="P305" i="2"/>
  <c r="K301" i="2"/>
  <c r="L300" i="2"/>
  <c r="K297" i="1"/>
  <c r="L297" i="1" s="1"/>
  <c r="N297" i="1" s="1"/>
  <c r="L296" i="1"/>
  <c r="I298" i="1"/>
  <c r="P300" i="1"/>
  <c r="Q299" i="1"/>
  <c r="M300" i="2" l="1"/>
  <c r="N300" i="2"/>
  <c r="K302" i="2"/>
  <c r="L301" i="2"/>
  <c r="P306" i="2"/>
  <c r="Q305" i="2"/>
  <c r="H305" i="2"/>
  <c r="M297" i="1"/>
  <c r="M296" i="1"/>
  <c r="N296" i="1"/>
  <c r="K298" i="1"/>
  <c r="P301" i="1"/>
  <c r="H301" i="1" s="1"/>
  <c r="H302" i="1" s="1"/>
  <c r="Q300" i="1"/>
  <c r="I299" i="1"/>
  <c r="N301" i="2" l="1"/>
  <c r="M301" i="2"/>
  <c r="I305" i="2"/>
  <c r="H306" i="2"/>
  <c r="I306" i="2" s="1"/>
  <c r="K303" i="2"/>
  <c r="L302" i="2"/>
  <c r="Q306" i="2"/>
  <c r="P307" i="2"/>
  <c r="K299" i="1"/>
  <c r="L299" i="1" s="1"/>
  <c r="N299" i="1" s="1"/>
  <c r="L298" i="1"/>
  <c r="I300" i="1"/>
  <c r="P302" i="1"/>
  <c r="Q301" i="1"/>
  <c r="M302" i="2" l="1"/>
  <c r="N302" i="2"/>
  <c r="Q307" i="2"/>
  <c r="P308" i="2"/>
  <c r="H307" i="2"/>
  <c r="L303" i="2"/>
  <c r="K304" i="2"/>
  <c r="M299" i="1"/>
  <c r="M298" i="1"/>
  <c r="N298" i="1"/>
  <c r="K300" i="1"/>
  <c r="P303" i="1"/>
  <c r="H303" i="1" s="1"/>
  <c r="H304" i="1" s="1"/>
  <c r="Q302" i="1"/>
  <c r="I301" i="1"/>
  <c r="Q308" i="2" l="1"/>
  <c r="P309" i="2"/>
  <c r="K305" i="2"/>
  <c r="L304" i="2"/>
  <c r="M303" i="2"/>
  <c r="N303" i="2"/>
  <c r="H308" i="2"/>
  <c r="I308" i="2" s="1"/>
  <c r="I307" i="2"/>
  <c r="K301" i="1"/>
  <c r="L301" i="1" s="1"/>
  <c r="N301" i="1" s="1"/>
  <c r="L300" i="1"/>
  <c r="I302" i="1"/>
  <c r="P304" i="1"/>
  <c r="Q303" i="1"/>
  <c r="M304" i="2" l="1"/>
  <c r="N304" i="2"/>
  <c r="P310" i="2"/>
  <c r="Q309" i="2"/>
  <c r="H309" i="2"/>
  <c r="K306" i="2"/>
  <c r="L305" i="2"/>
  <c r="M301" i="1"/>
  <c r="M300" i="1"/>
  <c r="N300" i="1"/>
  <c r="K302" i="1"/>
  <c r="P305" i="1"/>
  <c r="H305" i="1" s="1"/>
  <c r="H306" i="1" s="1"/>
  <c r="Q304" i="1"/>
  <c r="I303" i="1"/>
  <c r="N305" i="2" l="1"/>
  <c r="M305" i="2"/>
  <c r="Q310" i="2"/>
  <c r="P311" i="2"/>
  <c r="K307" i="2"/>
  <c r="L306" i="2"/>
  <c r="I309" i="2"/>
  <c r="H310" i="2"/>
  <c r="I310" i="2" s="1"/>
  <c r="K303" i="1"/>
  <c r="L303" i="1" s="1"/>
  <c r="N303" i="1" s="1"/>
  <c r="L302" i="1"/>
  <c r="I304" i="1"/>
  <c r="P306" i="1"/>
  <c r="Q305" i="1"/>
  <c r="Q311" i="2" l="1"/>
  <c r="P312" i="2"/>
  <c r="H311" i="2"/>
  <c r="M306" i="2"/>
  <c r="N306" i="2"/>
  <c r="L307" i="2"/>
  <c r="K308" i="2"/>
  <c r="M303" i="1"/>
  <c r="M302" i="1"/>
  <c r="N302" i="1"/>
  <c r="K304" i="1"/>
  <c r="P307" i="1"/>
  <c r="H307" i="1" s="1"/>
  <c r="H308" i="1" s="1"/>
  <c r="Q306" i="1"/>
  <c r="I305" i="1"/>
  <c r="H312" i="2" l="1"/>
  <c r="I312" i="2" s="1"/>
  <c r="I311" i="2"/>
  <c r="Q312" i="2"/>
  <c r="P313" i="2"/>
  <c r="K309" i="2"/>
  <c r="L308" i="2"/>
  <c r="N307" i="2"/>
  <c r="M307" i="2"/>
  <c r="K305" i="1"/>
  <c r="L305" i="1" s="1"/>
  <c r="N305" i="1" s="1"/>
  <c r="L304" i="1"/>
  <c r="I306" i="1"/>
  <c r="P308" i="1"/>
  <c r="Q307" i="1"/>
  <c r="K310" i="2" l="1"/>
  <c r="L309" i="2"/>
  <c r="P314" i="2"/>
  <c r="Q313" i="2"/>
  <c r="H313" i="2"/>
  <c r="M308" i="2"/>
  <c r="N308" i="2"/>
  <c r="M305" i="1"/>
  <c r="M304" i="1"/>
  <c r="N304" i="1"/>
  <c r="K306" i="1"/>
  <c r="P309" i="1"/>
  <c r="H309" i="1" s="1"/>
  <c r="H310" i="1" s="1"/>
  <c r="Q308" i="1"/>
  <c r="I307" i="1"/>
  <c r="Q314" i="2" l="1"/>
  <c r="P315" i="2"/>
  <c r="N309" i="2"/>
  <c r="M309" i="2"/>
  <c r="I313" i="2"/>
  <c r="H314" i="2"/>
  <c r="I314" i="2" s="1"/>
  <c r="K311" i="2"/>
  <c r="L310" i="2"/>
  <c r="K307" i="1"/>
  <c r="L307" i="1" s="1"/>
  <c r="N307" i="1" s="1"/>
  <c r="L306" i="1"/>
  <c r="I308" i="1"/>
  <c r="P310" i="1"/>
  <c r="Q309" i="1"/>
  <c r="M310" i="2" l="1"/>
  <c r="N310" i="2"/>
  <c r="L311" i="2"/>
  <c r="K312" i="2"/>
  <c r="Q315" i="2"/>
  <c r="P316" i="2"/>
  <c r="H315" i="2"/>
  <c r="M307" i="1"/>
  <c r="M306" i="1"/>
  <c r="N306" i="1"/>
  <c r="K308" i="1"/>
  <c r="P311" i="1"/>
  <c r="H311" i="1" s="1"/>
  <c r="H312" i="1" s="1"/>
  <c r="Q310" i="1"/>
  <c r="I309" i="1"/>
  <c r="K313" i="2" l="1"/>
  <c r="L312" i="2"/>
  <c r="M311" i="2"/>
  <c r="N311" i="2"/>
  <c r="H316" i="2"/>
  <c r="I316" i="2" s="1"/>
  <c r="I315" i="2"/>
  <c r="Q316" i="2"/>
  <c r="P317" i="2"/>
  <c r="K309" i="1"/>
  <c r="L309" i="1" s="1"/>
  <c r="N309" i="1" s="1"/>
  <c r="L308" i="1"/>
  <c r="I310" i="1"/>
  <c r="P312" i="1"/>
  <c r="Q311" i="1"/>
  <c r="P318" i="2" l="1"/>
  <c r="Q317" i="2"/>
  <c r="H317" i="2"/>
  <c r="M312" i="2"/>
  <c r="N312" i="2"/>
  <c r="K314" i="2"/>
  <c r="L313" i="2"/>
  <c r="M309" i="1"/>
  <c r="M308" i="1"/>
  <c r="N308" i="1"/>
  <c r="K310" i="1"/>
  <c r="P313" i="1"/>
  <c r="H313" i="1" s="1"/>
  <c r="H314" i="1" s="1"/>
  <c r="Q312" i="1"/>
  <c r="I311" i="1"/>
  <c r="N313" i="2" l="1"/>
  <c r="M313" i="2"/>
  <c r="I317" i="2"/>
  <c r="H318" i="2"/>
  <c r="I318" i="2" s="1"/>
  <c r="K315" i="2"/>
  <c r="L314" i="2"/>
  <c r="Q318" i="2"/>
  <c r="P319" i="2"/>
  <c r="K311" i="1"/>
  <c r="L311" i="1" s="1"/>
  <c r="N311" i="1" s="1"/>
  <c r="L310" i="1"/>
  <c r="I312" i="1"/>
  <c r="P314" i="1"/>
  <c r="Q313" i="1"/>
  <c r="Q319" i="2" l="1"/>
  <c r="P320" i="2"/>
  <c r="H319" i="2"/>
  <c r="M314" i="2"/>
  <c r="N314" i="2"/>
  <c r="L315" i="2"/>
  <c r="K316" i="2"/>
  <c r="M311" i="1"/>
  <c r="M310" i="1"/>
  <c r="N310" i="1"/>
  <c r="K312" i="1"/>
  <c r="P315" i="1"/>
  <c r="H315" i="1" s="1"/>
  <c r="H316" i="1" s="1"/>
  <c r="Q314" i="1"/>
  <c r="I313" i="1"/>
  <c r="H320" i="2" l="1"/>
  <c r="I320" i="2" s="1"/>
  <c r="I319" i="2"/>
  <c r="Q320" i="2"/>
  <c r="P321" i="2"/>
  <c r="K317" i="2"/>
  <c r="L316" i="2"/>
  <c r="N315" i="2"/>
  <c r="M315" i="2"/>
  <c r="K313" i="1"/>
  <c r="L313" i="1" s="1"/>
  <c r="N313" i="1" s="1"/>
  <c r="L312" i="1"/>
  <c r="I314" i="1"/>
  <c r="P316" i="1"/>
  <c r="Q315" i="1"/>
  <c r="P322" i="2" l="1"/>
  <c r="Q321" i="2"/>
  <c r="H321" i="2"/>
  <c r="K318" i="2"/>
  <c r="L317" i="2"/>
  <c r="M316" i="2"/>
  <c r="N316" i="2"/>
  <c r="M313" i="1"/>
  <c r="M312" i="1"/>
  <c r="N312" i="1"/>
  <c r="K314" i="1"/>
  <c r="P317" i="1"/>
  <c r="H317" i="1" s="1"/>
  <c r="H318" i="1" s="1"/>
  <c r="Q316" i="1"/>
  <c r="I315" i="1"/>
  <c r="K319" i="2" l="1"/>
  <c r="L318" i="2"/>
  <c r="I321" i="2"/>
  <c r="H322" i="2"/>
  <c r="I322" i="2" s="1"/>
  <c r="N317" i="2"/>
  <c r="M317" i="2"/>
  <c r="Q322" i="2"/>
  <c r="P323" i="2"/>
  <c r="K315" i="1"/>
  <c r="L315" i="1" s="1"/>
  <c r="N315" i="1" s="1"/>
  <c r="L314" i="1"/>
  <c r="I316" i="1"/>
  <c r="P318" i="1"/>
  <c r="Q317" i="1"/>
  <c r="Q323" i="2" l="1"/>
  <c r="P324" i="2"/>
  <c r="H323" i="2"/>
  <c r="M318" i="2"/>
  <c r="N318" i="2"/>
  <c r="L319" i="2"/>
  <c r="K320" i="2"/>
  <c r="M315" i="1"/>
  <c r="M314" i="1"/>
  <c r="N314" i="1"/>
  <c r="K316" i="1"/>
  <c r="P319" i="1"/>
  <c r="H319" i="1" s="1"/>
  <c r="H320" i="1" s="1"/>
  <c r="Q318" i="1"/>
  <c r="I317" i="1"/>
  <c r="H324" i="2" l="1"/>
  <c r="I324" i="2" s="1"/>
  <c r="I323" i="2"/>
  <c r="K321" i="2"/>
  <c r="L320" i="2"/>
  <c r="Q324" i="2"/>
  <c r="P325" i="2"/>
  <c r="M319" i="2"/>
  <c r="N319" i="2"/>
  <c r="K317" i="1"/>
  <c r="L317" i="1" s="1"/>
  <c r="N317" i="1" s="1"/>
  <c r="L316" i="1"/>
  <c r="I318" i="1"/>
  <c r="P320" i="1"/>
  <c r="Q319" i="1"/>
  <c r="M320" i="2" l="1"/>
  <c r="N320" i="2"/>
  <c r="K322" i="2"/>
  <c r="L321" i="2"/>
  <c r="P326" i="2"/>
  <c r="Q325" i="2"/>
  <c r="H325" i="2"/>
  <c r="M317" i="1"/>
  <c r="M316" i="1"/>
  <c r="N316" i="1"/>
  <c r="K318" i="1"/>
  <c r="P321" i="1"/>
  <c r="H321" i="1" s="1"/>
  <c r="H322" i="1" s="1"/>
  <c r="Q320" i="1"/>
  <c r="I319" i="1"/>
  <c r="N321" i="2" l="1"/>
  <c r="M321" i="2"/>
  <c r="I325" i="2"/>
  <c r="H326" i="2"/>
  <c r="I326" i="2" s="1"/>
  <c r="K323" i="2"/>
  <c r="L322" i="2"/>
  <c r="Q326" i="2"/>
  <c r="P327" i="2"/>
  <c r="K319" i="1"/>
  <c r="L319" i="1" s="1"/>
  <c r="N319" i="1" s="1"/>
  <c r="L318" i="1"/>
  <c r="I320" i="1"/>
  <c r="P322" i="1"/>
  <c r="Q321" i="1"/>
  <c r="Q327" i="2" l="1"/>
  <c r="P328" i="2"/>
  <c r="H327" i="2"/>
  <c r="M322" i="2"/>
  <c r="N322" i="2"/>
  <c r="L323" i="2"/>
  <c r="K324" i="2"/>
  <c r="M319" i="1"/>
  <c r="M318" i="1"/>
  <c r="N318" i="1"/>
  <c r="K320" i="1"/>
  <c r="P323" i="1"/>
  <c r="H323" i="1" s="1"/>
  <c r="H324" i="1" s="1"/>
  <c r="Q322" i="1"/>
  <c r="I321" i="1"/>
  <c r="H328" i="2" l="1"/>
  <c r="I328" i="2" s="1"/>
  <c r="I327" i="2"/>
  <c r="Q328" i="2"/>
  <c r="P329" i="2"/>
  <c r="K325" i="2"/>
  <c r="L324" i="2"/>
  <c r="N323" i="2"/>
  <c r="M323" i="2"/>
  <c r="K321" i="1"/>
  <c r="L321" i="1" s="1"/>
  <c r="N321" i="1" s="1"/>
  <c r="L320" i="1"/>
  <c r="I322" i="1"/>
  <c r="P324" i="1"/>
  <c r="Q323" i="1"/>
  <c r="P330" i="2" l="1"/>
  <c r="Q329" i="2"/>
  <c r="H329" i="2"/>
  <c r="K326" i="2"/>
  <c r="L325" i="2"/>
  <c r="M324" i="2"/>
  <c r="N324" i="2"/>
  <c r="M321" i="1"/>
  <c r="M320" i="1"/>
  <c r="N320" i="1"/>
  <c r="K322" i="1"/>
  <c r="P325" i="1"/>
  <c r="H325" i="1" s="1"/>
  <c r="H326" i="1" s="1"/>
  <c r="Q324" i="1"/>
  <c r="I323" i="1"/>
  <c r="K327" i="2" l="1"/>
  <c r="L326" i="2"/>
  <c r="I329" i="2"/>
  <c r="H330" i="2"/>
  <c r="I330" i="2" s="1"/>
  <c r="N325" i="2"/>
  <c r="M325" i="2"/>
  <c r="Q330" i="2"/>
  <c r="P331" i="2"/>
  <c r="K323" i="1"/>
  <c r="L323" i="1" s="1"/>
  <c r="N323" i="1" s="1"/>
  <c r="L322" i="1"/>
  <c r="I324" i="1"/>
  <c r="P326" i="1"/>
  <c r="Q325" i="1"/>
  <c r="Q331" i="2" l="1"/>
  <c r="P332" i="2"/>
  <c r="H331" i="2"/>
  <c r="M326" i="2"/>
  <c r="N326" i="2"/>
  <c r="L327" i="2"/>
  <c r="K328" i="2"/>
  <c r="M323" i="1"/>
  <c r="M322" i="1"/>
  <c r="N322" i="1"/>
  <c r="K324" i="1"/>
  <c r="P327" i="1"/>
  <c r="H327" i="1" s="1"/>
  <c r="H328" i="1" s="1"/>
  <c r="Q326" i="1"/>
  <c r="I325" i="1"/>
  <c r="H332" i="2" l="1"/>
  <c r="I332" i="2" s="1"/>
  <c r="I331" i="2"/>
  <c r="Q332" i="2"/>
  <c r="P333" i="2"/>
  <c r="K329" i="2"/>
  <c r="L328" i="2"/>
  <c r="M327" i="2"/>
  <c r="N327" i="2"/>
  <c r="K325" i="1"/>
  <c r="L325" i="1" s="1"/>
  <c r="N325" i="1" s="1"/>
  <c r="L324" i="1"/>
  <c r="I326" i="1"/>
  <c r="P328" i="1"/>
  <c r="Q327" i="1"/>
  <c r="P334" i="2" l="1"/>
  <c r="Q333" i="2"/>
  <c r="H333" i="2"/>
  <c r="K330" i="2"/>
  <c r="L329" i="2"/>
  <c r="M328" i="2"/>
  <c r="N328" i="2"/>
  <c r="M325" i="1"/>
  <c r="M324" i="1"/>
  <c r="N324" i="1"/>
  <c r="K326" i="1"/>
  <c r="P329" i="1"/>
  <c r="H329" i="1" s="1"/>
  <c r="H330" i="1" s="1"/>
  <c r="Q328" i="1"/>
  <c r="I327" i="1"/>
  <c r="K331" i="2" l="1"/>
  <c r="L330" i="2"/>
  <c r="I333" i="2"/>
  <c r="H334" i="2"/>
  <c r="I334" i="2" s="1"/>
  <c r="N329" i="2"/>
  <c r="M329" i="2"/>
  <c r="Q334" i="2"/>
  <c r="P335" i="2"/>
  <c r="K327" i="1"/>
  <c r="L327" i="1" s="1"/>
  <c r="N327" i="1" s="1"/>
  <c r="L326" i="1"/>
  <c r="I328" i="1"/>
  <c r="P330" i="1"/>
  <c r="Q329" i="1"/>
  <c r="M330" i="2" l="1"/>
  <c r="N330" i="2"/>
  <c r="Q335" i="2"/>
  <c r="P336" i="2"/>
  <c r="H335" i="2"/>
  <c r="L331" i="2"/>
  <c r="K332" i="2"/>
  <c r="M327" i="1"/>
  <c r="M326" i="1"/>
  <c r="N326" i="1"/>
  <c r="K328" i="1"/>
  <c r="P331" i="1"/>
  <c r="H331" i="1" s="1"/>
  <c r="H332" i="1" s="1"/>
  <c r="Q330" i="1"/>
  <c r="I329" i="1"/>
  <c r="Q336" i="2" l="1"/>
  <c r="P337" i="2"/>
  <c r="K333" i="2"/>
  <c r="L332" i="2"/>
  <c r="N331" i="2"/>
  <c r="M331" i="2"/>
  <c r="H336" i="2"/>
  <c r="I336" i="2" s="1"/>
  <c r="I335" i="2"/>
  <c r="K329" i="1"/>
  <c r="L329" i="1" s="1"/>
  <c r="N329" i="1" s="1"/>
  <c r="L328" i="1"/>
  <c r="I330" i="1"/>
  <c r="P332" i="1"/>
  <c r="Q331" i="1"/>
  <c r="M332" i="2" l="1"/>
  <c r="N332" i="2"/>
  <c r="P338" i="2"/>
  <c r="Q337" i="2"/>
  <c r="H337" i="2"/>
  <c r="K334" i="2"/>
  <c r="L333" i="2"/>
  <c r="M329" i="1"/>
  <c r="M328" i="1"/>
  <c r="N328" i="1"/>
  <c r="K330" i="1"/>
  <c r="P333" i="1"/>
  <c r="H333" i="1" s="1"/>
  <c r="H334" i="1" s="1"/>
  <c r="Q332" i="1"/>
  <c r="I331" i="1"/>
  <c r="N333" i="2" l="1"/>
  <c r="M333" i="2"/>
  <c r="Q338" i="2"/>
  <c r="P339" i="2"/>
  <c r="K335" i="2"/>
  <c r="L334" i="2"/>
  <c r="I337" i="2"/>
  <c r="H338" i="2"/>
  <c r="I338" i="2" s="1"/>
  <c r="K331" i="1"/>
  <c r="L331" i="1" s="1"/>
  <c r="N331" i="1" s="1"/>
  <c r="L330" i="1"/>
  <c r="I332" i="1"/>
  <c r="P334" i="1"/>
  <c r="Q333" i="1"/>
  <c r="Q339" i="2" l="1"/>
  <c r="P340" i="2"/>
  <c r="H339" i="2"/>
  <c r="M334" i="2"/>
  <c r="N334" i="2"/>
  <c r="L335" i="2"/>
  <c r="K336" i="2"/>
  <c r="M331" i="1"/>
  <c r="M330" i="1"/>
  <c r="N330" i="1"/>
  <c r="K332" i="1"/>
  <c r="P335" i="1"/>
  <c r="H335" i="1" s="1"/>
  <c r="H336" i="1" s="1"/>
  <c r="Q334" i="1"/>
  <c r="I333" i="1"/>
  <c r="H340" i="2" l="1"/>
  <c r="I340" i="2" s="1"/>
  <c r="I339" i="2"/>
  <c r="K337" i="2"/>
  <c r="L336" i="2"/>
  <c r="Q340" i="2"/>
  <c r="P341" i="2"/>
  <c r="M335" i="2"/>
  <c r="N335" i="2"/>
  <c r="K333" i="1"/>
  <c r="L333" i="1" s="1"/>
  <c r="N333" i="1" s="1"/>
  <c r="L332" i="1"/>
  <c r="I334" i="1"/>
  <c r="P336" i="1"/>
  <c r="Q335" i="1"/>
  <c r="M336" i="2" l="1"/>
  <c r="N336" i="2"/>
  <c r="K338" i="2"/>
  <c r="L337" i="2"/>
  <c r="P342" i="2"/>
  <c r="Q341" i="2"/>
  <c r="H341" i="2"/>
  <c r="M333" i="1"/>
  <c r="M332" i="1"/>
  <c r="N332" i="1"/>
  <c r="K334" i="1"/>
  <c r="P337" i="1"/>
  <c r="H337" i="1" s="1"/>
  <c r="H338" i="1" s="1"/>
  <c r="Q336" i="1"/>
  <c r="I335" i="1"/>
  <c r="N337" i="2" l="1"/>
  <c r="M337" i="2"/>
  <c r="I341" i="2"/>
  <c r="H342" i="2"/>
  <c r="I342" i="2" s="1"/>
  <c r="K339" i="2"/>
  <c r="L338" i="2"/>
  <c r="Q342" i="2"/>
  <c r="P343" i="2"/>
  <c r="K335" i="1"/>
  <c r="L335" i="1" s="1"/>
  <c r="N335" i="1" s="1"/>
  <c r="L334" i="1"/>
  <c r="I336" i="1"/>
  <c r="P338" i="1"/>
  <c r="Q337" i="1"/>
  <c r="Q343" i="2" l="1"/>
  <c r="P344" i="2"/>
  <c r="H343" i="2"/>
  <c r="M338" i="2"/>
  <c r="N338" i="2"/>
  <c r="L339" i="2"/>
  <c r="K340" i="2"/>
  <c r="M335" i="1"/>
  <c r="M334" i="1"/>
  <c r="N334" i="1"/>
  <c r="K336" i="1"/>
  <c r="P339" i="1"/>
  <c r="H339" i="1" s="1"/>
  <c r="H340" i="1" s="1"/>
  <c r="Q338" i="1"/>
  <c r="I337" i="1"/>
  <c r="H344" i="2" l="1"/>
  <c r="I344" i="2" s="1"/>
  <c r="I343" i="2"/>
  <c r="Q344" i="2"/>
  <c r="P345" i="2"/>
  <c r="K341" i="2"/>
  <c r="L340" i="2"/>
  <c r="N339" i="2"/>
  <c r="M339" i="2"/>
  <c r="K337" i="1"/>
  <c r="L337" i="1" s="1"/>
  <c r="N337" i="1" s="1"/>
  <c r="L336" i="1"/>
  <c r="I338" i="1"/>
  <c r="P340" i="1"/>
  <c r="Q339" i="1"/>
  <c r="K342" i="2" l="1"/>
  <c r="L341" i="2"/>
  <c r="P346" i="2"/>
  <c r="Q345" i="2"/>
  <c r="H345" i="2"/>
  <c r="M340" i="2"/>
  <c r="N340" i="2"/>
  <c r="M337" i="1"/>
  <c r="M336" i="1"/>
  <c r="N336" i="1"/>
  <c r="K338" i="1"/>
  <c r="P341" i="1"/>
  <c r="H341" i="1" s="1"/>
  <c r="H342" i="1" s="1"/>
  <c r="Q340" i="1"/>
  <c r="I339" i="1"/>
  <c r="Q346" i="2" l="1"/>
  <c r="P347" i="2"/>
  <c r="N341" i="2"/>
  <c r="M341" i="2"/>
  <c r="I345" i="2"/>
  <c r="H346" i="2"/>
  <c r="I346" i="2" s="1"/>
  <c r="K343" i="2"/>
  <c r="L342" i="2"/>
  <c r="K339" i="1"/>
  <c r="L339" i="1" s="1"/>
  <c r="L338" i="1"/>
  <c r="I341" i="1"/>
  <c r="I340" i="1"/>
  <c r="P342" i="1"/>
  <c r="Q341" i="1"/>
  <c r="M342" i="2" l="1"/>
  <c r="N342" i="2"/>
  <c r="L343" i="2"/>
  <c r="K344" i="2"/>
  <c r="Q347" i="2"/>
  <c r="P348" i="2"/>
  <c r="H347" i="2"/>
  <c r="M339" i="1"/>
  <c r="N339" i="1"/>
  <c r="M338" i="1"/>
  <c r="N338" i="1"/>
  <c r="K340" i="1"/>
  <c r="K341" i="1" s="1"/>
  <c r="P343" i="1"/>
  <c r="H343" i="1" s="1"/>
  <c r="H344" i="1" s="1"/>
  <c r="Q342" i="1"/>
  <c r="K345" i="2" l="1"/>
  <c r="L344" i="2"/>
  <c r="H348" i="2"/>
  <c r="I348" i="2" s="1"/>
  <c r="I347" i="2"/>
  <c r="M343" i="2"/>
  <c r="N343" i="2"/>
  <c r="Q348" i="2"/>
  <c r="P349" i="2"/>
  <c r="L341" i="1"/>
  <c r="N341" i="1" s="1"/>
  <c r="L340" i="1"/>
  <c r="I342" i="1"/>
  <c r="P344" i="1"/>
  <c r="Q343" i="1"/>
  <c r="P350" i="2" l="1"/>
  <c r="Q349" i="2"/>
  <c r="H349" i="2"/>
  <c r="M344" i="2"/>
  <c r="N344" i="2"/>
  <c r="K346" i="2"/>
  <c r="L345" i="2"/>
  <c r="M341" i="1"/>
  <c r="N340" i="1"/>
  <c r="M340" i="1"/>
  <c r="K342" i="1"/>
  <c r="L342" i="1" s="1"/>
  <c r="P345" i="1"/>
  <c r="H345" i="1" s="1"/>
  <c r="H346" i="1" s="1"/>
  <c r="Q344" i="1"/>
  <c r="I343" i="1"/>
  <c r="N345" i="2" l="1"/>
  <c r="M345" i="2"/>
  <c r="I349" i="2"/>
  <c r="H350" i="2"/>
  <c r="I350" i="2" s="1"/>
  <c r="K347" i="2"/>
  <c r="L346" i="2"/>
  <c r="Q350" i="2"/>
  <c r="P351" i="2"/>
  <c r="N342" i="1"/>
  <c r="M342" i="1"/>
  <c r="K343" i="1"/>
  <c r="L343" i="1" s="1"/>
  <c r="N343" i="1" s="1"/>
  <c r="I344" i="1"/>
  <c r="P346" i="1"/>
  <c r="Q345" i="1"/>
  <c r="Q351" i="2" l="1"/>
  <c r="P352" i="2"/>
  <c r="H351" i="2"/>
  <c r="M346" i="2"/>
  <c r="N346" i="2"/>
  <c r="L347" i="2"/>
  <c r="K348" i="2"/>
  <c r="M343" i="1"/>
  <c r="K344" i="1"/>
  <c r="L344" i="1" s="1"/>
  <c r="P347" i="1"/>
  <c r="H347" i="1" s="1"/>
  <c r="H348" i="1" s="1"/>
  <c r="Q346" i="1"/>
  <c r="I345" i="1"/>
  <c r="H352" i="2" l="1"/>
  <c r="I352" i="2" s="1"/>
  <c r="I351" i="2"/>
  <c r="Q352" i="2"/>
  <c r="P353" i="2"/>
  <c r="K349" i="2"/>
  <c r="L348" i="2"/>
  <c r="N347" i="2"/>
  <c r="M347" i="2"/>
  <c r="N344" i="1"/>
  <c r="M344" i="1"/>
  <c r="K345" i="1"/>
  <c r="L345" i="1" s="1"/>
  <c r="N345" i="1" s="1"/>
  <c r="I346" i="1"/>
  <c r="P348" i="1"/>
  <c r="Q347" i="1"/>
  <c r="K350" i="2" l="1"/>
  <c r="L349" i="2"/>
  <c r="P354" i="2"/>
  <c r="Q353" i="2"/>
  <c r="H353" i="2"/>
  <c r="M348" i="2"/>
  <c r="N348" i="2"/>
  <c r="M345" i="1"/>
  <c r="K346" i="1"/>
  <c r="L346" i="1" s="1"/>
  <c r="P349" i="1"/>
  <c r="H349" i="1" s="1"/>
  <c r="H350" i="1" s="1"/>
  <c r="Q348" i="1"/>
  <c r="I347" i="1"/>
  <c r="Q354" i="2" l="1"/>
  <c r="P355" i="2"/>
  <c r="N349" i="2"/>
  <c r="M349" i="2"/>
  <c r="I353" i="2"/>
  <c r="H354" i="2"/>
  <c r="I354" i="2" s="1"/>
  <c r="K351" i="2"/>
  <c r="L350" i="2"/>
  <c r="N346" i="1"/>
  <c r="M346" i="1"/>
  <c r="K347" i="1"/>
  <c r="L347" i="1" s="1"/>
  <c r="N347" i="1" s="1"/>
  <c r="I348" i="1"/>
  <c r="P350" i="1"/>
  <c r="Q349" i="1"/>
  <c r="M350" i="2" l="1"/>
  <c r="N350" i="2"/>
  <c r="L351" i="2"/>
  <c r="K352" i="2"/>
  <c r="Q355" i="2"/>
  <c r="P356" i="2"/>
  <c r="H355" i="2"/>
  <c r="M347" i="1"/>
  <c r="K348" i="1"/>
  <c r="L348" i="1" s="1"/>
  <c r="P351" i="1"/>
  <c r="H351" i="1" s="1"/>
  <c r="H352" i="1" s="1"/>
  <c r="Q350" i="1"/>
  <c r="I349" i="1"/>
  <c r="K353" i="2" l="1"/>
  <c r="L352" i="2"/>
  <c r="M351" i="2"/>
  <c r="N351" i="2"/>
  <c r="H356" i="2"/>
  <c r="I356" i="2" s="1"/>
  <c r="I355" i="2"/>
  <c r="Q356" i="2"/>
  <c r="P357" i="2"/>
  <c r="N348" i="1"/>
  <c r="M348" i="1"/>
  <c r="K349" i="1"/>
  <c r="L349" i="1" s="1"/>
  <c r="N349" i="1" s="1"/>
  <c r="I350" i="1"/>
  <c r="P352" i="1"/>
  <c r="Q351" i="1"/>
  <c r="P358" i="2" l="1"/>
  <c r="Q357" i="2"/>
  <c r="H357" i="2"/>
  <c r="M352" i="2"/>
  <c r="N352" i="2"/>
  <c r="K354" i="2"/>
  <c r="L353" i="2"/>
  <c r="M349" i="1"/>
  <c r="K350" i="1"/>
  <c r="L350" i="1" s="1"/>
  <c r="P353" i="1"/>
  <c r="H353" i="1" s="1"/>
  <c r="H354" i="1" s="1"/>
  <c r="Q352" i="1"/>
  <c r="I351" i="1"/>
  <c r="N353" i="2" l="1"/>
  <c r="M353" i="2"/>
  <c r="I357" i="2"/>
  <c r="H358" i="2"/>
  <c r="I358" i="2" s="1"/>
  <c r="K355" i="2"/>
  <c r="L354" i="2"/>
  <c r="Q358" i="2"/>
  <c r="P359" i="2"/>
  <c r="N350" i="1"/>
  <c r="M350" i="1"/>
  <c r="K351" i="1"/>
  <c r="L351" i="1" s="1"/>
  <c r="N351" i="1" s="1"/>
  <c r="I352" i="1"/>
  <c r="P354" i="1"/>
  <c r="Q353" i="1"/>
  <c r="Q359" i="2" l="1"/>
  <c r="P360" i="2"/>
  <c r="H359" i="2"/>
  <c r="M354" i="2"/>
  <c r="N354" i="2"/>
  <c r="L355" i="2"/>
  <c r="K356" i="2"/>
  <c r="M351" i="1"/>
  <c r="K352" i="1"/>
  <c r="L352" i="1" s="1"/>
  <c r="P355" i="1"/>
  <c r="H355" i="1" s="1"/>
  <c r="H356" i="1" s="1"/>
  <c r="Q354" i="1"/>
  <c r="I353" i="1"/>
  <c r="H360" i="2" l="1"/>
  <c r="I360" i="2" s="1"/>
  <c r="I359" i="2"/>
  <c r="Q360" i="2"/>
  <c r="P361" i="2"/>
  <c r="K357" i="2"/>
  <c r="L356" i="2"/>
  <c r="N355" i="2"/>
  <c r="M355" i="2"/>
  <c r="N352" i="1"/>
  <c r="M352" i="1"/>
  <c r="K353" i="1"/>
  <c r="L353" i="1" s="1"/>
  <c r="N353" i="1" s="1"/>
  <c r="I354" i="1"/>
  <c r="P356" i="1"/>
  <c r="Q355" i="1"/>
  <c r="K358" i="2" l="1"/>
  <c r="L357" i="2"/>
  <c r="P362" i="2"/>
  <c r="Q361" i="2"/>
  <c r="H361" i="2"/>
  <c r="M356" i="2"/>
  <c r="N356" i="2"/>
  <c r="M353" i="1"/>
  <c r="K354" i="1"/>
  <c r="L354" i="1" s="1"/>
  <c r="P357" i="1"/>
  <c r="H357" i="1" s="1"/>
  <c r="H358" i="1" s="1"/>
  <c r="Q356" i="1"/>
  <c r="I355" i="1"/>
  <c r="Q362" i="2" l="1"/>
  <c r="P363" i="2"/>
  <c r="N357" i="2"/>
  <c r="M357" i="2"/>
  <c r="I361" i="2"/>
  <c r="H362" i="2"/>
  <c r="I362" i="2" s="1"/>
  <c r="K359" i="2"/>
  <c r="L358" i="2"/>
  <c r="N354" i="1"/>
  <c r="M354" i="1"/>
  <c r="K355" i="1"/>
  <c r="L355" i="1" s="1"/>
  <c r="N355" i="1" s="1"/>
  <c r="I356" i="1"/>
  <c r="P358" i="1"/>
  <c r="Q357" i="1"/>
  <c r="M358" i="2" l="1"/>
  <c r="N358" i="2"/>
  <c r="L359" i="2"/>
  <c r="K360" i="2"/>
  <c r="Q363" i="2"/>
  <c r="P364" i="2"/>
  <c r="H363" i="2"/>
  <c r="M355" i="1"/>
  <c r="K356" i="1"/>
  <c r="L356" i="1" s="1"/>
  <c r="P359" i="1"/>
  <c r="H359" i="1" s="1"/>
  <c r="H360" i="1" s="1"/>
  <c r="Q358" i="1"/>
  <c r="I357" i="1"/>
  <c r="K361" i="2" l="1"/>
  <c r="L360" i="2"/>
  <c r="H364" i="2"/>
  <c r="I364" i="2" s="1"/>
  <c r="I363" i="2"/>
  <c r="M359" i="2"/>
  <c r="N359" i="2"/>
  <c r="Q364" i="2"/>
  <c r="P365" i="2"/>
  <c r="N356" i="1"/>
  <c r="M356" i="1"/>
  <c r="K357" i="1"/>
  <c r="L357" i="1" s="1"/>
  <c r="N357" i="1" s="1"/>
  <c r="I358" i="1"/>
  <c r="P360" i="1"/>
  <c r="Q359" i="1"/>
  <c r="P366" i="2" l="1"/>
  <c r="Q365" i="2"/>
  <c r="H365" i="2"/>
  <c r="M360" i="2"/>
  <c r="N360" i="2"/>
  <c r="K362" i="2"/>
  <c r="L361" i="2"/>
  <c r="M357" i="1"/>
  <c r="K358" i="1"/>
  <c r="L358" i="1" s="1"/>
  <c r="P361" i="1"/>
  <c r="H361" i="1" s="1"/>
  <c r="H362" i="1" s="1"/>
  <c r="Q360" i="1"/>
  <c r="I359" i="1"/>
  <c r="I365" i="2" l="1"/>
  <c r="H366" i="2"/>
  <c r="I366" i="2" s="1"/>
  <c r="K363" i="2"/>
  <c r="L362" i="2"/>
  <c r="N361" i="2"/>
  <c r="M361" i="2"/>
  <c r="Q366" i="2"/>
  <c r="P367" i="2"/>
  <c r="N358" i="1"/>
  <c r="M358" i="1"/>
  <c r="K359" i="1"/>
  <c r="L359" i="1" s="1"/>
  <c r="N359" i="1" s="1"/>
  <c r="I360" i="1"/>
  <c r="P362" i="1"/>
  <c r="Q361" i="1"/>
  <c r="L363" i="2" l="1"/>
  <c r="K364" i="2"/>
  <c r="Q367" i="2"/>
  <c r="P368" i="2"/>
  <c r="H367" i="2"/>
  <c r="M362" i="2"/>
  <c r="N362" i="2"/>
  <c r="M359" i="1"/>
  <c r="K360" i="1"/>
  <c r="L360" i="1" s="1"/>
  <c r="P363" i="1"/>
  <c r="H363" i="1" s="1"/>
  <c r="H364" i="1" s="1"/>
  <c r="Q362" i="1"/>
  <c r="I361" i="1"/>
  <c r="Q368" i="2" l="1"/>
  <c r="P369" i="2"/>
  <c r="K365" i="2"/>
  <c r="L364" i="2"/>
  <c r="H368" i="2"/>
  <c r="I368" i="2" s="1"/>
  <c r="I367" i="2"/>
  <c r="N363" i="2"/>
  <c r="M363" i="2"/>
  <c r="N360" i="1"/>
  <c r="M360" i="1"/>
  <c r="K361" i="1"/>
  <c r="L361" i="1" s="1"/>
  <c r="N361" i="1" s="1"/>
  <c r="I362" i="1"/>
  <c r="P364" i="1"/>
  <c r="Q363" i="1"/>
  <c r="K366" i="2" l="1"/>
  <c r="L365" i="2"/>
  <c r="M364" i="2"/>
  <c r="N364" i="2"/>
  <c r="P370" i="2"/>
  <c r="Q369" i="2"/>
  <c r="H369" i="2"/>
  <c r="M361" i="1"/>
  <c r="K362" i="1"/>
  <c r="L362" i="1" s="1"/>
  <c r="P365" i="1"/>
  <c r="H365" i="1" s="1"/>
  <c r="H366" i="1" s="1"/>
  <c r="Q364" i="1"/>
  <c r="I363" i="1"/>
  <c r="N365" i="2" l="1"/>
  <c r="M365" i="2"/>
  <c r="I369" i="2"/>
  <c r="H370" i="2"/>
  <c r="I370" i="2" s="1"/>
  <c r="Q370" i="2"/>
  <c r="P371" i="2"/>
  <c r="K367" i="2"/>
  <c r="L366" i="2"/>
  <c r="N362" i="1"/>
  <c r="M362" i="1"/>
  <c r="K363" i="1"/>
  <c r="L363" i="1" s="1"/>
  <c r="N363" i="1" s="1"/>
  <c r="I364" i="1"/>
  <c r="P366" i="1"/>
  <c r="Q365" i="1"/>
  <c r="M366" i="2" l="1"/>
  <c r="N366" i="2"/>
  <c r="L367" i="2"/>
  <c r="K368" i="2"/>
  <c r="Q371" i="2"/>
  <c r="P372" i="2"/>
  <c r="H371" i="2"/>
  <c r="M363" i="1"/>
  <c r="K364" i="1"/>
  <c r="L364" i="1" s="1"/>
  <c r="P367" i="1"/>
  <c r="H367" i="1" s="1"/>
  <c r="H368" i="1" s="1"/>
  <c r="Q366" i="1"/>
  <c r="I365" i="1"/>
  <c r="K369" i="2" l="1"/>
  <c r="L368" i="2"/>
  <c r="H372" i="2"/>
  <c r="I372" i="2" s="1"/>
  <c r="I371" i="2"/>
  <c r="M367" i="2"/>
  <c r="N367" i="2"/>
  <c r="Q372" i="2"/>
  <c r="P373" i="2"/>
  <c r="N364" i="1"/>
  <c r="M364" i="1"/>
  <c r="K365" i="1"/>
  <c r="L365" i="1" s="1"/>
  <c r="N365" i="1" s="1"/>
  <c r="I366" i="1"/>
  <c r="P368" i="1"/>
  <c r="Q367" i="1"/>
  <c r="P374" i="2" l="1"/>
  <c r="Q373" i="2"/>
  <c r="H373" i="2"/>
  <c r="M368" i="2"/>
  <c r="N368" i="2"/>
  <c r="K370" i="2"/>
  <c r="L369" i="2"/>
  <c r="M365" i="1"/>
  <c r="K366" i="1"/>
  <c r="L366" i="1" s="1"/>
  <c r="P369" i="1"/>
  <c r="H369" i="1" s="1"/>
  <c r="H370" i="1" s="1"/>
  <c r="Q368" i="1"/>
  <c r="I367" i="1"/>
  <c r="I373" i="2" l="1"/>
  <c r="H374" i="2"/>
  <c r="I374" i="2" s="1"/>
  <c r="K371" i="2"/>
  <c r="L370" i="2"/>
  <c r="N369" i="2"/>
  <c r="M369" i="2"/>
  <c r="Q374" i="2"/>
  <c r="P375" i="2"/>
  <c r="N366" i="1"/>
  <c r="M366" i="1"/>
  <c r="K367" i="1"/>
  <c r="L367" i="1" s="1"/>
  <c r="N367" i="1" s="1"/>
  <c r="I368" i="1"/>
  <c r="P370" i="1"/>
  <c r="Q369" i="1"/>
  <c r="Q375" i="2" l="1"/>
  <c r="P376" i="2"/>
  <c r="H375" i="2"/>
  <c r="M370" i="2"/>
  <c r="N370" i="2"/>
  <c r="L371" i="2"/>
  <c r="K372" i="2"/>
  <c r="M367" i="1"/>
  <c r="K368" i="1"/>
  <c r="L368" i="1" s="1"/>
  <c r="P371" i="1"/>
  <c r="H371" i="1" s="1"/>
  <c r="H372" i="1" s="1"/>
  <c r="Q370" i="1"/>
  <c r="I369" i="1"/>
  <c r="H376" i="2" l="1"/>
  <c r="I376" i="2" s="1"/>
  <c r="I375" i="2"/>
  <c r="N371" i="2"/>
  <c r="M371" i="2"/>
  <c r="Q376" i="2"/>
  <c r="P377" i="2"/>
  <c r="K373" i="2"/>
  <c r="L372" i="2"/>
  <c r="N368" i="1"/>
  <c r="M368" i="1"/>
  <c r="K369" i="1"/>
  <c r="L369" i="1" s="1"/>
  <c r="N369" i="1" s="1"/>
  <c r="I370" i="1"/>
  <c r="P372" i="1"/>
  <c r="Q371" i="1"/>
  <c r="M372" i="2" l="1"/>
  <c r="N372" i="2"/>
  <c r="K374" i="2"/>
  <c r="L373" i="2"/>
  <c r="P378" i="2"/>
  <c r="Q377" i="2"/>
  <c r="H377" i="2"/>
  <c r="M369" i="1"/>
  <c r="K370" i="1"/>
  <c r="L370" i="1" s="1"/>
  <c r="P373" i="1"/>
  <c r="H373" i="1" s="1"/>
  <c r="H374" i="1" s="1"/>
  <c r="Q372" i="1"/>
  <c r="I371" i="1"/>
  <c r="N373" i="2" l="1"/>
  <c r="M373" i="2"/>
  <c r="K375" i="2"/>
  <c r="L374" i="2"/>
  <c r="I377" i="2"/>
  <c r="H378" i="2"/>
  <c r="I378" i="2" s="1"/>
  <c r="Q378" i="2"/>
  <c r="P379" i="2"/>
  <c r="N370" i="1"/>
  <c r="M370" i="1"/>
  <c r="K371" i="1"/>
  <c r="L371" i="1" s="1"/>
  <c r="N371" i="1" s="1"/>
  <c r="I372" i="1"/>
  <c r="P374" i="1"/>
  <c r="Q373" i="1"/>
  <c r="Q379" i="2" l="1"/>
  <c r="P380" i="2"/>
  <c r="H379" i="2"/>
  <c r="M374" i="2"/>
  <c r="N374" i="2"/>
  <c r="L375" i="2"/>
  <c r="K376" i="2"/>
  <c r="M371" i="1"/>
  <c r="K372" i="1"/>
  <c r="L372" i="1" s="1"/>
  <c r="P375" i="1"/>
  <c r="H375" i="1" s="1"/>
  <c r="H376" i="1" s="1"/>
  <c r="Q374" i="1"/>
  <c r="I373" i="1"/>
  <c r="K377" i="2" l="1"/>
  <c r="L376" i="2"/>
  <c r="M375" i="2"/>
  <c r="N375" i="2"/>
  <c r="Q380" i="2"/>
  <c r="P381" i="2"/>
  <c r="H380" i="2"/>
  <c r="I380" i="2" s="1"/>
  <c r="I379" i="2"/>
  <c r="N372" i="1"/>
  <c r="M372" i="1"/>
  <c r="K373" i="1"/>
  <c r="L373" i="1" s="1"/>
  <c r="N373" i="1" s="1"/>
  <c r="I374" i="1"/>
  <c r="P376" i="1"/>
  <c r="Q375" i="1"/>
  <c r="M376" i="2" l="1"/>
  <c r="N376" i="2"/>
  <c r="P382" i="2"/>
  <c r="H381" i="2"/>
  <c r="Q381" i="2"/>
  <c r="K378" i="2"/>
  <c r="L377" i="2"/>
  <c r="M373" i="1"/>
  <c r="K374" i="1"/>
  <c r="L374" i="1" s="1"/>
  <c r="P377" i="1"/>
  <c r="H377" i="1" s="1"/>
  <c r="H378" i="1" s="1"/>
  <c r="Q376" i="1"/>
  <c r="I375" i="1"/>
  <c r="I381" i="2" l="1"/>
  <c r="H382" i="2"/>
  <c r="I382" i="2" s="1"/>
  <c r="Q382" i="2"/>
  <c r="P383" i="2"/>
  <c r="N377" i="2"/>
  <c r="M377" i="2"/>
  <c r="K379" i="2"/>
  <c r="L378" i="2"/>
  <c r="N374" i="1"/>
  <c r="M374" i="1"/>
  <c r="K375" i="1"/>
  <c r="L375" i="1" s="1"/>
  <c r="N375" i="1" s="1"/>
  <c r="I376" i="1"/>
  <c r="P378" i="1"/>
  <c r="Q377" i="1"/>
  <c r="M378" i="2" l="1"/>
  <c r="N378" i="2"/>
  <c r="Q383" i="2"/>
  <c r="P384" i="2"/>
  <c r="H383" i="2"/>
  <c r="L379" i="2"/>
  <c r="K380" i="2"/>
  <c r="M375" i="1"/>
  <c r="K376" i="1"/>
  <c r="L376" i="1" s="1"/>
  <c r="P379" i="1"/>
  <c r="H379" i="1" s="1"/>
  <c r="H380" i="1" s="1"/>
  <c r="Q378" i="1"/>
  <c r="I377" i="1"/>
  <c r="K381" i="2" l="1"/>
  <c r="L380" i="2"/>
  <c r="Q384" i="2"/>
  <c r="P385" i="2"/>
  <c r="N379" i="2"/>
  <c r="M379" i="2"/>
  <c r="H384" i="2"/>
  <c r="I384" i="2" s="1"/>
  <c r="I383" i="2"/>
  <c r="N376" i="1"/>
  <c r="M376" i="1"/>
  <c r="K377" i="1"/>
  <c r="L377" i="1" s="1"/>
  <c r="N377" i="1" s="1"/>
  <c r="I378" i="1"/>
  <c r="P380" i="1"/>
  <c r="Q379" i="1"/>
  <c r="P386" i="2" l="1"/>
  <c r="Q385" i="2"/>
  <c r="H385" i="2"/>
  <c r="M380" i="2"/>
  <c r="N380" i="2"/>
  <c r="K382" i="2"/>
  <c r="L381" i="2"/>
  <c r="M377" i="1"/>
  <c r="K378" i="1"/>
  <c r="L378" i="1" s="1"/>
  <c r="P381" i="1"/>
  <c r="H381" i="1" s="1"/>
  <c r="H382" i="1" s="1"/>
  <c r="Q380" i="1"/>
  <c r="I379" i="1"/>
  <c r="I385" i="2" l="1"/>
  <c r="H386" i="2"/>
  <c r="I386" i="2" s="1"/>
  <c r="N381" i="2"/>
  <c r="M381" i="2"/>
  <c r="K383" i="2"/>
  <c r="L382" i="2"/>
  <c r="Q386" i="2"/>
  <c r="P387" i="2"/>
  <c r="N378" i="1"/>
  <c r="M378" i="1"/>
  <c r="K379" i="1"/>
  <c r="L379" i="1" s="1"/>
  <c r="N379" i="1" s="1"/>
  <c r="I380" i="1"/>
  <c r="P382" i="1"/>
  <c r="Q381" i="1"/>
  <c r="Q387" i="2" l="1"/>
  <c r="P388" i="2"/>
  <c r="H387" i="2"/>
  <c r="M382" i="2"/>
  <c r="N382" i="2"/>
  <c r="L383" i="2"/>
  <c r="K384" i="2"/>
  <c r="M379" i="1"/>
  <c r="K380" i="1"/>
  <c r="L380" i="1" s="1"/>
  <c r="P383" i="1"/>
  <c r="H383" i="1" s="1"/>
  <c r="H384" i="1" s="1"/>
  <c r="Q382" i="1"/>
  <c r="I381" i="1"/>
  <c r="K385" i="2" l="1"/>
  <c r="L384" i="2"/>
  <c r="H388" i="2"/>
  <c r="I388" i="2" s="1"/>
  <c r="I387" i="2"/>
  <c r="Q388" i="2"/>
  <c r="P389" i="2"/>
  <c r="M383" i="2"/>
  <c r="N383" i="2"/>
  <c r="N380" i="1"/>
  <c r="M380" i="1"/>
  <c r="K381" i="1"/>
  <c r="L381" i="1" s="1"/>
  <c r="N381" i="1" s="1"/>
  <c r="I382" i="1"/>
  <c r="P384" i="1"/>
  <c r="Q383" i="1"/>
  <c r="P390" i="2" l="1"/>
  <c r="Q389" i="2"/>
  <c r="H389" i="2"/>
  <c r="M384" i="2"/>
  <c r="N384" i="2"/>
  <c r="K386" i="2"/>
  <c r="L385" i="2"/>
  <c r="M381" i="1"/>
  <c r="K382" i="1"/>
  <c r="L382" i="1" s="1"/>
  <c r="P385" i="1"/>
  <c r="H385" i="1" s="1"/>
  <c r="H386" i="1" s="1"/>
  <c r="Q384" i="1"/>
  <c r="I383" i="1"/>
  <c r="N385" i="2" l="1"/>
  <c r="M385" i="2"/>
  <c r="I389" i="2"/>
  <c r="H390" i="2"/>
  <c r="I390" i="2" s="1"/>
  <c r="K387" i="2"/>
  <c r="L386" i="2"/>
  <c r="Q390" i="2"/>
  <c r="P391" i="2"/>
  <c r="N382" i="1"/>
  <c r="M382" i="1"/>
  <c r="K383" i="1"/>
  <c r="L383" i="1" s="1"/>
  <c r="N383" i="1" s="1"/>
  <c r="I384" i="1"/>
  <c r="P386" i="1"/>
  <c r="Q385" i="1"/>
  <c r="M386" i="2" l="1"/>
  <c r="N386" i="2"/>
  <c r="Q391" i="2"/>
  <c r="P392" i="2"/>
  <c r="H391" i="2"/>
  <c r="L387" i="2"/>
  <c r="K388" i="2"/>
  <c r="M383" i="1"/>
  <c r="K384" i="1"/>
  <c r="L384" i="1" s="1"/>
  <c r="P387" i="1"/>
  <c r="H387" i="1" s="1"/>
  <c r="H388" i="1" s="1"/>
  <c r="Q386" i="1"/>
  <c r="I385" i="1"/>
  <c r="Q392" i="2" l="1"/>
  <c r="P393" i="2"/>
  <c r="K389" i="2"/>
  <c r="L388" i="2"/>
  <c r="N387" i="2"/>
  <c r="M387" i="2"/>
  <c r="H392" i="2"/>
  <c r="I392" i="2" s="1"/>
  <c r="I391" i="2"/>
  <c r="N384" i="1"/>
  <c r="M384" i="1"/>
  <c r="K385" i="1"/>
  <c r="L385" i="1" s="1"/>
  <c r="N385" i="1" s="1"/>
  <c r="I386" i="1"/>
  <c r="P388" i="1"/>
  <c r="Q387" i="1"/>
  <c r="M388" i="2" l="1"/>
  <c r="N388" i="2"/>
  <c r="K390" i="2"/>
  <c r="L389" i="2"/>
  <c r="P394" i="2"/>
  <c r="Q393" i="2"/>
  <c r="H393" i="2"/>
  <c r="M385" i="1"/>
  <c r="K386" i="1"/>
  <c r="L386" i="1" s="1"/>
  <c r="P389" i="1"/>
  <c r="H389" i="1" s="1"/>
  <c r="H390" i="1" s="1"/>
  <c r="Q388" i="1"/>
  <c r="I387" i="1"/>
  <c r="I393" i="2" l="1"/>
  <c r="H394" i="2"/>
  <c r="I394" i="2" s="1"/>
  <c r="N389" i="2"/>
  <c r="M389" i="2"/>
  <c r="K391" i="2"/>
  <c r="L390" i="2"/>
  <c r="Q394" i="2"/>
  <c r="P395" i="2"/>
  <c r="N386" i="1"/>
  <c r="M386" i="1"/>
  <c r="K387" i="1"/>
  <c r="L387" i="1" s="1"/>
  <c r="I389" i="1"/>
  <c r="I388" i="1"/>
  <c r="P390" i="1"/>
  <c r="Q389" i="1"/>
  <c r="Q395" i="2" l="1"/>
  <c r="P396" i="2"/>
  <c r="H395" i="2"/>
  <c r="M390" i="2"/>
  <c r="N390" i="2"/>
  <c r="L391" i="2"/>
  <c r="K392" i="2"/>
  <c r="M387" i="1"/>
  <c r="N387" i="1"/>
  <c r="K388" i="1"/>
  <c r="K389" i="1" s="1"/>
  <c r="L389" i="1" s="1"/>
  <c r="P391" i="1"/>
  <c r="H391" i="1" s="1"/>
  <c r="H392" i="1" s="1"/>
  <c r="Q390" i="1"/>
  <c r="H396" i="2" l="1"/>
  <c r="I396" i="2" s="1"/>
  <c r="I395" i="2"/>
  <c r="K393" i="2"/>
  <c r="L392" i="2"/>
  <c r="Q396" i="2"/>
  <c r="P397" i="2"/>
  <c r="M391" i="2"/>
  <c r="N391" i="2"/>
  <c r="L388" i="1"/>
  <c r="N389" i="1"/>
  <c r="I390" i="1"/>
  <c r="P392" i="1"/>
  <c r="Q391" i="1"/>
  <c r="M392" i="2" l="1"/>
  <c r="N392" i="2"/>
  <c r="K394" i="2"/>
  <c r="L393" i="2"/>
  <c r="P398" i="2"/>
  <c r="Q397" i="2"/>
  <c r="H397" i="2"/>
  <c r="M388" i="1"/>
  <c r="N388" i="1"/>
  <c r="M389" i="1"/>
  <c r="K390" i="1"/>
  <c r="Q392" i="1"/>
  <c r="P393" i="1"/>
  <c r="H393" i="1" s="1"/>
  <c r="H394" i="1" s="1"/>
  <c r="I391" i="1"/>
  <c r="N393" i="2" l="1"/>
  <c r="M393" i="2"/>
  <c r="I397" i="2"/>
  <c r="H398" i="2"/>
  <c r="I398" i="2" s="1"/>
  <c r="K395" i="2"/>
  <c r="L394" i="2"/>
  <c r="Q398" i="2"/>
  <c r="P399" i="2"/>
  <c r="K391" i="1"/>
  <c r="L391" i="1" s="1"/>
  <c r="N391" i="1" s="1"/>
  <c r="L390" i="1"/>
  <c r="I392" i="1"/>
  <c r="P394" i="1"/>
  <c r="Q393" i="1"/>
  <c r="M394" i="2" l="1"/>
  <c r="N394" i="2"/>
  <c r="Q399" i="2"/>
  <c r="P400" i="2"/>
  <c r="H399" i="2"/>
  <c r="L395" i="2"/>
  <c r="K396" i="2"/>
  <c r="M391" i="1"/>
  <c r="M390" i="1"/>
  <c r="N390" i="1"/>
  <c r="K392" i="1"/>
  <c r="I393" i="1"/>
  <c r="P395" i="1"/>
  <c r="H395" i="1" s="1"/>
  <c r="H396" i="1" s="1"/>
  <c r="Q394" i="1"/>
  <c r="Q400" i="2" l="1"/>
  <c r="P401" i="2"/>
  <c r="K397" i="2"/>
  <c r="L396" i="2"/>
  <c r="N395" i="2"/>
  <c r="M395" i="2"/>
  <c r="H400" i="2"/>
  <c r="I400" i="2" s="1"/>
  <c r="I399" i="2"/>
  <c r="K393" i="1"/>
  <c r="L393" i="1" s="1"/>
  <c r="L392" i="1"/>
  <c r="P396" i="1"/>
  <c r="Q395" i="1"/>
  <c r="I394" i="1"/>
  <c r="M396" i="2" l="1"/>
  <c r="N396" i="2"/>
  <c r="P402" i="2"/>
  <c r="Q401" i="2"/>
  <c r="H401" i="2"/>
  <c r="K398" i="2"/>
  <c r="L397" i="2"/>
  <c r="N393" i="1"/>
  <c r="M393" i="1"/>
  <c r="M392" i="1"/>
  <c r="N392" i="1"/>
  <c r="K394" i="1"/>
  <c r="I395" i="1"/>
  <c r="Q396" i="1"/>
  <c r="P397" i="1"/>
  <c r="H397" i="1" s="1"/>
  <c r="H398" i="1" s="1"/>
  <c r="N397" i="2" l="1"/>
  <c r="M397" i="2"/>
  <c r="Q402" i="2"/>
  <c r="P403" i="2"/>
  <c r="K399" i="2"/>
  <c r="L398" i="2"/>
  <c r="I401" i="2"/>
  <c r="H402" i="2"/>
  <c r="I402" i="2" s="1"/>
  <c r="K395" i="1"/>
  <c r="L395" i="1" s="1"/>
  <c r="N395" i="1" s="1"/>
  <c r="L394" i="1"/>
  <c r="P398" i="1"/>
  <c r="Q397" i="1"/>
  <c r="I396" i="1"/>
  <c r="Q403" i="2" l="1"/>
  <c r="P404" i="2"/>
  <c r="H403" i="2"/>
  <c r="M398" i="2"/>
  <c r="N398" i="2"/>
  <c r="L399" i="2"/>
  <c r="K400" i="2"/>
  <c r="M395" i="1"/>
  <c r="M394" i="1"/>
  <c r="N394" i="1"/>
  <c r="K396" i="1"/>
  <c r="I397" i="1"/>
  <c r="P399" i="1"/>
  <c r="H399" i="1" s="1"/>
  <c r="H400" i="1" s="1"/>
  <c r="Q398" i="1"/>
  <c r="H404" i="2" l="1"/>
  <c r="I404" i="2" s="1"/>
  <c r="I403" i="2"/>
  <c r="K401" i="2"/>
  <c r="L400" i="2"/>
  <c r="Q404" i="2"/>
  <c r="P405" i="2"/>
  <c r="M399" i="2"/>
  <c r="N399" i="2"/>
  <c r="K397" i="1"/>
  <c r="L397" i="1" s="1"/>
  <c r="L396" i="1"/>
  <c r="P400" i="1"/>
  <c r="Q399" i="1"/>
  <c r="I398" i="1"/>
  <c r="M400" i="2" l="1"/>
  <c r="N400" i="2"/>
  <c r="K402" i="2"/>
  <c r="L401" i="2"/>
  <c r="P406" i="2"/>
  <c r="Q405" i="2"/>
  <c r="H405" i="2"/>
  <c r="N397" i="1"/>
  <c r="M397" i="1"/>
  <c r="N396" i="1"/>
  <c r="M396" i="1"/>
  <c r="K398" i="1"/>
  <c r="I399" i="1"/>
  <c r="Q400" i="1"/>
  <c r="P401" i="1"/>
  <c r="H401" i="1" s="1"/>
  <c r="H402" i="1" s="1"/>
  <c r="N401" i="2" l="1"/>
  <c r="M401" i="2"/>
  <c r="I405" i="2"/>
  <c r="H406" i="2"/>
  <c r="I406" i="2" s="1"/>
  <c r="K403" i="2"/>
  <c r="L402" i="2"/>
  <c r="Q406" i="2"/>
  <c r="P407" i="2"/>
  <c r="K399" i="1"/>
  <c r="L399" i="1" s="1"/>
  <c r="N399" i="1" s="1"/>
  <c r="L398" i="1"/>
  <c r="P402" i="1"/>
  <c r="Q401" i="1"/>
  <c r="I400" i="1"/>
  <c r="Q407" i="2" l="1"/>
  <c r="P408" i="2"/>
  <c r="H407" i="2"/>
  <c r="M402" i="2"/>
  <c r="N402" i="2"/>
  <c r="L403" i="2"/>
  <c r="K404" i="2"/>
  <c r="M399" i="1"/>
  <c r="M398" i="1"/>
  <c r="N398" i="1"/>
  <c r="K400" i="1"/>
  <c r="I401" i="1"/>
  <c r="P403" i="1"/>
  <c r="H403" i="1" s="1"/>
  <c r="H404" i="1" s="1"/>
  <c r="Q402" i="1"/>
  <c r="H408" i="2" l="1"/>
  <c r="I408" i="2" s="1"/>
  <c r="I407" i="2"/>
  <c r="K405" i="2"/>
  <c r="L404" i="2"/>
  <c r="Q408" i="2"/>
  <c r="P409" i="2"/>
  <c r="M403" i="2"/>
  <c r="N403" i="2"/>
  <c r="K401" i="1"/>
  <c r="L401" i="1" s="1"/>
  <c r="L400" i="1"/>
  <c r="P404" i="1"/>
  <c r="Q403" i="1"/>
  <c r="I402" i="1"/>
  <c r="M404" i="2" l="1"/>
  <c r="N404" i="2"/>
  <c r="K406" i="2"/>
  <c r="L405" i="2"/>
  <c r="P410" i="2"/>
  <c r="Q409" i="2"/>
  <c r="H409" i="2"/>
  <c r="N401" i="1"/>
  <c r="M401" i="1"/>
  <c r="N400" i="1"/>
  <c r="M400" i="1"/>
  <c r="K402" i="1"/>
  <c r="I403" i="1"/>
  <c r="Q404" i="1"/>
  <c r="P405" i="1"/>
  <c r="H405" i="1" s="1"/>
  <c r="H406" i="1" s="1"/>
  <c r="N405" i="2" l="1"/>
  <c r="M405" i="2"/>
  <c r="I409" i="2"/>
  <c r="H410" i="2"/>
  <c r="I410" i="2" s="1"/>
  <c r="K407" i="2"/>
  <c r="L406" i="2"/>
  <c r="Q410" i="2"/>
  <c r="P411" i="2"/>
  <c r="K403" i="1"/>
  <c r="L403" i="1" s="1"/>
  <c r="N403" i="1" s="1"/>
  <c r="L402" i="1"/>
  <c r="P406" i="1"/>
  <c r="Q405" i="1"/>
  <c r="I404" i="1"/>
  <c r="M406" i="2" l="1"/>
  <c r="N406" i="2"/>
  <c r="Q411" i="2"/>
  <c r="P412" i="2"/>
  <c r="H411" i="2"/>
  <c r="L407" i="2"/>
  <c r="K408" i="2"/>
  <c r="M403" i="1"/>
  <c r="M402" i="1"/>
  <c r="N402" i="1"/>
  <c r="K404" i="1"/>
  <c r="I405" i="1"/>
  <c r="P407" i="1"/>
  <c r="H407" i="1" s="1"/>
  <c r="H408" i="1" s="1"/>
  <c r="Q406" i="1"/>
  <c r="Q412" i="2" l="1"/>
  <c r="P413" i="2"/>
  <c r="K409" i="2"/>
  <c r="L408" i="2"/>
  <c r="M407" i="2"/>
  <c r="N407" i="2"/>
  <c r="H412" i="2"/>
  <c r="I412" i="2" s="1"/>
  <c r="I411" i="2"/>
  <c r="K405" i="1"/>
  <c r="L405" i="1" s="1"/>
  <c r="L404" i="1"/>
  <c r="P408" i="1"/>
  <c r="Q407" i="1"/>
  <c r="I406" i="1"/>
  <c r="M408" i="2" l="1"/>
  <c r="N408" i="2"/>
  <c r="P414" i="2"/>
  <c r="Q413" i="2"/>
  <c r="H413" i="2"/>
  <c r="K410" i="2"/>
  <c r="L409" i="2"/>
  <c r="N405" i="1"/>
  <c r="M405" i="1"/>
  <c r="N404" i="1"/>
  <c r="M404" i="1"/>
  <c r="K406" i="1"/>
  <c r="I407" i="1"/>
  <c r="Q408" i="1"/>
  <c r="P409" i="1"/>
  <c r="H409" i="1" s="1"/>
  <c r="H410" i="1" s="1"/>
  <c r="N409" i="2" l="1"/>
  <c r="M409" i="2"/>
  <c r="Q414" i="2"/>
  <c r="P415" i="2"/>
  <c r="K411" i="2"/>
  <c r="L410" i="2"/>
  <c r="I413" i="2"/>
  <c r="H414" i="2"/>
  <c r="I414" i="2" s="1"/>
  <c r="K407" i="1"/>
  <c r="L407" i="1" s="1"/>
  <c r="N407" i="1" s="1"/>
  <c r="L406" i="1"/>
  <c r="P410" i="1"/>
  <c r="Q409" i="1"/>
  <c r="I408" i="1"/>
  <c r="Q415" i="2" l="1"/>
  <c r="P416" i="2"/>
  <c r="H415" i="2"/>
  <c r="M410" i="2"/>
  <c r="N410" i="2"/>
  <c r="L411" i="2"/>
  <c r="K412" i="2"/>
  <c r="M407" i="1"/>
  <c r="M406" i="1"/>
  <c r="N406" i="1"/>
  <c r="K408" i="1"/>
  <c r="I409" i="1"/>
  <c r="P411" i="1"/>
  <c r="H411" i="1" s="1"/>
  <c r="H412" i="1" s="1"/>
  <c r="Q410" i="1"/>
  <c r="H416" i="2" l="1"/>
  <c r="I416" i="2" s="1"/>
  <c r="I415" i="2"/>
  <c r="K413" i="2"/>
  <c r="L412" i="2"/>
  <c r="Q416" i="2"/>
  <c r="P417" i="2"/>
  <c r="M411" i="2"/>
  <c r="N411" i="2"/>
  <c r="K409" i="1"/>
  <c r="L409" i="1" s="1"/>
  <c r="L408" i="1"/>
  <c r="P412" i="1"/>
  <c r="Q411" i="1"/>
  <c r="I410" i="1"/>
  <c r="M412" i="2" l="1"/>
  <c r="N412" i="2"/>
  <c r="K414" i="2"/>
  <c r="L413" i="2"/>
  <c r="P418" i="2"/>
  <c r="Q417" i="2"/>
  <c r="H417" i="2"/>
  <c r="N409" i="1"/>
  <c r="M409" i="1"/>
  <c r="N408" i="1"/>
  <c r="M408" i="1"/>
  <c r="K410" i="1"/>
  <c r="I411" i="1"/>
  <c r="Q412" i="1"/>
  <c r="P413" i="1"/>
  <c r="H413" i="1" s="1"/>
  <c r="H414" i="1" s="1"/>
  <c r="N413" i="2" l="1"/>
  <c r="M413" i="2"/>
  <c r="K415" i="2"/>
  <c r="L414" i="2"/>
  <c r="I417" i="2"/>
  <c r="H418" i="2"/>
  <c r="I418" i="2" s="1"/>
  <c r="Q418" i="2"/>
  <c r="P419" i="2"/>
  <c r="K411" i="1"/>
  <c r="L411" i="1" s="1"/>
  <c r="N411" i="1" s="1"/>
  <c r="L410" i="1"/>
  <c r="P414" i="1"/>
  <c r="Q413" i="1"/>
  <c r="I412" i="1"/>
  <c r="M414" i="2" l="1"/>
  <c r="N414" i="2"/>
  <c r="L415" i="2"/>
  <c r="K416" i="2"/>
  <c r="Q419" i="2"/>
  <c r="P420" i="2"/>
  <c r="H419" i="2"/>
  <c r="M411" i="1"/>
  <c r="M410" i="1"/>
  <c r="N410" i="1"/>
  <c r="K412" i="1"/>
  <c r="I413" i="1"/>
  <c r="P415" i="1"/>
  <c r="H415" i="1" s="1"/>
  <c r="H416" i="1" s="1"/>
  <c r="Q414" i="1"/>
  <c r="K417" i="2" l="1"/>
  <c r="L416" i="2"/>
  <c r="H420" i="2"/>
  <c r="I420" i="2" s="1"/>
  <c r="I419" i="2"/>
  <c r="M415" i="2"/>
  <c r="N415" i="2"/>
  <c r="Q420" i="2"/>
  <c r="P421" i="2"/>
  <c r="K413" i="1"/>
  <c r="L413" i="1" s="1"/>
  <c r="L412" i="1"/>
  <c r="P416" i="1"/>
  <c r="Q415" i="1"/>
  <c r="I414" i="1"/>
  <c r="P422" i="2" l="1"/>
  <c r="Q421" i="2"/>
  <c r="H421" i="2"/>
  <c r="M416" i="2"/>
  <c r="N416" i="2"/>
  <c r="K418" i="2"/>
  <c r="L417" i="2"/>
  <c r="N413" i="1"/>
  <c r="M413" i="1"/>
  <c r="N412" i="1"/>
  <c r="M412" i="1"/>
  <c r="K414" i="1"/>
  <c r="I415" i="1"/>
  <c r="Q416" i="1"/>
  <c r="P417" i="1"/>
  <c r="H417" i="1" s="1"/>
  <c r="H418" i="1" s="1"/>
  <c r="I421" i="2" l="1"/>
  <c r="H422" i="2"/>
  <c r="I422" i="2" s="1"/>
  <c r="N417" i="2"/>
  <c r="M417" i="2"/>
  <c r="K419" i="2"/>
  <c r="L418" i="2"/>
  <c r="Q422" i="2"/>
  <c r="P423" i="2"/>
  <c r="K415" i="1"/>
  <c r="L415" i="1" s="1"/>
  <c r="N415" i="1" s="1"/>
  <c r="L414" i="1"/>
  <c r="P418" i="1"/>
  <c r="Q417" i="1"/>
  <c r="I416" i="1"/>
  <c r="Q423" i="2" l="1"/>
  <c r="P424" i="2"/>
  <c r="H423" i="2"/>
  <c r="M418" i="2"/>
  <c r="N418" i="2"/>
  <c r="L419" i="2"/>
  <c r="K420" i="2"/>
  <c r="M415" i="1"/>
  <c r="M414" i="1"/>
  <c r="N414" i="1"/>
  <c r="K416" i="1"/>
  <c r="I417" i="1"/>
  <c r="P419" i="1"/>
  <c r="H419" i="1" s="1"/>
  <c r="H420" i="1" s="1"/>
  <c r="Q418" i="1"/>
  <c r="K421" i="2" l="1"/>
  <c r="L420" i="2"/>
  <c r="H424" i="2"/>
  <c r="I424" i="2" s="1"/>
  <c r="I423" i="2"/>
  <c r="Q424" i="2"/>
  <c r="P425" i="2"/>
  <c r="M419" i="2"/>
  <c r="N419" i="2"/>
  <c r="K417" i="1"/>
  <c r="L417" i="1" s="1"/>
  <c r="L416" i="1"/>
  <c r="P420" i="1"/>
  <c r="Q419" i="1"/>
  <c r="I418" i="1"/>
  <c r="P426" i="2" l="1"/>
  <c r="Q425" i="2"/>
  <c r="H425" i="2"/>
  <c r="M420" i="2"/>
  <c r="N420" i="2"/>
  <c r="K422" i="2"/>
  <c r="L421" i="2"/>
  <c r="N417" i="1"/>
  <c r="M417" i="1"/>
  <c r="N416" i="1"/>
  <c r="M416" i="1"/>
  <c r="K418" i="1"/>
  <c r="I419" i="1"/>
  <c r="Q420" i="1"/>
  <c r="P421" i="1"/>
  <c r="H421" i="1" s="1"/>
  <c r="H422" i="1" s="1"/>
  <c r="I425" i="2" l="1"/>
  <c r="H426" i="2"/>
  <c r="I426" i="2" s="1"/>
  <c r="N421" i="2"/>
  <c r="M421" i="2"/>
  <c r="K423" i="2"/>
  <c r="L422" i="2"/>
  <c r="Q426" i="2"/>
  <c r="P427" i="2"/>
  <c r="K419" i="1"/>
  <c r="L419" i="1" s="1"/>
  <c r="N419" i="1" s="1"/>
  <c r="L418" i="1"/>
  <c r="P422" i="1"/>
  <c r="Q421" i="1"/>
  <c r="I420" i="1"/>
  <c r="Q427" i="2" l="1"/>
  <c r="P428" i="2"/>
  <c r="H427" i="2"/>
  <c r="M422" i="2"/>
  <c r="N422" i="2"/>
  <c r="L423" i="2"/>
  <c r="K424" i="2"/>
  <c r="M419" i="1"/>
  <c r="M418" i="1"/>
  <c r="N418" i="1"/>
  <c r="K420" i="1"/>
  <c r="I421" i="1"/>
  <c r="P423" i="1"/>
  <c r="H423" i="1" s="1"/>
  <c r="H424" i="1" s="1"/>
  <c r="Q422" i="1"/>
  <c r="K425" i="2" l="1"/>
  <c r="L424" i="2"/>
  <c r="Q428" i="2"/>
  <c r="P429" i="2"/>
  <c r="H428" i="2"/>
  <c r="I428" i="2" s="1"/>
  <c r="I427" i="2"/>
  <c r="M423" i="2"/>
  <c r="N423" i="2"/>
  <c r="K421" i="1"/>
  <c r="L421" i="1" s="1"/>
  <c r="L420" i="1"/>
  <c r="P424" i="1"/>
  <c r="Q423" i="1"/>
  <c r="I422" i="1"/>
  <c r="P430" i="2" l="1"/>
  <c r="Q429" i="2"/>
  <c r="H429" i="2"/>
  <c r="M424" i="2"/>
  <c r="N424" i="2"/>
  <c r="K426" i="2"/>
  <c r="L425" i="2"/>
  <c r="N421" i="1"/>
  <c r="M421" i="1"/>
  <c r="N420" i="1"/>
  <c r="M420" i="1"/>
  <c r="K422" i="1"/>
  <c r="I423" i="1"/>
  <c r="Q424" i="1"/>
  <c r="P425" i="1"/>
  <c r="H425" i="1" s="1"/>
  <c r="H426" i="1" s="1"/>
  <c r="N425" i="2" l="1"/>
  <c r="M425" i="2"/>
  <c r="I429" i="2"/>
  <c r="H430" i="2"/>
  <c r="I430" i="2" s="1"/>
  <c r="K427" i="2"/>
  <c r="L426" i="2"/>
  <c r="Q430" i="2"/>
  <c r="P431" i="2"/>
  <c r="K423" i="1"/>
  <c r="L423" i="1" s="1"/>
  <c r="N423" i="1" s="1"/>
  <c r="L422" i="1"/>
  <c r="P426" i="1"/>
  <c r="Q425" i="1"/>
  <c r="I424" i="1"/>
  <c r="Q431" i="2" l="1"/>
  <c r="P432" i="2"/>
  <c r="H431" i="2"/>
  <c r="M426" i="2"/>
  <c r="N426" i="2"/>
  <c r="L427" i="2"/>
  <c r="K428" i="2"/>
  <c r="M423" i="1"/>
  <c r="M422" i="1"/>
  <c r="N422" i="1"/>
  <c r="K424" i="1"/>
  <c r="I425" i="1"/>
  <c r="P427" i="1"/>
  <c r="H427" i="1" s="1"/>
  <c r="H428" i="1" s="1"/>
  <c r="Q426" i="1"/>
  <c r="H432" i="2" l="1"/>
  <c r="I432" i="2" s="1"/>
  <c r="I431" i="2"/>
  <c r="M427" i="2"/>
  <c r="N427" i="2"/>
  <c r="Q432" i="2"/>
  <c r="P433" i="2"/>
  <c r="K429" i="2"/>
  <c r="L428" i="2"/>
  <c r="K425" i="1"/>
  <c r="L425" i="1" s="1"/>
  <c r="L424" i="1"/>
  <c r="P428" i="1"/>
  <c r="Q427" i="1"/>
  <c r="I426" i="1"/>
  <c r="M428" i="2" l="1"/>
  <c r="N428" i="2"/>
  <c r="K430" i="2"/>
  <c r="L429" i="2"/>
  <c r="P434" i="2"/>
  <c r="Q433" i="2"/>
  <c r="H433" i="2"/>
  <c r="N425" i="1"/>
  <c r="M425" i="1"/>
  <c r="N424" i="1"/>
  <c r="M424" i="1"/>
  <c r="K426" i="1"/>
  <c r="I427" i="1"/>
  <c r="Q428" i="1"/>
  <c r="P429" i="1"/>
  <c r="H429" i="1" s="1"/>
  <c r="H430" i="1" s="1"/>
  <c r="N429" i="2" l="1"/>
  <c r="M429" i="2"/>
  <c r="I433" i="2"/>
  <c r="H434" i="2"/>
  <c r="I434" i="2" s="1"/>
  <c r="K431" i="2"/>
  <c r="L430" i="2"/>
  <c r="Q434" i="2"/>
  <c r="P435" i="2"/>
  <c r="K427" i="1"/>
  <c r="L427" i="1" s="1"/>
  <c r="N427" i="1" s="1"/>
  <c r="L426" i="1"/>
  <c r="P430" i="1"/>
  <c r="Q429" i="1"/>
  <c r="I428" i="1"/>
  <c r="Q435" i="2" l="1"/>
  <c r="P436" i="2"/>
  <c r="H435" i="2"/>
  <c r="M430" i="2"/>
  <c r="N430" i="2"/>
  <c r="L431" i="2"/>
  <c r="K432" i="2"/>
  <c r="M427" i="1"/>
  <c r="M426" i="1"/>
  <c r="N426" i="1"/>
  <c r="K428" i="1"/>
  <c r="I429" i="1"/>
  <c r="P431" i="1"/>
  <c r="H431" i="1" s="1"/>
  <c r="H432" i="1" s="1"/>
  <c r="Q430" i="1"/>
  <c r="H436" i="2" l="1"/>
  <c r="I436" i="2" s="1"/>
  <c r="I435" i="2"/>
  <c r="K433" i="2"/>
  <c r="L432" i="2"/>
  <c r="Q436" i="2"/>
  <c r="P437" i="2"/>
  <c r="M431" i="2"/>
  <c r="N431" i="2"/>
  <c r="K429" i="1"/>
  <c r="L429" i="1" s="1"/>
  <c r="L428" i="1"/>
  <c r="P432" i="1"/>
  <c r="Q431" i="1"/>
  <c r="I430" i="1"/>
  <c r="M432" i="2" l="1"/>
  <c r="N432" i="2"/>
  <c r="K434" i="2"/>
  <c r="L433" i="2"/>
  <c r="P438" i="2"/>
  <c r="Q437" i="2"/>
  <c r="H437" i="2"/>
  <c r="N429" i="1"/>
  <c r="M429" i="1"/>
  <c r="N428" i="1"/>
  <c r="M428" i="1"/>
  <c r="K430" i="1"/>
  <c r="I431" i="1"/>
  <c r="Q432" i="1"/>
  <c r="P433" i="1"/>
  <c r="H433" i="1" s="1"/>
  <c r="H434" i="1" s="1"/>
  <c r="N433" i="2" l="1"/>
  <c r="M433" i="2"/>
  <c r="I437" i="2"/>
  <c r="H438" i="2"/>
  <c r="I438" i="2" s="1"/>
  <c r="K435" i="2"/>
  <c r="L434" i="2"/>
  <c r="Q438" i="2"/>
  <c r="P439" i="2"/>
  <c r="K431" i="1"/>
  <c r="L431" i="1" s="1"/>
  <c r="N431" i="1" s="1"/>
  <c r="L430" i="1"/>
  <c r="P434" i="1"/>
  <c r="Q433" i="1"/>
  <c r="I432" i="1"/>
  <c r="M434" i="2" l="1"/>
  <c r="N434" i="2"/>
  <c r="Q439" i="2"/>
  <c r="P440" i="2"/>
  <c r="H439" i="2"/>
  <c r="L435" i="2"/>
  <c r="K436" i="2"/>
  <c r="M431" i="1"/>
  <c r="M430" i="1"/>
  <c r="N430" i="1"/>
  <c r="K432" i="1"/>
  <c r="I433" i="1"/>
  <c r="P435" i="1"/>
  <c r="H435" i="1" s="1"/>
  <c r="H436" i="1" s="1"/>
  <c r="Q434" i="1"/>
  <c r="Q440" i="2" l="1"/>
  <c r="P441" i="2"/>
  <c r="K437" i="2"/>
  <c r="L436" i="2"/>
  <c r="M435" i="2"/>
  <c r="N435" i="2"/>
  <c r="H440" i="2"/>
  <c r="I440" i="2" s="1"/>
  <c r="I439" i="2"/>
  <c r="K433" i="1"/>
  <c r="L433" i="1" s="1"/>
  <c r="L432" i="1"/>
  <c r="P436" i="1"/>
  <c r="Q435" i="1"/>
  <c r="I434" i="1"/>
  <c r="M436" i="2" l="1"/>
  <c r="N436" i="2"/>
  <c r="P442" i="2"/>
  <c r="Q441" i="2"/>
  <c r="H441" i="2"/>
  <c r="K438" i="2"/>
  <c r="L437" i="2"/>
  <c r="N433" i="1"/>
  <c r="M433" i="1"/>
  <c r="N432" i="1"/>
  <c r="M432" i="1"/>
  <c r="K434" i="1"/>
  <c r="I435" i="1"/>
  <c r="Q436" i="1"/>
  <c r="P437" i="1"/>
  <c r="H437" i="1" s="1"/>
  <c r="H438" i="1" s="1"/>
  <c r="N437" i="2" l="1"/>
  <c r="M437" i="2"/>
  <c r="Q442" i="2"/>
  <c r="P443" i="2"/>
  <c r="K439" i="2"/>
  <c r="L438" i="2"/>
  <c r="I441" i="2"/>
  <c r="H442" i="2"/>
  <c r="I442" i="2" s="1"/>
  <c r="K435" i="1"/>
  <c r="L435" i="1" s="1"/>
  <c r="N435" i="1" s="1"/>
  <c r="L434" i="1"/>
  <c r="P438" i="1"/>
  <c r="Q437" i="1"/>
  <c r="I436" i="1"/>
  <c r="I437" i="1"/>
  <c r="Q443" i="2" l="1"/>
  <c r="P444" i="2"/>
  <c r="H443" i="2"/>
  <c r="M438" i="2"/>
  <c r="N438" i="2"/>
  <c r="L439" i="2"/>
  <c r="K440" i="2"/>
  <c r="M435" i="1"/>
  <c r="M434" i="1"/>
  <c r="N434" i="1"/>
  <c r="K436" i="1"/>
  <c r="K437" i="1" s="1"/>
  <c r="P439" i="1"/>
  <c r="H439" i="1" s="1"/>
  <c r="H440" i="1" s="1"/>
  <c r="Q438" i="1"/>
  <c r="H444" i="2" l="1"/>
  <c r="I444" i="2" s="1"/>
  <c r="I443" i="2"/>
  <c r="K441" i="2"/>
  <c r="L440" i="2"/>
  <c r="Q444" i="2"/>
  <c r="P445" i="2"/>
  <c r="M439" i="2"/>
  <c r="N439" i="2"/>
  <c r="L437" i="1"/>
  <c r="L436" i="1"/>
  <c r="N437" i="1"/>
  <c r="I438" i="1"/>
  <c r="P440" i="1"/>
  <c r="Q439" i="1"/>
  <c r="M440" i="2" l="1"/>
  <c r="N440" i="2"/>
  <c r="K442" i="2"/>
  <c r="L441" i="2"/>
  <c r="P446" i="2"/>
  <c r="Q445" i="2"/>
  <c r="H445" i="2"/>
  <c r="M437" i="1"/>
  <c r="M436" i="1"/>
  <c r="N436" i="1"/>
  <c r="K438" i="1"/>
  <c r="L438" i="1" s="1"/>
  <c r="P441" i="1"/>
  <c r="H441" i="1" s="1"/>
  <c r="H442" i="1" s="1"/>
  <c r="Q440" i="1"/>
  <c r="I439" i="1"/>
  <c r="N441" i="2" l="1"/>
  <c r="M441" i="2"/>
  <c r="I445" i="2"/>
  <c r="H446" i="2"/>
  <c r="I446" i="2" s="1"/>
  <c r="K443" i="2"/>
  <c r="L442" i="2"/>
  <c r="Q446" i="2"/>
  <c r="P447" i="2"/>
  <c r="M438" i="1"/>
  <c r="N438" i="1"/>
  <c r="K439" i="1"/>
  <c r="L439" i="1" s="1"/>
  <c r="I440" i="1"/>
  <c r="P442" i="1"/>
  <c r="Q441" i="1"/>
  <c r="Q447" i="2" l="1"/>
  <c r="P448" i="2"/>
  <c r="H447" i="2"/>
  <c r="M442" i="2"/>
  <c r="N442" i="2"/>
  <c r="L443" i="2"/>
  <c r="K444" i="2"/>
  <c r="N439" i="1"/>
  <c r="M439" i="1"/>
  <c r="K440" i="1"/>
  <c r="L440" i="1" s="1"/>
  <c r="P443" i="1"/>
  <c r="H443" i="1" s="1"/>
  <c r="H444" i="1" s="1"/>
  <c r="Q442" i="1"/>
  <c r="I441" i="1"/>
  <c r="H448" i="2" l="1"/>
  <c r="I448" i="2" s="1"/>
  <c r="I447" i="2"/>
  <c r="Q448" i="2"/>
  <c r="P449" i="2"/>
  <c r="K445" i="2"/>
  <c r="L444" i="2"/>
  <c r="M443" i="2"/>
  <c r="N443" i="2"/>
  <c r="N440" i="1"/>
  <c r="M440" i="1"/>
  <c r="K441" i="1"/>
  <c r="L441" i="1" s="1"/>
  <c r="I442" i="1"/>
  <c r="P444" i="1"/>
  <c r="Q443" i="1"/>
  <c r="K446" i="2" l="1"/>
  <c r="L445" i="2"/>
  <c r="P450" i="2"/>
  <c r="Q449" i="2"/>
  <c r="H449" i="2"/>
  <c r="M444" i="2"/>
  <c r="N444" i="2"/>
  <c r="N441" i="1"/>
  <c r="M441" i="1"/>
  <c r="K442" i="1"/>
  <c r="L442" i="1" s="1"/>
  <c r="P445" i="1"/>
  <c r="H445" i="1" s="1"/>
  <c r="H446" i="1" s="1"/>
  <c r="Q444" i="1"/>
  <c r="I443" i="1"/>
  <c r="Q450" i="2" l="1"/>
  <c r="P451" i="2"/>
  <c r="N445" i="2"/>
  <c r="M445" i="2"/>
  <c r="I449" i="2"/>
  <c r="H450" i="2"/>
  <c r="I450" i="2" s="1"/>
  <c r="K447" i="2"/>
  <c r="L446" i="2"/>
  <c r="N442" i="1"/>
  <c r="M442" i="1"/>
  <c r="K443" i="1"/>
  <c r="L443" i="1" s="1"/>
  <c r="I444" i="1"/>
  <c r="P446" i="1"/>
  <c r="Q445" i="1"/>
  <c r="M446" i="2" l="1"/>
  <c r="N446" i="2"/>
  <c r="L447" i="2"/>
  <c r="K448" i="2"/>
  <c r="Q451" i="2"/>
  <c r="P452" i="2"/>
  <c r="H451" i="2"/>
  <c r="N443" i="1"/>
  <c r="M443" i="1"/>
  <c r="K444" i="1"/>
  <c r="L444" i="1" s="1"/>
  <c r="P447" i="1"/>
  <c r="H447" i="1" s="1"/>
  <c r="H448" i="1" s="1"/>
  <c r="Q446" i="1"/>
  <c r="I445" i="1"/>
  <c r="K449" i="2" l="1"/>
  <c r="L448" i="2"/>
  <c r="H452" i="2"/>
  <c r="I452" i="2" s="1"/>
  <c r="I451" i="2"/>
  <c r="M447" i="2"/>
  <c r="N447" i="2"/>
  <c r="Q452" i="2"/>
  <c r="P453" i="2"/>
  <c r="N444" i="1"/>
  <c r="M444" i="1"/>
  <c r="K445" i="1"/>
  <c r="L445" i="1" s="1"/>
  <c r="I446" i="1"/>
  <c r="P448" i="1"/>
  <c r="Q447" i="1"/>
  <c r="P454" i="2" l="1"/>
  <c r="Q453" i="2"/>
  <c r="H453" i="2"/>
  <c r="M448" i="2"/>
  <c r="N448" i="2"/>
  <c r="K450" i="2"/>
  <c r="L449" i="2"/>
  <c r="N445" i="1"/>
  <c r="M445" i="1"/>
  <c r="K446" i="1"/>
  <c r="L446" i="1" s="1"/>
  <c r="P449" i="1"/>
  <c r="H449" i="1" s="1"/>
  <c r="H450" i="1" s="1"/>
  <c r="Q448" i="1"/>
  <c r="I447" i="1"/>
  <c r="I453" i="2" l="1"/>
  <c r="H454" i="2"/>
  <c r="I454" i="2" s="1"/>
  <c r="N449" i="2"/>
  <c r="M449" i="2"/>
  <c r="K451" i="2"/>
  <c r="L450" i="2"/>
  <c r="Q454" i="2"/>
  <c r="P455" i="2"/>
  <c r="N446" i="1"/>
  <c r="M446" i="1"/>
  <c r="K447" i="1"/>
  <c r="L447" i="1" s="1"/>
  <c r="I448" i="1"/>
  <c r="P450" i="1"/>
  <c r="Q449" i="1"/>
  <c r="Q455" i="2" l="1"/>
  <c r="P456" i="2"/>
  <c r="H455" i="2"/>
  <c r="M450" i="2"/>
  <c r="N450" i="2"/>
  <c r="L451" i="2"/>
  <c r="K452" i="2"/>
  <c r="N447" i="1"/>
  <c r="M447" i="1"/>
  <c r="K448" i="1"/>
  <c r="L448" i="1" s="1"/>
  <c r="P451" i="1"/>
  <c r="H451" i="1" s="1"/>
  <c r="H452" i="1" s="1"/>
  <c r="Q450" i="1"/>
  <c r="I449" i="1"/>
  <c r="K453" i="2" l="1"/>
  <c r="L452" i="2"/>
  <c r="Q456" i="2"/>
  <c r="P457" i="2"/>
  <c r="H456" i="2"/>
  <c r="I456" i="2" s="1"/>
  <c r="I455" i="2"/>
  <c r="M451" i="2"/>
  <c r="N451" i="2"/>
  <c r="N448" i="1"/>
  <c r="M448" i="1"/>
  <c r="K449" i="1"/>
  <c r="L449" i="1" s="1"/>
  <c r="I450" i="1"/>
  <c r="P452" i="1"/>
  <c r="Q451" i="1"/>
  <c r="P458" i="2" l="1"/>
  <c r="Q457" i="2"/>
  <c r="H457" i="2"/>
  <c r="M452" i="2"/>
  <c r="N452" i="2"/>
  <c r="K454" i="2"/>
  <c r="L453" i="2"/>
  <c r="N449" i="1"/>
  <c r="M449" i="1"/>
  <c r="K450" i="1"/>
  <c r="L450" i="1" s="1"/>
  <c r="P453" i="1"/>
  <c r="H453" i="1" s="1"/>
  <c r="H454" i="1" s="1"/>
  <c r="Q452" i="1"/>
  <c r="I451" i="1"/>
  <c r="N453" i="2" l="1"/>
  <c r="M453" i="2"/>
  <c r="I457" i="2"/>
  <c r="H458" i="2"/>
  <c r="I458" i="2" s="1"/>
  <c r="K455" i="2"/>
  <c r="L454" i="2"/>
  <c r="Q458" i="2"/>
  <c r="P459" i="2"/>
  <c r="N450" i="1"/>
  <c r="M450" i="1"/>
  <c r="K451" i="1"/>
  <c r="L451" i="1" s="1"/>
  <c r="I452" i="1"/>
  <c r="P454" i="1"/>
  <c r="Q453" i="1"/>
  <c r="Q459" i="2" l="1"/>
  <c r="P460" i="2"/>
  <c r="H459" i="2"/>
  <c r="M454" i="2"/>
  <c r="N454" i="2"/>
  <c r="L455" i="2"/>
  <c r="K456" i="2"/>
  <c r="N451" i="1"/>
  <c r="M451" i="1"/>
  <c r="K452" i="1"/>
  <c r="L452" i="1" s="1"/>
  <c r="P455" i="1"/>
  <c r="H455" i="1" s="1"/>
  <c r="H456" i="1" s="1"/>
  <c r="Q454" i="1"/>
  <c r="I453" i="1"/>
  <c r="H460" i="2" l="1"/>
  <c r="I460" i="2" s="1"/>
  <c r="I459" i="2"/>
  <c r="Q460" i="2"/>
  <c r="P461" i="2"/>
  <c r="K457" i="2"/>
  <c r="L456" i="2"/>
  <c r="M455" i="2"/>
  <c r="N455" i="2"/>
  <c r="N452" i="1"/>
  <c r="M452" i="1"/>
  <c r="K453" i="1"/>
  <c r="L453" i="1" s="1"/>
  <c r="I454" i="1"/>
  <c r="P456" i="1"/>
  <c r="Q455" i="1"/>
  <c r="K458" i="2" l="1"/>
  <c r="L457" i="2"/>
  <c r="P462" i="2"/>
  <c r="Q461" i="2"/>
  <c r="H461" i="2"/>
  <c r="M456" i="2"/>
  <c r="N456" i="2"/>
  <c r="N453" i="1"/>
  <c r="M453" i="1"/>
  <c r="K454" i="1"/>
  <c r="L454" i="1" s="1"/>
  <c r="P457" i="1"/>
  <c r="H457" i="1" s="1"/>
  <c r="H458" i="1" s="1"/>
  <c r="Q456" i="1"/>
  <c r="I455" i="1"/>
  <c r="Q462" i="2" l="1"/>
  <c r="P463" i="2"/>
  <c r="N457" i="2"/>
  <c r="M457" i="2"/>
  <c r="I461" i="2"/>
  <c r="H462" i="2"/>
  <c r="I462" i="2" s="1"/>
  <c r="K459" i="2"/>
  <c r="L458" i="2"/>
  <c r="N454" i="1"/>
  <c r="M454" i="1"/>
  <c r="K455" i="1"/>
  <c r="L455" i="1" s="1"/>
  <c r="I456" i="1"/>
  <c r="P458" i="1"/>
  <c r="Q457" i="1"/>
  <c r="M458" i="2" l="1"/>
  <c r="N458" i="2"/>
  <c r="L459" i="2"/>
  <c r="K460" i="2"/>
  <c r="Q463" i="2"/>
  <c r="P464" i="2"/>
  <c r="H463" i="2"/>
  <c r="N455" i="1"/>
  <c r="M455" i="1"/>
  <c r="K456" i="1"/>
  <c r="L456" i="1" s="1"/>
  <c r="P459" i="1"/>
  <c r="H459" i="1" s="1"/>
  <c r="H460" i="1" s="1"/>
  <c r="Q458" i="1"/>
  <c r="I457" i="1"/>
  <c r="K461" i="2" l="1"/>
  <c r="L460" i="2"/>
  <c r="H464" i="2"/>
  <c r="I464" i="2" s="1"/>
  <c r="I463" i="2"/>
  <c r="M459" i="2"/>
  <c r="N459" i="2"/>
  <c r="Q464" i="2"/>
  <c r="P465" i="2"/>
  <c r="N456" i="1"/>
  <c r="M456" i="1"/>
  <c r="K457" i="1"/>
  <c r="L457" i="1" s="1"/>
  <c r="I458" i="1"/>
  <c r="P460" i="1"/>
  <c r="Q459" i="1"/>
  <c r="P466" i="2" l="1"/>
  <c r="Q465" i="2"/>
  <c r="H465" i="2"/>
  <c r="M460" i="2"/>
  <c r="N460" i="2"/>
  <c r="K462" i="2"/>
  <c r="L461" i="2"/>
  <c r="N457" i="1"/>
  <c r="M457" i="1"/>
  <c r="K458" i="1"/>
  <c r="L458" i="1" s="1"/>
  <c r="P461" i="1"/>
  <c r="H461" i="1" s="1"/>
  <c r="H462" i="1" s="1"/>
  <c r="Q460" i="1"/>
  <c r="I459" i="1"/>
  <c r="I465" i="2" l="1"/>
  <c r="H466" i="2"/>
  <c r="I466" i="2" s="1"/>
  <c r="K463" i="2"/>
  <c r="L462" i="2"/>
  <c r="N461" i="2"/>
  <c r="M461" i="2"/>
  <c r="Q466" i="2"/>
  <c r="P467" i="2"/>
  <c r="N458" i="1"/>
  <c r="M458" i="1"/>
  <c r="K459" i="1"/>
  <c r="L459" i="1" s="1"/>
  <c r="I460" i="1"/>
  <c r="P462" i="1"/>
  <c r="Q461" i="1"/>
  <c r="M462" i="2" l="1"/>
  <c r="N462" i="2"/>
  <c r="L463" i="2"/>
  <c r="K464" i="2"/>
  <c r="Q467" i="2"/>
  <c r="P468" i="2"/>
  <c r="H467" i="2"/>
  <c r="N459" i="1"/>
  <c r="M459" i="1"/>
  <c r="K460" i="1"/>
  <c r="L460" i="1" s="1"/>
  <c r="P463" i="1"/>
  <c r="H463" i="1" s="1"/>
  <c r="H464" i="1" s="1"/>
  <c r="Q462" i="1"/>
  <c r="I461" i="1"/>
  <c r="K465" i="2" l="1"/>
  <c r="L464" i="2"/>
  <c r="H468" i="2"/>
  <c r="I468" i="2" s="1"/>
  <c r="I467" i="2"/>
  <c r="M463" i="2"/>
  <c r="N463" i="2"/>
  <c r="Q468" i="2"/>
  <c r="P469" i="2"/>
  <c r="N460" i="1"/>
  <c r="M460" i="1"/>
  <c r="K461" i="1"/>
  <c r="L461" i="1" s="1"/>
  <c r="I462" i="1"/>
  <c r="P464" i="1"/>
  <c r="Q463" i="1"/>
  <c r="P470" i="2" l="1"/>
  <c r="Q469" i="2"/>
  <c r="H469" i="2"/>
  <c r="M464" i="2"/>
  <c r="N464" i="2"/>
  <c r="K466" i="2"/>
  <c r="L465" i="2"/>
  <c r="N461" i="1"/>
  <c r="M461" i="1"/>
  <c r="K462" i="1"/>
  <c r="L462" i="1" s="1"/>
  <c r="P465" i="1"/>
  <c r="H465" i="1" s="1"/>
  <c r="H466" i="1" s="1"/>
  <c r="Q464" i="1"/>
  <c r="I463" i="1"/>
  <c r="N465" i="2" l="1"/>
  <c r="M465" i="2"/>
  <c r="I469" i="2"/>
  <c r="H470" i="2"/>
  <c r="I470" i="2" s="1"/>
  <c r="K467" i="2"/>
  <c r="L466" i="2"/>
  <c r="Q470" i="2"/>
  <c r="P471" i="2"/>
  <c r="N462" i="1"/>
  <c r="M462" i="1"/>
  <c r="K463" i="1"/>
  <c r="L463" i="1" s="1"/>
  <c r="I464" i="1"/>
  <c r="P466" i="1"/>
  <c r="Q465" i="1"/>
  <c r="M466" i="2" l="1"/>
  <c r="N466" i="2"/>
  <c r="Q471" i="2"/>
  <c r="P472" i="2"/>
  <c r="H471" i="2"/>
  <c r="L467" i="2"/>
  <c r="K468" i="2"/>
  <c r="N463" i="1"/>
  <c r="M463" i="1"/>
  <c r="K464" i="1"/>
  <c r="L464" i="1" s="1"/>
  <c r="P467" i="1"/>
  <c r="H467" i="1" s="1"/>
  <c r="H468" i="1" s="1"/>
  <c r="Q466" i="1"/>
  <c r="I465" i="1"/>
  <c r="Q472" i="2" l="1"/>
  <c r="P473" i="2"/>
  <c r="K469" i="2"/>
  <c r="L468" i="2"/>
  <c r="M467" i="2"/>
  <c r="N467" i="2"/>
  <c r="H472" i="2"/>
  <c r="I472" i="2" s="1"/>
  <c r="I471" i="2"/>
  <c r="N464" i="1"/>
  <c r="M464" i="1"/>
  <c r="K465" i="1"/>
  <c r="L465" i="1" s="1"/>
  <c r="I466" i="1"/>
  <c r="P468" i="1"/>
  <c r="Q467" i="1"/>
  <c r="M468" i="2" l="1"/>
  <c r="N468" i="2"/>
  <c r="K470" i="2"/>
  <c r="L469" i="2"/>
  <c r="P474" i="2"/>
  <c r="Q473" i="2"/>
  <c r="H473" i="2"/>
  <c r="N465" i="1"/>
  <c r="M465" i="1"/>
  <c r="K466" i="1"/>
  <c r="L466" i="1" s="1"/>
  <c r="P469" i="1"/>
  <c r="H469" i="1" s="1"/>
  <c r="H470" i="1" s="1"/>
  <c r="Q468" i="1"/>
  <c r="I467" i="1"/>
  <c r="N469" i="2" l="1"/>
  <c r="M469" i="2"/>
  <c r="K471" i="2"/>
  <c r="L470" i="2"/>
  <c r="I473" i="2"/>
  <c r="H474" i="2"/>
  <c r="I474" i="2" s="1"/>
  <c r="Q474" i="2"/>
  <c r="P475" i="2"/>
  <c r="N466" i="1"/>
  <c r="M466" i="1"/>
  <c r="K467" i="1"/>
  <c r="L467" i="1" s="1"/>
  <c r="I468" i="1"/>
  <c r="P470" i="1"/>
  <c r="Q469" i="1"/>
  <c r="Q475" i="2" l="1"/>
  <c r="P476" i="2"/>
  <c r="H475" i="2"/>
  <c r="M470" i="2"/>
  <c r="N470" i="2"/>
  <c r="L471" i="2"/>
  <c r="K472" i="2"/>
  <c r="N467" i="1"/>
  <c r="M467" i="1"/>
  <c r="K468" i="1"/>
  <c r="L468" i="1" s="1"/>
  <c r="P471" i="1"/>
  <c r="H471" i="1" s="1"/>
  <c r="H472" i="1" s="1"/>
  <c r="Q470" i="1"/>
  <c r="I469" i="1"/>
  <c r="H476" i="2" l="1"/>
  <c r="I476" i="2" s="1"/>
  <c r="I475" i="2"/>
  <c r="Q476" i="2"/>
  <c r="P477" i="2"/>
  <c r="K473" i="2"/>
  <c r="L472" i="2"/>
  <c r="M471" i="2"/>
  <c r="N471" i="2"/>
  <c r="N468" i="1"/>
  <c r="M468" i="1"/>
  <c r="K469" i="1"/>
  <c r="L469" i="1" s="1"/>
  <c r="I470" i="1"/>
  <c r="P472" i="1"/>
  <c r="Q471" i="1"/>
  <c r="P478" i="2" l="1"/>
  <c r="Q477" i="2"/>
  <c r="H477" i="2"/>
  <c r="K474" i="2"/>
  <c r="L473" i="2"/>
  <c r="M472" i="2"/>
  <c r="N472" i="2"/>
  <c r="N469" i="1"/>
  <c r="M469" i="1"/>
  <c r="K470" i="1"/>
  <c r="L470" i="1" s="1"/>
  <c r="P473" i="1"/>
  <c r="H473" i="1" s="1"/>
  <c r="H474" i="1" s="1"/>
  <c r="Q472" i="1"/>
  <c r="I471" i="1"/>
  <c r="K475" i="2" l="1"/>
  <c r="L474" i="2"/>
  <c r="I477" i="2"/>
  <c r="H478" i="2"/>
  <c r="I478" i="2" s="1"/>
  <c r="N473" i="2"/>
  <c r="M473" i="2"/>
  <c r="Q478" i="2"/>
  <c r="P479" i="2"/>
  <c r="N470" i="1"/>
  <c r="M470" i="1"/>
  <c r="K471" i="1"/>
  <c r="L471" i="1" s="1"/>
  <c r="P474" i="1"/>
  <c r="Q473" i="1"/>
  <c r="I472" i="1"/>
  <c r="Q479" i="2" l="1"/>
  <c r="P480" i="2"/>
  <c r="H479" i="2"/>
  <c r="M474" i="2"/>
  <c r="N474" i="2"/>
  <c r="L475" i="2"/>
  <c r="K476" i="2"/>
  <c r="M471" i="1"/>
  <c r="N471" i="1"/>
  <c r="K472" i="1"/>
  <c r="L472" i="1" s="1"/>
  <c r="P475" i="1"/>
  <c r="H475" i="1" s="1"/>
  <c r="H476" i="1" s="1"/>
  <c r="Q474" i="1"/>
  <c r="I473" i="1"/>
  <c r="H480" i="2" l="1"/>
  <c r="I480" i="2" s="1"/>
  <c r="I479" i="2"/>
  <c r="M475" i="2"/>
  <c r="N475" i="2"/>
  <c r="Q480" i="2"/>
  <c r="P481" i="2"/>
  <c r="K477" i="2"/>
  <c r="L476" i="2"/>
  <c r="N472" i="1"/>
  <c r="M472" i="1"/>
  <c r="K473" i="1"/>
  <c r="L473" i="1" s="1"/>
  <c r="I474" i="1"/>
  <c r="P476" i="1"/>
  <c r="Q475" i="1"/>
  <c r="M476" i="2" l="1"/>
  <c r="N476" i="2"/>
  <c r="K478" i="2"/>
  <c r="L477" i="2"/>
  <c r="P482" i="2"/>
  <c r="Q481" i="2"/>
  <c r="H481" i="2"/>
  <c r="N473" i="1"/>
  <c r="M473" i="1"/>
  <c r="K474" i="1"/>
  <c r="L474" i="1" s="1"/>
  <c r="P477" i="1"/>
  <c r="H477" i="1" s="1"/>
  <c r="H478" i="1" s="1"/>
  <c r="Q476" i="1"/>
  <c r="I475" i="1"/>
  <c r="N477" i="2" l="1"/>
  <c r="M477" i="2"/>
  <c r="K479" i="2"/>
  <c r="L478" i="2"/>
  <c r="I481" i="2"/>
  <c r="H482" i="2"/>
  <c r="I482" i="2" s="1"/>
  <c r="Q482" i="2"/>
  <c r="P483" i="2"/>
  <c r="M474" i="1"/>
  <c r="N474" i="1"/>
  <c r="K475" i="1"/>
  <c r="L475" i="1" s="1"/>
  <c r="I476" i="1"/>
  <c r="P478" i="1"/>
  <c r="Q477" i="1"/>
  <c r="M478" i="2" l="1"/>
  <c r="N478" i="2"/>
  <c r="L479" i="2"/>
  <c r="K480" i="2"/>
  <c r="Q483" i="2"/>
  <c r="P484" i="2"/>
  <c r="H483" i="2"/>
  <c r="N475" i="1"/>
  <c r="M475" i="1"/>
  <c r="K476" i="1"/>
  <c r="L476" i="1" s="1"/>
  <c r="P479" i="1"/>
  <c r="H479" i="1" s="1"/>
  <c r="H480" i="1" s="1"/>
  <c r="Q478" i="1"/>
  <c r="I477" i="1"/>
  <c r="K481" i="2" l="1"/>
  <c r="L480" i="2"/>
  <c r="M479" i="2"/>
  <c r="N479" i="2"/>
  <c r="H484" i="2"/>
  <c r="I484" i="2" s="1"/>
  <c r="I483" i="2"/>
  <c r="Q484" i="2"/>
  <c r="P485" i="2"/>
  <c r="N476" i="1"/>
  <c r="M476" i="1"/>
  <c r="K477" i="1"/>
  <c r="L477" i="1" s="1"/>
  <c r="I478" i="1"/>
  <c r="P480" i="1"/>
  <c r="Q479" i="1"/>
  <c r="P486" i="2" l="1"/>
  <c r="Q485" i="2"/>
  <c r="H485" i="2"/>
  <c r="M480" i="2"/>
  <c r="N480" i="2"/>
  <c r="K482" i="2"/>
  <c r="L481" i="2"/>
  <c r="N477" i="1"/>
  <c r="M477" i="1"/>
  <c r="K478" i="1"/>
  <c r="L478" i="1" s="1"/>
  <c r="P481" i="1"/>
  <c r="H481" i="1" s="1"/>
  <c r="H482" i="1" s="1"/>
  <c r="Q480" i="1"/>
  <c r="I479" i="1"/>
  <c r="N481" i="2" l="1"/>
  <c r="M481" i="2"/>
  <c r="K483" i="2"/>
  <c r="L482" i="2"/>
  <c r="I485" i="2"/>
  <c r="H486" i="2"/>
  <c r="I486" i="2" s="1"/>
  <c r="Q486" i="2"/>
  <c r="P487" i="2"/>
  <c r="N478" i="1"/>
  <c r="M478" i="1"/>
  <c r="K479" i="1"/>
  <c r="L479" i="1" s="1"/>
  <c r="I480" i="1"/>
  <c r="P482" i="1"/>
  <c r="Q481" i="1"/>
  <c r="Q487" i="2" l="1"/>
  <c r="P488" i="2"/>
  <c r="H487" i="2"/>
  <c r="M482" i="2"/>
  <c r="N482" i="2"/>
  <c r="L483" i="2"/>
  <c r="K484" i="2"/>
  <c r="N479" i="1"/>
  <c r="M479" i="1"/>
  <c r="K480" i="1"/>
  <c r="L480" i="1" s="1"/>
  <c r="P483" i="1"/>
  <c r="H483" i="1" s="1"/>
  <c r="H484" i="1" s="1"/>
  <c r="Q482" i="1"/>
  <c r="I481" i="1"/>
  <c r="H488" i="2" l="1"/>
  <c r="I488" i="2" s="1"/>
  <c r="I487" i="2"/>
  <c r="M483" i="2"/>
  <c r="N483" i="2"/>
  <c r="Q488" i="2"/>
  <c r="P489" i="2"/>
  <c r="K485" i="2"/>
  <c r="L484" i="2"/>
  <c r="N480" i="1"/>
  <c r="M480" i="1"/>
  <c r="K481" i="1"/>
  <c r="L481" i="1" s="1"/>
  <c r="I482" i="1"/>
  <c r="P484" i="1"/>
  <c r="Q483" i="1"/>
  <c r="M484" i="2" l="1"/>
  <c r="N484" i="2"/>
  <c r="K486" i="2"/>
  <c r="L485" i="2"/>
  <c r="P490" i="2"/>
  <c r="Q489" i="2"/>
  <c r="H489" i="2"/>
  <c r="N481" i="1"/>
  <c r="M481" i="1"/>
  <c r="K482" i="1"/>
  <c r="L482" i="1" s="1"/>
  <c r="P485" i="1"/>
  <c r="H485" i="1" s="1"/>
  <c r="H486" i="1" s="1"/>
  <c r="Q484" i="1"/>
  <c r="I483" i="1"/>
  <c r="N485" i="2" l="1"/>
  <c r="M485" i="2"/>
  <c r="I489" i="2"/>
  <c r="H490" i="2"/>
  <c r="I490" i="2" s="1"/>
  <c r="K487" i="2"/>
  <c r="L486" i="2"/>
  <c r="Q490" i="2"/>
  <c r="P491" i="2"/>
  <c r="N482" i="1"/>
  <c r="M482" i="1"/>
  <c r="K483" i="1"/>
  <c r="L483" i="1" s="1"/>
  <c r="I485" i="1"/>
  <c r="I484" i="1"/>
  <c r="P486" i="1"/>
  <c r="Q485" i="1"/>
  <c r="M486" i="2" l="1"/>
  <c r="N486" i="2"/>
  <c r="Q491" i="2"/>
  <c r="P492" i="2"/>
  <c r="H491" i="2"/>
  <c r="L487" i="2"/>
  <c r="K488" i="2"/>
  <c r="M483" i="1"/>
  <c r="N483" i="1"/>
  <c r="K484" i="1"/>
  <c r="K485" i="1" s="1"/>
  <c r="L485" i="1" s="1"/>
  <c r="P487" i="1"/>
  <c r="H487" i="1" s="1"/>
  <c r="H488" i="1" s="1"/>
  <c r="Q486" i="1"/>
  <c r="Q492" i="2" l="1"/>
  <c r="P493" i="2"/>
  <c r="K489" i="2"/>
  <c r="L488" i="2"/>
  <c r="M487" i="2"/>
  <c r="N487" i="2"/>
  <c r="H492" i="2"/>
  <c r="I492" i="2" s="1"/>
  <c r="I491" i="2"/>
  <c r="L484" i="1"/>
  <c r="N485" i="1"/>
  <c r="I486" i="1"/>
  <c r="P488" i="1"/>
  <c r="Q487" i="1"/>
  <c r="M488" i="2" l="1"/>
  <c r="N488" i="2"/>
  <c r="P494" i="2"/>
  <c r="Q493" i="2"/>
  <c r="H493" i="2"/>
  <c r="K490" i="2"/>
  <c r="L489" i="2"/>
  <c r="M484" i="1"/>
  <c r="N484" i="1"/>
  <c r="M485" i="1"/>
  <c r="K486" i="1"/>
  <c r="P489" i="1"/>
  <c r="H489" i="1" s="1"/>
  <c r="H490" i="1" s="1"/>
  <c r="Q488" i="1"/>
  <c r="I487" i="1"/>
  <c r="N489" i="2" l="1"/>
  <c r="M489" i="2"/>
  <c r="Q494" i="2"/>
  <c r="P495" i="2"/>
  <c r="K491" i="2"/>
  <c r="L490" i="2"/>
  <c r="I493" i="2"/>
  <c r="H494" i="2"/>
  <c r="I494" i="2" s="1"/>
  <c r="K487" i="1"/>
  <c r="L487" i="1" s="1"/>
  <c r="N487" i="1" s="1"/>
  <c r="L486" i="1"/>
  <c r="I488" i="1"/>
  <c r="P490" i="1"/>
  <c r="Q489" i="1"/>
  <c r="Q495" i="2" l="1"/>
  <c r="P496" i="2"/>
  <c r="H495" i="2"/>
  <c r="M490" i="2"/>
  <c r="N490" i="2"/>
  <c r="L491" i="2"/>
  <c r="K492" i="2"/>
  <c r="M487" i="1"/>
  <c r="M486" i="1"/>
  <c r="N486" i="1"/>
  <c r="K488" i="1"/>
  <c r="P491" i="1"/>
  <c r="H491" i="1" s="1"/>
  <c r="H492" i="1" s="1"/>
  <c r="Q490" i="1"/>
  <c r="I489" i="1"/>
  <c r="H496" i="2" l="1"/>
  <c r="I496" i="2" s="1"/>
  <c r="I495" i="2"/>
  <c r="K493" i="2"/>
  <c r="L492" i="2"/>
  <c r="P497" i="2"/>
  <c r="Q496" i="2"/>
  <c r="M491" i="2"/>
  <c r="N491" i="2"/>
  <c r="K489" i="1"/>
  <c r="L489" i="1" s="1"/>
  <c r="N489" i="1" s="1"/>
  <c r="L488" i="1"/>
  <c r="I490" i="1"/>
  <c r="P492" i="1"/>
  <c r="Q491" i="1"/>
  <c r="M492" i="2" l="1"/>
  <c r="N492" i="2"/>
  <c r="K494" i="2"/>
  <c r="L493" i="2"/>
  <c r="Q497" i="2"/>
  <c r="P498" i="2"/>
  <c r="H497" i="2"/>
  <c r="M489" i="1"/>
  <c r="M488" i="1"/>
  <c r="N488" i="1"/>
  <c r="K490" i="1"/>
  <c r="P493" i="1"/>
  <c r="H493" i="1" s="1"/>
  <c r="H494" i="1" s="1"/>
  <c r="Q492" i="1"/>
  <c r="I491" i="1"/>
  <c r="N493" i="2" l="1"/>
  <c r="M493" i="2"/>
  <c r="I497" i="2"/>
  <c r="H498" i="2"/>
  <c r="I498" i="2" s="1"/>
  <c r="K495" i="2"/>
  <c r="L494" i="2"/>
  <c r="P499" i="2"/>
  <c r="Q498" i="2"/>
  <c r="K491" i="1"/>
  <c r="L491" i="1" s="1"/>
  <c r="N491" i="1" s="1"/>
  <c r="L490" i="1"/>
  <c r="I492" i="1"/>
  <c r="P494" i="1"/>
  <c r="Q493" i="1"/>
  <c r="M494" i="2" l="1"/>
  <c r="N494" i="2"/>
  <c r="Q499" i="2"/>
  <c r="P500" i="2"/>
  <c r="H499" i="2"/>
  <c r="K496" i="2"/>
  <c r="L495" i="2"/>
  <c r="M491" i="1"/>
  <c r="M490" i="1"/>
  <c r="N490" i="1"/>
  <c r="K492" i="1"/>
  <c r="P495" i="1"/>
  <c r="H495" i="1" s="1"/>
  <c r="H496" i="1" s="1"/>
  <c r="Q494" i="1"/>
  <c r="I493" i="1"/>
  <c r="P501" i="2" l="1"/>
  <c r="Q500" i="2"/>
  <c r="M495" i="2"/>
  <c r="N495" i="2"/>
  <c r="K497" i="2"/>
  <c r="L496" i="2"/>
  <c r="I499" i="2"/>
  <c r="H500" i="2"/>
  <c r="I500" i="2" s="1"/>
  <c r="K493" i="1"/>
  <c r="L493" i="1" s="1"/>
  <c r="N493" i="1" s="1"/>
  <c r="L492" i="1"/>
  <c r="I494" i="1"/>
  <c r="P496" i="1"/>
  <c r="Q495" i="1"/>
  <c r="N496" i="2" l="1"/>
  <c r="M496" i="2"/>
  <c r="L497" i="2"/>
  <c r="K498" i="2"/>
  <c r="Q501" i="2"/>
  <c r="P502" i="2"/>
  <c r="H501" i="2"/>
  <c r="M493" i="1"/>
  <c r="M492" i="1"/>
  <c r="N492" i="1"/>
  <c r="K494" i="1"/>
  <c r="P497" i="1"/>
  <c r="H497" i="1" s="1"/>
  <c r="H498" i="1" s="1"/>
  <c r="Q496" i="1"/>
  <c r="I495" i="1"/>
  <c r="K499" i="2" l="1"/>
  <c r="L498" i="2"/>
  <c r="N497" i="2"/>
  <c r="M497" i="2"/>
  <c r="I501" i="2"/>
  <c r="H502" i="2"/>
  <c r="I502" i="2" s="1"/>
  <c r="P503" i="2"/>
  <c r="Q502" i="2"/>
  <c r="K495" i="1"/>
  <c r="L495" i="1" s="1"/>
  <c r="L494" i="1"/>
  <c r="P498" i="1"/>
  <c r="Q497" i="1"/>
  <c r="I496" i="1"/>
  <c r="N498" i="2" l="1"/>
  <c r="M498" i="2"/>
  <c r="Q503" i="2"/>
  <c r="P504" i="2"/>
  <c r="H503" i="2"/>
  <c r="L499" i="2"/>
  <c r="K500" i="2"/>
  <c r="M495" i="1"/>
  <c r="N495" i="1"/>
  <c r="M494" i="1"/>
  <c r="N494" i="1"/>
  <c r="K496" i="1"/>
  <c r="P499" i="1"/>
  <c r="H499" i="1" s="1"/>
  <c r="H500" i="1" s="1"/>
  <c r="Q498" i="1"/>
  <c r="I497" i="1"/>
  <c r="K501" i="2" l="1"/>
  <c r="L500" i="2"/>
  <c r="P505" i="2"/>
  <c r="Q504" i="2"/>
  <c r="N499" i="2"/>
  <c r="M499" i="2"/>
  <c r="I503" i="2"/>
  <c r="H504" i="2"/>
  <c r="I504" i="2" s="1"/>
  <c r="K497" i="1"/>
  <c r="L497" i="1" s="1"/>
  <c r="N497" i="1" s="1"/>
  <c r="L496" i="1"/>
  <c r="P500" i="1"/>
  <c r="Q499" i="1"/>
  <c r="I498" i="1"/>
  <c r="Q505" i="2" l="1"/>
  <c r="P506" i="2"/>
  <c r="H505" i="2"/>
  <c r="N500" i="2"/>
  <c r="M500" i="2"/>
  <c r="L501" i="2"/>
  <c r="K502" i="2"/>
  <c r="M497" i="1"/>
  <c r="M496" i="1"/>
  <c r="N496" i="1"/>
  <c r="K498" i="1"/>
  <c r="P501" i="1"/>
  <c r="H501" i="1" s="1"/>
  <c r="H502" i="1" s="1"/>
  <c r="Q500" i="1"/>
  <c r="I499" i="1"/>
  <c r="I505" i="2" l="1"/>
  <c r="H506" i="2"/>
  <c r="I506" i="2" s="1"/>
  <c r="K503" i="2"/>
  <c r="L502" i="2"/>
  <c r="P507" i="2"/>
  <c r="Q506" i="2"/>
  <c r="N501" i="2"/>
  <c r="M501" i="2"/>
  <c r="K499" i="1"/>
  <c r="L499" i="1" s="1"/>
  <c r="L498" i="1"/>
  <c r="P502" i="1"/>
  <c r="Q501" i="1"/>
  <c r="I500" i="1"/>
  <c r="N502" i="2" l="1"/>
  <c r="M502" i="2"/>
  <c r="L503" i="2"/>
  <c r="K504" i="2"/>
  <c r="Q507" i="2"/>
  <c r="P508" i="2"/>
  <c r="H507" i="2"/>
  <c r="M499" i="1"/>
  <c r="N499" i="1"/>
  <c r="M498" i="1"/>
  <c r="N498" i="1"/>
  <c r="K500" i="1"/>
  <c r="P503" i="1"/>
  <c r="H503" i="1" s="1"/>
  <c r="H504" i="1" s="1"/>
  <c r="Q502" i="1"/>
  <c r="I501" i="1"/>
  <c r="K505" i="2" l="1"/>
  <c r="L504" i="2"/>
  <c r="I507" i="2"/>
  <c r="H508" i="2"/>
  <c r="I508" i="2" s="1"/>
  <c r="P509" i="2"/>
  <c r="Q508" i="2"/>
  <c r="N503" i="2"/>
  <c r="M503" i="2"/>
  <c r="K501" i="1"/>
  <c r="L501" i="1" s="1"/>
  <c r="N501" i="1" s="1"/>
  <c r="L500" i="1"/>
  <c r="P504" i="1"/>
  <c r="Q503" i="1"/>
  <c r="I502" i="1"/>
  <c r="N504" i="2" l="1"/>
  <c r="M504" i="2"/>
  <c r="Q509" i="2"/>
  <c r="P510" i="2"/>
  <c r="H509" i="2"/>
  <c r="L505" i="2"/>
  <c r="K506" i="2"/>
  <c r="M501" i="1"/>
  <c r="M500" i="1"/>
  <c r="N500" i="1"/>
  <c r="K502" i="1"/>
  <c r="P505" i="1"/>
  <c r="H505" i="1" s="1"/>
  <c r="H506" i="1" s="1"/>
  <c r="Q504" i="1"/>
  <c r="I503" i="1"/>
  <c r="P511" i="2" l="1"/>
  <c r="Q510" i="2"/>
  <c r="K507" i="2"/>
  <c r="L506" i="2"/>
  <c r="N505" i="2"/>
  <c r="M505" i="2"/>
  <c r="I509" i="2"/>
  <c r="H510" i="2"/>
  <c r="I510" i="2" s="1"/>
  <c r="K503" i="1"/>
  <c r="L503" i="1" s="1"/>
  <c r="L502" i="1"/>
  <c r="P506" i="1"/>
  <c r="Q505" i="1"/>
  <c r="I504" i="1"/>
  <c r="N506" i="2" l="1"/>
  <c r="M506" i="2"/>
  <c r="L507" i="2"/>
  <c r="K508" i="2"/>
  <c r="Q511" i="2"/>
  <c r="P512" i="2"/>
  <c r="H511" i="2"/>
  <c r="M503" i="1"/>
  <c r="N503" i="1"/>
  <c r="M502" i="1"/>
  <c r="N502" i="1"/>
  <c r="K504" i="1"/>
  <c r="P507" i="1"/>
  <c r="H507" i="1" s="1"/>
  <c r="H508" i="1" s="1"/>
  <c r="Q506" i="1"/>
  <c r="I505" i="1"/>
  <c r="K509" i="2" l="1"/>
  <c r="L508" i="2"/>
  <c r="N507" i="2"/>
  <c r="M507" i="2"/>
  <c r="P513" i="2"/>
  <c r="Q512" i="2"/>
  <c r="I511" i="2"/>
  <c r="H512" i="2"/>
  <c r="I512" i="2" s="1"/>
  <c r="K505" i="1"/>
  <c r="L505" i="1" s="1"/>
  <c r="N505" i="1" s="1"/>
  <c r="L504" i="1"/>
  <c r="P508" i="1"/>
  <c r="Q507" i="1"/>
  <c r="I506" i="1"/>
  <c r="N508" i="2" l="1"/>
  <c r="M508" i="2"/>
  <c r="Q513" i="2"/>
  <c r="P514" i="2"/>
  <c r="H513" i="2"/>
  <c r="L509" i="2"/>
  <c r="K510" i="2"/>
  <c r="M505" i="1"/>
  <c r="M504" i="1"/>
  <c r="N504" i="1"/>
  <c r="K506" i="1"/>
  <c r="P509" i="1"/>
  <c r="H509" i="1" s="1"/>
  <c r="H510" i="1" s="1"/>
  <c r="Q508" i="1"/>
  <c r="I507" i="1"/>
  <c r="P515" i="2" l="1"/>
  <c r="Q514" i="2"/>
  <c r="K511" i="2"/>
  <c r="L510" i="2"/>
  <c r="N509" i="2"/>
  <c r="M509" i="2"/>
  <c r="I513" i="2"/>
  <c r="H514" i="2"/>
  <c r="I514" i="2" s="1"/>
  <c r="K507" i="1"/>
  <c r="L507" i="1" s="1"/>
  <c r="L506" i="1"/>
  <c r="P510" i="1"/>
  <c r="Q509" i="1"/>
  <c r="I508" i="1"/>
  <c r="N510" i="2" l="1"/>
  <c r="M510" i="2"/>
  <c r="L511" i="2"/>
  <c r="K512" i="2"/>
  <c r="Q515" i="2"/>
  <c r="P516" i="2"/>
  <c r="H515" i="2"/>
  <c r="M507" i="1"/>
  <c r="N507" i="1"/>
  <c r="M506" i="1"/>
  <c r="N506" i="1"/>
  <c r="K508" i="1"/>
  <c r="P511" i="1"/>
  <c r="H511" i="1" s="1"/>
  <c r="H512" i="1" s="1"/>
  <c r="Q510" i="1"/>
  <c r="I509" i="1"/>
  <c r="K513" i="2" l="1"/>
  <c r="L512" i="2"/>
  <c r="I515" i="2"/>
  <c r="H516" i="2"/>
  <c r="I516" i="2" s="1"/>
  <c r="P517" i="2"/>
  <c r="Q516" i="2"/>
  <c r="N511" i="2"/>
  <c r="M511" i="2"/>
  <c r="K509" i="1"/>
  <c r="L509" i="1" s="1"/>
  <c r="N509" i="1" s="1"/>
  <c r="L508" i="1"/>
  <c r="P512" i="1"/>
  <c r="Q511" i="1"/>
  <c r="I510" i="1"/>
  <c r="N512" i="2" l="1"/>
  <c r="M512" i="2"/>
  <c r="Q517" i="2"/>
  <c r="P518" i="2"/>
  <c r="H517" i="2"/>
  <c r="L513" i="2"/>
  <c r="K514" i="2"/>
  <c r="M509" i="1"/>
  <c r="M508" i="1"/>
  <c r="N508" i="1"/>
  <c r="K510" i="1"/>
  <c r="P513" i="1"/>
  <c r="H513" i="1" s="1"/>
  <c r="H514" i="1" s="1"/>
  <c r="Q512" i="1"/>
  <c r="I511" i="1"/>
  <c r="P519" i="2" l="1"/>
  <c r="Q518" i="2"/>
  <c r="K515" i="2"/>
  <c r="L514" i="2"/>
  <c r="N513" i="2"/>
  <c r="M513" i="2"/>
  <c r="I517" i="2"/>
  <c r="H518" i="2"/>
  <c r="I518" i="2" s="1"/>
  <c r="K511" i="1"/>
  <c r="L511" i="1" s="1"/>
  <c r="L510" i="1"/>
  <c r="P514" i="1"/>
  <c r="Q513" i="1"/>
  <c r="I512" i="1"/>
  <c r="N514" i="2" l="1"/>
  <c r="M514" i="2"/>
  <c r="L515" i="2"/>
  <c r="K516" i="2"/>
  <c r="Q519" i="2"/>
  <c r="P520" i="2"/>
  <c r="H519" i="2"/>
  <c r="M511" i="1"/>
  <c r="N511" i="1"/>
  <c r="M510" i="1"/>
  <c r="N510" i="1"/>
  <c r="K512" i="1"/>
  <c r="P515" i="1"/>
  <c r="H515" i="1" s="1"/>
  <c r="H516" i="1" s="1"/>
  <c r="Q514" i="1"/>
  <c r="I513" i="1"/>
  <c r="K517" i="2" l="1"/>
  <c r="L516" i="2"/>
  <c r="N515" i="2"/>
  <c r="M515" i="2"/>
  <c r="I519" i="2"/>
  <c r="H520" i="2"/>
  <c r="I520" i="2" s="1"/>
  <c r="P521" i="2"/>
  <c r="Q520" i="2"/>
  <c r="K513" i="1"/>
  <c r="L513" i="1" s="1"/>
  <c r="N513" i="1" s="1"/>
  <c r="L512" i="1"/>
  <c r="P516" i="1"/>
  <c r="Q515" i="1"/>
  <c r="I514" i="1"/>
  <c r="N516" i="2" l="1"/>
  <c r="M516" i="2"/>
  <c r="Q521" i="2"/>
  <c r="P522" i="2"/>
  <c r="H521" i="2"/>
  <c r="L517" i="2"/>
  <c r="K518" i="2"/>
  <c r="M513" i="1"/>
  <c r="M512" i="1"/>
  <c r="N512" i="1"/>
  <c r="K514" i="1"/>
  <c r="P517" i="1"/>
  <c r="H517" i="1" s="1"/>
  <c r="H518" i="1" s="1"/>
  <c r="Q516" i="1"/>
  <c r="I515" i="1"/>
  <c r="K519" i="2" l="1"/>
  <c r="L518" i="2"/>
  <c r="P523" i="2"/>
  <c r="Q522" i="2"/>
  <c r="N517" i="2"/>
  <c r="M517" i="2"/>
  <c r="I521" i="2"/>
  <c r="H522" i="2"/>
  <c r="I522" i="2" s="1"/>
  <c r="K515" i="1"/>
  <c r="L515" i="1" s="1"/>
  <c r="L514" i="1"/>
  <c r="P518" i="1"/>
  <c r="Q517" i="1"/>
  <c r="I516" i="1"/>
  <c r="Q523" i="2" l="1"/>
  <c r="P524" i="2"/>
  <c r="H523" i="2"/>
  <c r="N518" i="2"/>
  <c r="M518" i="2"/>
  <c r="L519" i="2"/>
  <c r="K520" i="2"/>
  <c r="M515" i="1"/>
  <c r="N515" i="1"/>
  <c r="M514" i="1"/>
  <c r="N514" i="1"/>
  <c r="K516" i="1"/>
  <c r="P519" i="1"/>
  <c r="H519" i="1" s="1"/>
  <c r="H520" i="1" s="1"/>
  <c r="Q518" i="1"/>
  <c r="I517" i="1"/>
  <c r="I523" i="2" l="1"/>
  <c r="H524" i="2"/>
  <c r="I524" i="2" s="1"/>
  <c r="K521" i="2"/>
  <c r="L520" i="2"/>
  <c r="P525" i="2"/>
  <c r="Q524" i="2"/>
  <c r="N519" i="2"/>
  <c r="M519" i="2"/>
  <c r="K517" i="1"/>
  <c r="L517" i="1" s="1"/>
  <c r="N517" i="1" s="1"/>
  <c r="L516" i="1"/>
  <c r="P520" i="1"/>
  <c r="Q519" i="1"/>
  <c r="I518" i="1"/>
  <c r="N520" i="2" l="1"/>
  <c r="M520" i="2"/>
  <c r="L521" i="2"/>
  <c r="K522" i="2"/>
  <c r="Q525" i="2"/>
  <c r="P526" i="2"/>
  <c r="H525" i="2"/>
  <c r="M517" i="1"/>
  <c r="M516" i="1"/>
  <c r="N516" i="1"/>
  <c r="K518" i="1"/>
  <c r="P521" i="1"/>
  <c r="H521" i="1" s="1"/>
  <c r="H522" i="1" s="1"/>
  <c r="Q520" i="1"/>
  <c r="I519" i="1"/>
  <c r="K523" i="2" l="1"/>
  <c r="L522" i="2"/>
  <c r="I525" i="2"/>
  <c r="H526" i="2"/>
  <c r="I526" i="2" s="1"/>
  <c r="N521" i="2"/>
  <c r="M521" i="2"/>
  <c r="P527" i="2"/>
  <c r="Q526" i="2"/>
  <c r="K519" i="1"/>
  <c r="L519" i="1" s="1"/>
  <c r="L518" i="1"/>
  <c r="P522" i="1"/>
  <c r="Q521" i="1"/>
  <c r="I520" i="1"/>
  <c r="N522" i="2" l="1"/>
  <c r="M522" i="2"/>
  <c r="Q527" i="2"/>
  <c r="P528" i="2"/>
  <c r="H527" i="2"/>
  <c r="L523" i="2"/>
  <c r="K524" i="2"/>
  <c r="M519" i="1"/>
  <c r="N519" i="1"/>
  <c r="M518" i="1"/>
  <c r="N518" i="1"/>
  <c r="K520" i="1"/>
  <c r="P523" i="1"/>
  <c r="H523" i="1" s="1"/>
  <c r="H524" i="1" s="1"/>
  <c r="Q522" i="1"/>
  <c r="I521" i="1"/>
  <c r="Q528" i="2" l="1"/>
  <c r="P529" i="2"/>
  <c r="K525" i="2"/>
  <c r="L524" i="2"/>
  <c r="N523" i="2"/>
  <c r="M523" i="2"/>
  <c r="I527" i="2"/>
  <c r="H528" i="2"/>
  <c r="I528" i="2" s="1"/>
  <c r="K521" i="1"/>
  <c r="L521" i="1" s="1"/>
  <c r="N521" i="1" s="1"/>
  <c r="L520" i="1"/>
  <c r="P524" i="1"/>
  <c r="Q523" i="1"/>
  <c r="I522" i="1"/>
  <c r="N524" i="2" l="1"/>
  <c r="M524" i="2"/>
  <c r="Q529" i="2"/>
  <c r="P530" i="2"/>
  <c r="H529" i="2"/>
  <c r="L525" i="2"/>
  <c r="K526" i="2"/>
  <c r="M521" i="1"/>
  <c r="M520" i="1"/>
  <c r="N520" i="1"/>
  <c r="K522" i="1"/>
  <c r="P525" i="1"/>
  <c r="H525" i="1" s="1"/>
  <c r="H526" i="1" s="1"/>
  <c r="Q524" i="1"/>
  <c r="I523" i="1"/>
  <c r="P531" i="2" l="1"/>
  <c r="Q530" i="2"/>
  <c r="K527" i="2"/>
  <c r="L526" i="2"/>
  <c r="N525" i="2"/>
  <c r="M525" i="2"/>
  <c r="I529" i="2"/>
  <c r="H530" i="2"/>
  <c r="I530" i="2" s="1"/>
  <c r="K523" i="1"/>
  <c r="L523" i="1" s="1"/>
  <c r="L522" i="1"/>
  <c r="P526" i="1"/>
  <c r="Q525" i="1"/>
  <c r="I524" i="1"/>
  <c r="N526" i="2" l="1"/>
  <c r="M526" i="2"/>
  <c r="L527" i="2"/>
  <c r="K528" i="2"/>
  <c r="Q531" i="2"/>
  <c r="P532" i="2"/>
  <c r="H531" i="2"/>
  <c r="M523" i="1"/>
  <c r="N523" i="1"/>
  <c r="M522" i="1"/>
  <c r="N522" i="1"/>
  <c r="K524" i="1"/>
  <c r="P527" i="1"/>
  <c r="H527" i="1" s="1"/>
  <c r="H528" i="1" s="1"/>
  <c r="Q526" i="1"/>
  <c r="I525" i="1"/>
  <c r="L528" i="2" l="1"/>
  <c r="K529" i="2"/>
  <c r="N527" i="2"/>
  <c r="M527" i="2"/>
  <c r="I531" i="2"/>
  <c r="H532" i="2"/>
  <c r="I532" i="2" s="1"/>
  <c r="Q532" i="2"/>
  <c r="P533" i="2"/>
  <c r="K525" i="1"/>
  <c r="L525" i="1" s="1"/>
  <c r="N525" i="1" s="1"/>
  <c r="L524" i="1"/>
  <c r="P528" i="1"/>
  <c r="Q527" i="1"/>
  <c r="I526" i="1"/>
  <c r="Q533" i="2" l="1"/>
  <c r="P534" i="2"/>
  <c r="H533" i="2"/>
  <c r="K530" i="2"/>
  <c r="L529" i="2"/>
  <c r="N528" i="2"/>
  <c r="M528" i="2"/>
  <c r="M525" i="1"/>
  <c r="M524" i="1"/>
  <c r="N524" i="1"/>
  <c r="K526" i="1"/>
  <c r="P529" i="1"/>
  <c r="H529" i="1" s="1"/>
  <c r="H530" i="1" s="1"/>
  <c r="Q528" i="1"/>
  <c r="I527" i="1"/>
  <c r="K531" i="2" l="1"/>
  <c r="L530" i="2"/>
  <c r="I533" i="2"/>
  <c r="H534" i="2"/>
  <c r="I534" i="2" s="1"/>
  <c r="P535" i="2"/>
  <c r="Q534" i="2"/>
  <c r="M529" i="2"/>
  <c r="N529" i="2"/>
  <c r="K527" i="1"/>
  <c r="L527" i="1" s="1"/>
  <c r="L526" i="1"/>
  <c r="P530" i="1"/>
  <c r="Q529" i="1"/>
  <c r="I528" i="1"/>
  <c r="N530" i="2" l="1"/>
  <c r="M530" i="2"/>
  <c r="Q535" i="2"/>
  <c r="P536" i="2"/>
  <c r="H535" i="2"/>
  <c r="K532" i="2"/>
  <c r="L531" i="2"/>
  <c r="M527" i="1"/>
  <c r="N527" i="1"/>
  <c r="M526" i="1"/>
  <c r="N526" i="1"/>
  <c r="K528" i="1"/>
  <c r="P531" i="1"/>
  <c r="H531" i="1" s="1"/>
  <c r="H532" i="1" s="1"/>
  <c r="Q530" i="1"/>
  <c r="I529" i="1"/>
  <c r="Q536" i="2" l="1"/>
  <c r="P537" i="2"/>
  <c r="M531" i="2"/>
  <c r="N531" i="2"/>
  <c r="L532" i="2"/>
  <c r="K533" i="2"/>
  <c r="I535" i="2"/>
  <c r="H536" i="2"/>
  <c r="I536" i="2" s="1"/>
  <c r="K529" i="1"/>
  <c r="L529" i="1" s="1"/>
  <c r="N529" i="1" s="1"/>
  <c r="L528" i="1"/>
  <c r="P532" i="1"/>
  <c r="Q531" i="1"/>
  <c r="I530" i="1"/>
  <c r="K534" i="2" l="1"/>
  <c r="L533" i="2"/>
  <c r="Q537" i="2"/>
  <c r="P538" i="2"/>
  <c r="H537" i="2"/>
  <c r="M532" i="2"/>
  <c r="N532" i="2"/>
  <c r="M529" i="1"/>
  <c r="M528" i="1"/>
  <c r="N528" i="1"/>
  <c r="K530" i="1"/>
  <c r="P533" i="1"/>
  <c r="H533" i="1" s="1"/>
  <c r="H534" i="1" s="1"/>
  <c r="Q532" i="1"/>
  <c r="I531" i="1"/>
  <c r="P539" i="2" l="1"/>
  <c r="Q538" i="2"/>
  <c r="M533" i="2"/>
  <c r="N533" i="2"/>
  <c r="I537" i="2"/>
  <c r="H538" i="2"/>
  <c r="I538" i="2" s="1"/>
  <c r="K535" i="2"/>
  <c r="L534" i="2"/>
  <c r="K531" i="1"/>
  <c r="L531" i="1" s="1"/>
  <c r="L530" i="1"/>
  <c r="P534" i="1"/>
  <c r="Q533" i="1"/>
  <c r="I533" i="1"/>
  <c r="I532" i="1"/>
  <c r="N534" i="2" l="1"/>
  <c r="M534" i="2"/>
  <c r="K536" i="2"/>
  <c r="L535" i="2"/>
  <c r="Q539" i="2"/>
  <c r="P540" i="2"/>
  <c r="H539" i="2"/>
  <c r="M531" i="1"/>
  <c r="N531" i="1"/>
  <c r="M530" i="1"/>
  <c r="N530" i="1"/>
  <c r="K532" i="1"/>
  <c r="K533" i="1" s="1"/>
  <c r="P535" i="1"/>
  <c r="H535" i="1" s="1"/>
  <c r="H536" i="1" s="1"/>
  <c r="Q534" i="1"/>
  <c r="I539" i="2" l="1"/>
  <c r="H540" i="2"/>
  <c r="I540" i="2" s="1"/>
  <c r="M535" i="2"/>
  <c r="N535" i="2"/>
  <c r="L536" i="2"/>
  <c r="K537" i="2"/>
  <c r="Q540" i="2"/>
  <c r="P541" i="2"/>
  <c r="L533" i="1"/>
  <c r="N533" i="1" s="1"/>
  <c r="L532" i="1"/>
  <c r="I534" i="1"/>
  <c r="P536" i="1"/>
  <c r="Q535" i="1"/>
  <c r="Q541" i="2" l="1"/>
  <c r="P542" i="2"/>
  <c r="H541" i="2"/>
  <c r="K538" i="2"/>
  <c r="L537" i="2"/>
  <c r="M536" i="2"/>
  <c r="N536" i="2"/>
  <c r="M533" i="1"/>
  <c r="N532" i="1"/>
  <c r="M532" i="1"/>
  <c r="K534" i="1"/>
  <c r="L534" i="1" s="1"/>
  <c r="P537" i="1"/>
  <c r="H537" i="1" s="1"/>
  <c r="H538" i="1" s="1"/>
  <c r="Q536" i="1"/>
  <c r="I535" i="1"/>
  <c r="K539" i="2" l="1"/>
  <c r="L538" i="2"/>
  <c r="P543" i="2"/>
  <c r="Q542" i="2"/>
  <c r="I541" i="2"/>
  <c r="H542" i="2"/>
  <c r="I542" i="2" s="1"/>
  <c r="M537" i="2"/>
  <c r="N537" i="2"/>
  <c r="M534" i="1"/>
  <c r="N534" i="1"/>
  <c r="K535" i="1"/>
  <c r="L535" i="1" s="1"/>
  <c r="P538" i="1"/>
  <c r="Q537" i="1"/>
  <c r="I536" i="1"/>
  <c r="Q543" i="2" l="1"/>
  <c r="P544" i="2"/>
  <c r="H543" i="2"/>
  <c r="N538" i="2"/>
  <c r="M538" i="2"/>
  <c r="K540" i="2"/>
  <c r="L539" i="2"/>
  <c r="M535" i="1"/>
  <c r="N535" i="1"/>
  <c r="K536" i="1"/>
  <c r="L536" i="1" s="1"/>
  <c r="P539" i="1"/>
  <c r="H539" i="1" s="1"/>
  <c r="H540" i="1" s="1"/>
  <c r="Q538" i="1"/>
  <c r="I537" i="1"/>
  <c r="I543" i="2" l="1"/>
  <c r="H544" i="2"/>
  <c r="I544" i="2" s="1"/>
  <c r="M539" i="2"/>
  <c r="N539" i="2"/>
  <c r="Q544" i="2"/>
  <c r="P545" i="2"/>
  <c r="L540" i="2"/>
  <c r="K541" i="2"/>
  <c r="N536" i="1"/>
  <c r="M536" i="1"/>
  <c r="K537" i="1"/>
  <c r="L537" i="1" s="1"/>
  <c r="P540" i="1"/>
  <c r="Q539" i="1"/>
  <c r="I538" i="1"/>
  <c r="K542" i="2" l="1"/>
  <c r="L541" i="2"/>
  <c r="M540" i="2"/>
  <c r="N540" i="2"/>
  <c r="Q545" i="2"/>
  <c r="P546" i="2"/>
  <c r="H545" i="2"/>
  <c r="M537" i="1"/>
  <c r="N537" i="1"/>
  <c r="K538" i="1"/>
  <c r="L538" i="1" s="1"/>
  <c r="P541" i="1"/>
  <c r="H541" i="1" s="1"/>
  <c r="H542" i="1" s="1"/>
  <c r="Q540" i="1"/>
  <c r="I539" i="1"/>
  <c r="I545" i="2" l="1"/>
  <c r="H546" i="2"/>
  <c r="I546" i="2" s="1"/>
  <c r="P547" i="2"/>
  <c r="Q546" i="2"/>
  <c r="M541" i="2"/>
  <c r="N541" i="2"/>
  <c r="K543" i="2"/>
  <c r="L542" i="2"/>
  <c r="N538" i="1"/>
  <c r="M538" i="1"/>
  <c r="K539" i="1"/>
  <c r="L539" i="1" s="1"/>
  <c r="P542" i="1"/>
  <c r="Q541" i="1"/>
  <c r="I540" i="1"/>
  <c r="N542" i="2" l="1"/>
  <c r="M542" i="2"/>
  <c r="Q547" i="2"/>
  <c r="P548" i="2"/>
  <c r="H547" i="2"/>
  <c r="K544" i="2"/>
  <c r="L543" i="2"/>
  <c r="M539" i="1"/>
  <c r="N539" i="1"/>
  <c r="K540" i="1"/>
  <c r="L540" i="1" s="1"/>
  <c r="P543" i="1"/>
  <c r="H543" i="1" s="1"/>
  <c r="H544" i="1" s="1"/>
  <c r="Q542" i="1"/>
  <c r="I541" i="1"/>
  <c r="M543" i="2" l="1"/>
  <c r="N543" i="2"/>
  <c r="Q548" i="2"/>
  <c r="P549" i="2"/>
  <c r="L544" i="2"/>
  <c r="K545" i="2"/>
  <c r="I547" i="2"/>
  <c r="H548" i="2"/>
  <c r="I548" i="2" s="1"/>
  <c r="N540" i="1"/>
  <c r="M540" i="1"/>
  <c r="K541" i="1"/>
  <c r="L541" i="1" s="1"/>
  <c r="P544" i="1"/>
  <c r="Q543" i="1"/>
  <c r="I542" i="1"/>
  <c r="Q549" i="2" l="1"/>
  <c r="P550" i="2"/>
  <c r="H549" i="2"/>
  <c r="K546" i="2"/>
  <c r="L545" i="2"/>
  <c r="M544" i="2"/>
  <c r="N544" i="2"/>
  <c r="M541" i="1"/>
  <c r="N541" i="1"/>
  <c r="K542" i="1"/>
  <c r="L542" i="1" s="1"/>
  <c r="P545" i="1"/>
  <c r="H545" i="1" s="1"/>
  <c r="H546" i="1" s="1"/>
  <c r="Q544" i="1"/>
  <c r="I543" i="1"/>
  <c r="K547" i="2" l="1"/>
  <c r="L546" i="2"/>
  <c r="I549" i="2"/>
  <c r="H550" i="2"/>
  <c r="I550" i="2" s="1"/>
  <c r="P551" i="2"/>
  <c r="Q550" i="2"/>
  <c r="M545" i="2"/>
  <c r="N545" i="2"/>
  <c r="N542" i="1"/>
  <c r="M542" i="1"/>
  <c r="K543" i="1"/>
  <c r="L543" i="1" s="1"/>
  <c r="P546" i="1"/>
  <c r="Q545" i="1"/>
  <c r="I544" i="1"/>
  <c r="N546" i="2" l="1"/>
  <c r="M546" i="2"/>
  <c r="Q551" i="2"/>
  <c r="P552" i="2"/>
  <c r="H551" i="2"/>
  <c r="K548" i="2"/>
  <c r="L547" i="2"/>
  <c r="M543" i="1"/>
  <c r="N543" i="1"/>
  <c r="K544" i="1"/>
  <c r="L544" i="1" s="1"/>
  <c r="P547" i="1"/>
  <c r="H547" i="1" s="1"/>
  <c r="H548" i="1" s="1"/>
  <c r="Q546" i="1"/>
  <c r="I545" i="1"/>
  <c r="M547" i="2" l="1"/>
  <c r="N547" i="2"/>
  <c r="Q552" i="2"/>
  <c r="P553" i="2"/>
  <c r="L548" i="2"/>
  <c r="K549" i="2"/>
  <c r="I551" i="2"/>
  <c r="H552" i="2"/>
  <c r="I552" i="2" s="1"/>
  <c r="N544" i="1"/>
  <c r="M544" i="1"/>
  <c r="K545" i="1"/>
  <c r="L545" i="1" s="1"/>
  <c r="P548" i="1"/>
  <c r="Q547" i="1"/>
  <c r="I546" i="1"/>
  <c r="Q553" i="2" l="1"/>
  <c r="P554" i="2"/>
  <c r="H553" i="2"/>
  <c r="K550" i="2"/>
  <c r="L549" i="2"/>
  <c r="M548" i="2"/>
  <c r="N548" i="2"/>
  <c r="M545" i="1"/>
  <c r="N545" i="1"/>
  <c r="K546" i="1"/>
  <c r="L546" i="1" s="1"/>
  <c r="P549" i="1"/>
  <c r="H549" i="1" s="1"/>
  <c r="H550" i="1" s="1"/>
  <c r="Q548" i="1"/>
  <c r="I547" i="1"/>
  <c r="K551" i="2" l="1"/>
  <c r="L550" i="2"/>
  <c r="I553" i="2"/>
  <c r="H554" i="2"/>
  <c r="I554" i="2" s="1"/>
  <c r="P555" i="2"/>
  <c r="Q554" i="2"/>
  <c r="M549" i="2"/>
  <c r="N549" i="2"/>
  <c r="N546" i="1"/>
  <c r="M546" i="1"/>
  <c r="K547" i="1"/>
  <c r="L547" i="1" s="1"/>
  <c r="P550" i="1"/>
  <c r="Q549" i="1"/>
  <c r="I548" i="1"/>
  <c r="N550" i="2" l="1"/>
  <c r="M550" i="2"/>
  <c r="Q555" i="2"/>
  <c r="P556" i="2"/>
  <c r="H555" i="2"/>
  <c r="K552" i="2"/>
  <c r="L551" i="2"/>
  <c r="M547" i="1"/>
  <c r="N547" i="1"/>
  <c r="K548" i="1"/>
  <c r="L548" i="1" s="1"/>
  <c r="P551" i="1"/>
  <c r="H551" i="1" s="1"/>
  <c r="H552" i="1" s="1"/>
  <c r="Q550" i="1"/>
  <c r="I549" i="1"/>
  <c r="M551" i="2" l="1"/>
  <c r="N551" i="2"/>
  <c r="Q556" i="2"/>
  <c r="P557" i="2"/>
  <c r="L552" i="2"/>
  <c r="K553" i="2"/>
  <c r="I555" i="2"/>
  <c r="H556" i="2"/>
  <c r="I556" i="2" s="1"/>
  <c r="N548" i="1"/>
  <c r="M548" i="1"/>
  <c r="K549" i="1"/>
  <c r="L549" i="1" s="1"/>
  <c r="P552" i="1"/>
  <c r="Q551" i="1"/>
  <c r="I550" i="1"/>
  <c r="Q557" i="2" l="1"/>
  <c r="P558" i="2"/>
  <c r="H557" i="2"/>
  <c r="K554" i="2"/>
  <c r="L553" i="2"/>
  <c r="M552" i="2"/>
  <c r="N552" i="2"/>
  <c r="M549" i="1"/>
  <c r="N549" i="1"/>
  <c r="K550" i="1"/>
  <c r="L550" i="1" s="1"/>
  <c r="P553" i="1"/>
  <c r="H553" i="1" s="1"/>
  <c r="H554" i="1" s="1"/>
  <c r="Q552" i="1"/>
  <c r="I551" i="1"/>
  <c r="K555" i="2" l="1"/>
  <c r="L554" i="2"/>
  <c r="I557" i="2"/>
  <c r="H558" i="2"/>
  <c r="I558" i="2" s="1"/>
  <c r="P559" i="2"/>
  <c r="Q558" i="2"/>
  <c r="M553" i="2"/>
  <c r="N553" i="2"/>
  <c r="N550" i="1"/>
  <c r="M550" i="1"/>
  <c r="K551" i="1"/>
  <c r="L551" i="1" s="1"/>
  <c r="P554" i="1"/>
  <c r="Q553" i="1"/>
  <c r="I552" i="1"/>
  <c r="N554" i="2" l="1"/>
  <c r="M554" i="2"/>
  <c r="Q559" i="2"/>
  <c r="P560" i="2"/>
  <c r="H559" i="2"/>
  <c r="K556" i="2"/>
  <c r="L555" i="2"/>
  <c r="M551" i="1"/>
  <c r="N551" i="1"/>
  <c r="K552" i="1"/>
  <c r="L552" i="1" s="1"/>
  <c r="P555" i="1"/>
  <c r="H555" i="1" s="1"/>
  <c r="H556" i="1" s="1"/>
  <c r="Q554" i="1"/>
  <c r="I553" i="1"/>
  <c r="M555" i="2" l="1"/>
  <c r="N555" i="2"/>
  <c r="Q560" i="2"/>
  <c r="P561" i="2"/>
  <c r="L556" i="2"/>
  <c r="K557" i="2"/>
  <c r="I559" i="2"/>
  <c r="H560" i="2"/>
  <c r="I560" i="2" s="1"/>
  <c r="N552" i="1"/>
  <c r="M552" i="1"/>
  <c r="K553" i="1"/>
  <c r="L553" i="1" s="1"/>
  <c r="P556" i="1"/>
  <c r="Q555" i="1"/>
  <c r="I554" i="1"/>
  <c r="Q561" i="2" l="1"/>
  <c r="P562" i="2"/>
  <c r="H561" i="2"/>
  <c r="K558" i="2"/>
  <c r="L557" i="2"/>
  <c r="M556" i="2"/>
  <c r="N556" i="2"/>
  <c r="M553" i="1"/>
  <c r="N553" i="1"/>
  <c r="K554" i="1"/>
  <c r="L554" i="1" s="1"/>
  <c r="P557" i="1"/>
  <c r="H557" i="1" s="1"/>
  <c r="H558" i="1" s="1"/>
  <c r="Q556" i="1"/>
  <c r="I555" i="1"/>
  <c r="K559" i="2" l="1"/>
  <c r="L558" i="2"/>
  <c r="I561" i="2"/>
  <c r="H562" i="2"/>
  <c r="I562" i="2" s="1"/>
  <c r="P563" i="2"/>
  <c r="Q562" i="2"/>
  <c r="M557" i="2"/>
  <c r="N557" i="2"/>
  <c r="N554" i="1"/>
  <c r="M554" i="1"/>
  <c r="K555" i="1"/>
  <c r="L555" i="1" s="1"/>
  <c r="P558" i="1"/>
  <c r="Q557" i="1"/>
  <c r="I556" i="1"/>
  <c r="N558" i="2" l="1"/>
  <c r="M558" i="2"/>
  <c r="Q563" i="2"/>
  <c r="P564" i="2"/>
  <c r="H563" i="2"/>
  <c r="K560" i="2"/>
  <c r="L559" i="2"/>
  <c r="M555" i="1"/>
  <c r="N555" i="1"/>
  <c r="K556" i="1"/>
  <c r="L556" i="1" s="1"/>
  <c r="P559" i="1"/>
  <c r="H559" i="1" s="1"/>
  <c r="H560" i="1" s="1"/>
  <c r="Q558" i="1"/>
  <c r="I557" i="1"/>
  <c r="M559" i="2" l="1"/>
  <c r="N559" i="2"/>
  <c r="Q564" i="2"/>
  <c r="P565" i="2"/>
  <c r="L560" i="2"/>
  <c r="K561" i="2"/>
  <c r="I563" i="2"/>
  <c r="H564" i="2"/>
  <c r="I564" i="2" s="1"/>
  <c r="N556" i="1"/>
  <c r="M556" i="1"/>
  <c r="K557" i="1"/>
  <c r="L557" i="1" s="1"/>
  <c r="P560" i="1"/>
  <c r="Q559" i="1"/>
  <c r="I558" i="1"/>
  <c r="Q565" i="2" l="1"/>
  <c r="P566" i="2"/>
  <c r="H565" i="2"/>
  <c r="K562" i="2"/>
  <c r="L561" i="2"/>
  <c r="M560" i="2"/>
  <c r="N560" i="2"/>
  <c r="M557" i="1"/>
  <c r="N557" i="1"/>
  <c r="K558" i="1"/>
  <c r="L558" i="1" s="1"/>
  <c r="P561" i="1"/>
  <c r="H561" i="1" s="1"/>
  <c r="H562" i="1" s="1"/>
  <c r="Q560" i="1"/>
  <c r="I559" i="1"/>
  <c r="K563" i="2" l="1"/>
  <c r="L562" i="2"/>
  <c r="I565" i="2"/>
  <c r="H566" i="2"/>
  <c r="I566" i="2" s="1"/>
  <c r="P567" i="2"/>
  <c r="Q566" i="2"/>
  <c r="M561" i="2"/>
  <c r="N561" i="2"/>
  <c r="N558" i="1"/>
  <c r="M558" i="1"/>
  <c r="K559" i="1"/>
  <c r="L559" i="1" s="1"/>
  <c r="P562" i="1"/>
  <c r="Q561" i="1"/>
  <c r="I560" i="1"/>
  <c r="N562" i="2" l="1"/>
  <c r="M562" i="2"/>
  <c r="Q567" i="2"/>
  <c r="P568" i="2"/>
  <c r="H567" i="2"/>
  <c r="K564" i="2"/>
  <c r="L563" i="2"/>
  <c r="M559" i="1"/>
  <c r="N559" i="1"/>
  <c r="K560" i="1"/>
  <c r="L560" i="1" s="1"/>
  <c r="P563" i="1"/>
  <c r="H563" i="1" s="1"/>
  <c r="H564" i="1" s="1"/>
  <c r="Q562" i="1"/>
  <c r="I561" i="1"/>
  <c r="M563" i="2" l="1"/>
  <c r="N563" i="2"/>
  <c r="Q568" i="2"/>
  <c r="P569" i="2"/>
  <c r="L564" i="2"/>
  <c r="K565" i="2"/>
  <c r="I567" i="2"/>
  <c r="H568" i="2"/>
  <c r="I568" i="2" s="1"/>
  <c r="N560" i="1"/>
  <c r="M560" i="1"/>
  <c r="K561" i="1"/>
  <c r="L561" i="1" s="1"/>
  <c r="P564" i="1"/>
  <c r="Q563" i="1"/>
  <c r="I562" i="1"/>
  <c r="Q569" i="2" l="1"/>
  <c r="P570" i="2"/>
  <c r="H569" i="2"/>
  <c r="K566" i="2"/>
  <c r="L565" i="2"/>
  <c r="M564" i="2"/>
  <c r="N564" i="2"/>
  <c r="M561" i="1"/>
  <c r="N561" i="1"/>
  <c r="K562" i="1"/>
  <c r="L562" i="1" s="1"/>
  <c r="P565" i="1"/>
  <c r="H565" i="1" s="1"/>
  <c r="H566" i="1" s="1"/>
  <c r="Q564" i="1"/>
  <c r="I563" i="1"/>
  <c r="K567" i="2" l="1"/>
  <c r="L566" i="2"/>
  <c r="I569" i="2"/>
  <c r="H570" i="2"/>
  <c r="I570" i="2" s="1"/>
  <c r="P571" i="2"/>
  <c r="Q570" i="2"/>
  <c r="M565" i="2"/>
  <c r="N565" i="2"/>
  <c r="N562" i="1"/>
  <c r="M562" i="1"/>
  <c r="K563" i="1"/>
  <c r="L563" i="1" s="1"/>
  <c r="P566" i="1"/>
  <c r="Q565" i="1"/>
  <c r="I564" i="1"/>
  <c r="N566" i="2" l="1"/>
  <c r="M566" i="2"/>
  <c r="Q571" i="2"/>
  <c r="P572" i="2"/>
  <c r="H571" i="2"/>
  <c r="K568" i="2"/>
  <c r="L567" i="2"/>
  <c r="M563" i="1"/>
  <c r="N563" i="1"/>
  <c r="K564" i="1"/>
  <c r="L564" i="1" s="1"/>
  <c r="P567" i="1"/>
  <c r="H567" i="1" s="1"/>
  <c r="H568" i="1" s="1"/>
  <c r="Q566" i="1"/>
  <c r="I565" i="1"/>
  <c r="M567" i="2" l="1"/>
  <c r="N567" i="2"/>
  <c r="Q572" i="2"/>
  <c r="P573" i="2"/>
  <c r="L568" i="2"/>
  <c r="K569" i="2"/>
  <c r="I571" i="2"/>
  <c r="H572" i="2"/>
  <c r="I572" i="2" s="1"/>
  <c r="N564" i="1"/>
  <c r="M564" i="1"/>
  <c r="K565" i="1"/>
  <c r="L565" i="1" s="1"/>
  <c r="P568" i="1"/>
  <c r="Q567" i="1"/>
  <c r="I566" i="1"/>
  <c r="Q573" i="2" l="1"/>
  <c r="P574" i="2"/>
  <c r="H573" i="2"/>
  <c r="K570" i="2"/>
  <c r="L569" i="2"/>
  <c r="M568" i="2"/>
  <c r="N568" i="2"/>
  <c r="M565" i="1"/>
  <c r="N565" i="1"/>
  <c r="K566" i="1"/>
  <c r="L566" i="1" s="1"/>
  <c r="P569" i="1"/>
  <c r="H569" i="1" s="1"/>
  <c r="H570" i="1" s="1"/>
  <c r="Q568" i="1"/>
  <c r="I567" i="1"/>
  <c r="K571" i="2" l="1"/>
  <c r="L570" i="2"/>
  <c r="I573" i="2"/>
  <c r="H574" i="2"/>
  <c r="I574" i="2" s="1"/>
  <c r="P575" i="2"/>
  <c r="Q574" i="2"/>
  <c r="M569" i="2"/>
  <c r="N569" i="2"/>
  <c r="N566" i="1"/>
  <c r="M566" i="1"/>
  <c r="K567" i="1"/>
  <c r="L567" i="1" s="1"/>
  <c r="P570" i="1"/>
  <c r="Q569" i="1"/>
  <c r="I568" i="1"/>
  <c r="N570" i="2" l="1"/>
  <c r="M570" i="2"/>
  <c r="Q575" i="2"/>
  <c r="P576" i="2"/>
  <c r="H575" i="2"/>
  <c r="K572" i="2"/>
  <c r="L571" i="2"/>
  <c r="M567" i="1"/>
  <c r="N567" i="1"/>
  <c r="K568" i="1"/>
  <c r="L568" i="1" s="1"/>
  <c r="P571" i="1"/>
  <c r="H571" i="1" s="1"/>
  <c r="H572" i="1" s="1"/>
  <c r="Q570" i="1"/>
  <c r="I569" i="1"/>
  <c r="M571" i="2" l="1"/>
  <c r="N571" i="2"/>
  <c r="Q576" i="2"/>
  <c r="P577" i="2"/>
  <c r="L572" i="2"/>
  <c r="K573" i="2"/>
  <c r="I575" i="2"/>
  <c r="H576" i="2"/>
  <c r="I576" i="2" s="1"/>
  <c r="N568" i="1"/>
  <c r="M568" i="1"/>
  <c r="K569" i="1"/>
  <c r="L569" i="1" s="1"/>
  <c r="P572" i="1"/>
  <c r="Q571" i="1"/>
  <c r="I570" i="1"/>
  <c r="Q577" i="2" l="1"/>
  <c r="P578" i="2"/>
  <c r="H577" i="2"/>
  <c r="K574" i="2"/>
  <c r="L573" i="2"/>
  <c r="M572" i="2"/>
  <c r="N572" i="2"/>
  <c r="M569" i="1"/>
  <c r="N569" i="1"/>
  <c r="K570" i="1"/>
  <c r="L570" i="1" s="1"/>
  <c r="P573" i="1"/>
  <c r="H573" i="1" s="1"/>
  <c r="H574" i="1" s="1"/>
  <c r="Q572" i="1"/>
  <c r="I571" i="1"/>
  <c r="K575" i="2" l="1"/>
  <c r="L574" i="2"/>
  <c r="I577" i="2"/>
  <c r="H578" i="2"/>
  <c r="I578" i="2" s="1"/>
  <c r="P579" i="2"/>
  <c r="Q578" i="2"/>
  <c r="M573" i="2"/>
  <c r="N573" i="2"/>
  <c r="N570" i="1"/>
  <c r="M570" i="1"/>
  <c r="K571" i="1"/>
  <c r="L571" i="1" s="1"/>
  <c r="P574" i="1"/>
  <c r="Q573" i="1"/>
  <c r="I572" i="1"/>
  <c r="N574" i="2" l="1"/>
  <c r="M574" i="2"/>
  <c r="Q579" i="2"/>
  <c r="P580" i="2"/>
  <c r="H579" i="2"/>
  <c r="K576" i="2"/>
  <c r="L575" i="2"/>
  <c r="M571" i="1"/>
  <c r="N571" i="1"/>
  <c r="K572" i="1"/>
  <c r="L572" i="1" s="1"/>
  <c r="P575" i="1"/>
  <c r="H575" i="1" s="1"/>
  <c r="H576" i="1" s="1"/>
  <c r="Q574" i="1"/>
  <c r="I573" i="1"/>
  <c r="Q580" i="2" l="1"/>
  <c r="P581" i="2"/>
  <c r="M575" i="2"/>
  <c r="N575" i="2"/>
  <c r="L576" i="2"/>
  <c r="K577" i="2"/>
  <c r="I579" i="2"/>
  <c r="H580" i="2"/>
  <c r="I580" i="2" s="1"/>
  <c r="N572" i="1"/>
  <c r="M572" i="1"/>
  <c r="K573" i="1"/>
  <c r="L573" i="1" s="1"/>
  <c r="P576" i="1"/>
  <c r="Q575" i="1"/>
  <c r="I574" i="1"/>
  <c r="Q581" i="2" l="1"/>
  <c r="P582" i="2"/>
  <c r="H581" i="2"/>
  <c r="K578" i="2"/>
  <c r="L577" i="2"/>
  <c r="M576" i="2"/>
  <c r="N576" i="2"/>
  <c r="M573" i="1"/>
  <c r="N573" i="1"/>
  <c r="K574" i="1"/>
  <c r="L574" i="1" s="1"/>
  <c r="P577" i="1"/>
  <c r="H577" i="1" s="1"/>
  <c r="H578" i="1" s="1"/>
  <c r="Q576" i="1"/>
  <c r="I575" i="1"/>
  <c r="K579" i="2" l="1"/>
  <c r="L578" i="2"/>
  <c r="I581" i="2"/>
  <c r="H582" i="2"/>
  <c r="I582" i="2" s="1"/>
  <c r="P583" i="2"/>
  <c r="Q582" i="2"/>
  <c r="M577" i="2"/>
  <c r="N577" i="2"/>
  <c r="N574" i="1"/>
  <c r="M574" i="1"/>
  <c r="K575" i="1"/>
  <c r="L575" i="1" s="1"/>
  <c r="P578" i="1"/>
  <c r="Q577" i="1"/>
  <c r="I576" i="1"/>
  <c r="N578" i="2" l="1"/>
  <c r="M578" i="2"/>
  <c r="Q583" i="2"/>
  <c r="P584" i="2"/>
  <c r="H583" i="2"/>
  <c r="K580" i="2"/>
  <c r="L579" i="2"/>
  <c r="M575" i="1"/>
  <c r="N575" i="1"/>
  <c r="K576" i="1"/>
  <c r="L576" i="1" s="1"/>
  <c r="P579" i="1"/>
  <c r="H579" i="1" s="1"/>
  <c r="H580" i="1" s="1"/>
  <c r="Q578" i="1"/>
  <c r="I577" i="1"/>
  <c r="M579" i="2" l="1"/>
  <c r="N579" i="2"/>
  <c r="Q584" i="2"/>
  <c r="P585" i="2"/>
  <c r="L580" i="2"/>
  <c r="K581" i="2"/>
  <c r="I583" i="2"/>
  <c r="H584" i="2"/>
  <c r="I584" i="2" s="1"/>
  <c r="N576" i="1"/>
  <c r="M576" i="1"/>
  <c r="K577" i="1"/>
  <c r="L577" i="1" s="1"/>
  <c r="P580" i="1"/>
  <c r="Q579" i="1"/>
  <c r="I578" i="1"/>
  <c r="Q585" i="2" l="1"/>
  <c r="P586" i="2"/>
  <c r="H585" i="2"/>
  <c r="K582" i="2"/>
  <c r="L581" i="2"/>
  <c r="M580" i="2"/>
  <c r="N580" i="2"/>
  <c r="M577" i="1"/>
  <c r="N577" i="1"/>
  <c r="K578" i="1"/>
  <c r="L578" i="1" s="1"/>
  <c r="P581" i="1"/>
  <c r="H581" i="1" s="1"/>
  <c r="H582" i="1" s="1"/>
  <c r="Q580" i="1"/>
  <c r="I579" i="1"/>
  <c r="K583" i="2" l="1"/>
  <c r="L582" i="2"/>
  <c r="I585" i="2"/>
  <c r="H586" i="2"/>
  <c r="I586" i="2" s="1"/>
  <c r="P587" i="2"/>
  <c r="Q586" i="2"/>
  <c r="M581" i="2"/>
  <c r="N581" i="2"/>
  <c r="N578" i="1"/>
  <c r="M578" i="1"/>
  <c r="K579" i="1"/>
  <c r="L579" i="1" s="1"/>
  <c r="P582" i="1"/>
  <c r="Q581" i="1"/>
  <c r="I581" i="1"/>
  <c r="I580" i="1"/>
  <c r="K584" i="2" l="1"/>
  <c r="L583" i="2"/>
  <c r="Q587" i="2"/>
  <c r="P588" i="2"/>
  <c r="H587" i="2"/>
  <c r="N582" i="2"/>
  <c r="M582" i="2"/>
  <c r="M579" i="1"/>
  <c r="N579" i="1"/>
  <c r="K580" i="1"/>
  <c r="K581" i="1" s="1"/>
  <c r="L581" i="1" s="1"/>
  <c r="N581" i="1" s="1"/>
  <c r="P583" i="1"/>
  <c r="H583" i="1" s="1"/>
  <c r="H584" i="1" s="1"/>
  <c r="Q582" i="1"/>
  <c r="Q588" i="2" l="1"/>
  <c r="P589" i="2"/>
  <c r="M583" i="2"/>
  <c r="N583" i="2"/>
  <c r="I587" i="2"/>
  <c r="H588" i="2"/>
  <c r="I588" i="2" s="1"/>
  <c r="L584" i="2"/>
  <c r="K585" i="2"/>
  <c r="L580" i="1"/>
  <c r="M581" i="1" s="1"/>
  <c r="I582" i="1"/>
  <c r="P584" i="1"/>
  <c r="Q583" i="1"/>
  <c r="K586" i="2" l="1"/>
  <c r="L585" i="2"/>
  <c r="M584" i="2"/>
  <c r="N584" i="2"/>
  <c r="Q589" i="2"/>
  <c r="P590" i="2"/>
  <c r="H589" i="2"/>
  <c r="M580" i="1"/>
  <c r="N580" i="1"/>
  <c r="K582" i="1"/>
  <c r="P585" i="1"/>
  <c r="H585" i="1" s="1"/>
  <c r="H586" i="1" s="1"/>
  <c r="Q584" i="1"/>
  <c r="I583" i="1"/>
  <c r="P591" i="2" l="1"/>
  <c r="Q590" i="2"/>
  <c r="I589" i="2"/>
  <c r="H590" i="2"/>
  <c r="I590" i="2" s="1"/>
  <c r="M585" i="2"/>
  <c r="N585" i="2"/>
  <c r="K587" i="2"/>
  <c r="L586" i="2"/>
  <c r="K583" i="1"/>
  <c r="L583" i="1" s="1"/>
  <c r="N583" i="1" s="1"/>
  <c r="L582" i="1"/>
  <c r="P586" i="1"/>
  <c r="Q585" i="1"/>
  <c r="I584" i="1"/>
  <c r="N586" i="2" l="1"/>
  <c r="M586" i="2"/>
  <c r="K588" i="2"/>
  <c r="L587" i="2"/>
  <c r="Q591" i="2"/>
  <c r="P592" i="2"/>
  <c r="H591" i="2"/>
  <c r="M583" i="1"/>
  <c r="N582" i="1"/>
  <c r="M582" i="1"/>
  <c r="K584" i="1"/>
  <c r="P587" i="1"/>
  <c r="H587" i="1" s="1"/>
  <c r="H588" i="1" s="1"/>
  <c r="Q586" i="1"/>
  <c r="I585" i="1"/>
  <c r="M587" i="2" l="1"/>
  <c r="N587" i="2"/>
  <c r="L588" i="2"/>
  <c r="K589" i="2"/>
  <c r="I591" i="2"/>
  <c r="H592" i="2"/>
  <c r="I592" i="2" s="1"/>
  <c r="Q592" i="2"/>
  <c r="P593" i="2"/>
  <c r="K585" i="1"/>
  <c r="L585" i="1" s="1"/>
  <c r="L584" i="1"/>
  <c r="P588" i="1"/>
  <c r="Q587" i="1"/>
  <c r="I586" i="1"/>
  <c r="K590" i="2" l="1"/>
  <c r="L589" i="2"/>
  <c r="M588" i="2"/>
  <c r="N588" i="2"/>
  <c r="Q593" i="2"/>
  <c r="P594" i="2"/>
  <c r="H593" i="2"/>
  <c r="M585" i="1"/>
  <c r="N585" i="1"/>
  <c r="M584" i="1"/>
  <c r="N584" i="1"/>
  <c r="K586" i="1"/>
  <c r="P589" i="1"/>
  <c r="H589" i="1" s="1"/>
  <c r="H590" i="1" s="1"/>
  <c r="Q588" i="1"/>
  <c r="I587" i="1"/>
  <c r="P595" i="2" l="1"/>
  <c r="Q594" i="2"/>
  <c r="M589" i="2"/>
  <c r="N589" i="2"/>
  <c r="I593" i="2"/>
  <c r="H594" i="2"/>
  <c r="I594" i="2" s="1"/>
  <c r="K591" i="2"/>
  <c r="L590" i="2"/>
  <c r="K587" i="1"/>
  <c r="L587" i="1" s="1"/>
  <c r="N587" i="1" s="1"/>
  <c r="L586" i="1"/>
  <c r="P590" i="1"/>
  <c r="Q589" i="1"/>
  <c r="I588" i="1"/>
  <c r="N590" i="2" l="1"/>
  <c r="M590" i="2"/>
  <c r="K592" i="2"/>
  <c r="L591" i="2"/>
  <c r="Q595" i="2"/>
  <c r="P596" i="2"/>
  <c r="H595" i="2"/>
  <c r="M587" i="1"/>
  <c r="M586" i="1"/>
  <c r="N586" i="1"/>
  <c r="K588" i="1"/>
  <c r="P591" i="1"/>
  <c r="H591" i="1" s="1"/>
  <c r="H592" i="1" s="1"/>
  <c r="Q590" i="1"/>
  <c r="I589" i="1"/>
  <c r="M591" i="2" l="1"/>
  <c r="N591" i="2"/>
  <c r="L592" i="2"/>
  <c r="K593" i="2"/>
  <c r="I595" i="2"/>
  <c r="H596" i="2"/>
  <c r="I596" i="2" s="1"/>
  <c r="Q596" i="2"/>
  <c r="P597" i="2"/>
  <c r="K589" i="1"/>
  <c r="L589" i="1" s="1"/>
  <c r="L588" i="1"/>
  <c r="P592" i="1"/>
  <c r="Q591" i="1"/>
  <c r="I590" i="1"/>
  <c r="Q597" i="2" l="1"/>
  <c r="P598" i="2"/>
  <c r="H597" i="2"/>
  <c r="K594" i="2"/>
  <c r="L593" i="2"/>
  <c r="M592" i="2"/>
  <c r="N592" i="2"/>
  <c r="M589" i="1"/>
  <c r="N589" i="1"/>
  <c r="M588" i="1"/>
  <c r="N588" i="1"/>
  <c r="K590" i="1"/>
  <c r="P593" i="1"/>
  <c r="H593" i="1" s="1"/>
  <c r="H594" i="1" s="1"/>
  <c r="Q592" i="1"/>
  <c r="I591" i="1"/>
  <c r="K595" i="2" l="1"/>
  <c r="L594" i="2"/>
  <c r="I597" i="2"/>
  <c r="H598" i="2"/>
  <c r="I598" i="2" s="1"/>
  <c r="P599" i="2"/>
  <c r="Q598" i="2"/>
  <c r="M593" i="2"/>
  <c r="N593" i="2"/>
  <c r="K591" i="1"/>
  <c r="L591" i="1" s="1"/>
  <c r="N591" i="1" s="1"/>
  <c r="L590" i="1"/>
  <c r="P594" i="1"/>
  <c r="Q593" i="1"/>
  <c r="I592" i="1"/>
  <c r="N594" i="2" l="1"/>
  <c r="M594" i="2"/>
  <c r="Q599" i="2"/>
  <c r="P600" i="2"/>
  <c r="H599" i="2"/>
  <c r="K596" i="2"/>
  <c r="L595" i="2"/>
  <c r="M591" i="1"/>
  <c r="M590" i="1"/>
  <c r="N590" i="1"/>
  <c r="K592" i="1"/>
  <c r="P595" i="1"/>
  <c r="H595" i="1" s="1"/>
  <c r="H596" i="1" s="1"/>
  <c r="Q594" i="1"/>
  <c r="I593" i="1"/>
  <c r="Q600" i="2" l="1"/>
  <c r="P601" i="2"/>
  <c r="M595" i="2"/>
  <c r="N595" i="2"/>
  <c r="L596" i="2"/>
  <c r="K597" i="2"/>
  <c r="I599" i="2"/>
  <c r="H600" i="2"/>
  <c r="I600" i="2" s="1"/>
  <c r="K593" i="1"/>
  <c r="L593" i="1" s="1"/>
  <c r="L592" i="1"/>
  <c r="P596" i="1"/>
  <c r="Q595" i="1"/>
  <c r="I594" i="1"/>
  <c r="K598" i="2" l="1"/>
  <c r="L597" i="2"/>
  <c r="Q601" i="2"/>
  <c r="P602" i="2"/>
  <c r="H601" i="2"/>
  <c r="M596" i="2"/>
  <c r="N596" i="2"/>
  <c r="M593" i="1"/>
  <c r="N593" i="1"/>
  <c r="M592" i="1"/>
  <c r="N592" i="1"/>
  <c r="K594" i="1"/>
  <c r="P597" i="1"/>
  <c r="H597" i="1" s="1"/>
  <c r="H598" i="1" s="1"/>
  <c r="Q596" i="1"/>
  <c r="I595" i="1"/>
  <c r="Q602" i="2" l="1"/>
  <c r="P603" i="2"/>
  <c r="M597" i="2"/>
  <c r="N597" i="2"/>
  <c r="I601" i="2"/>
  <c r="H602" i="2"/>
  <c r="I602" i="2" s="1"/>
  <c r="K599" i="2"/>
  <c r="L598" i="2"/>
  <c r="K595" i="1"/>
  <c r="L595" i="1" s="1"/>
  <c r="N595" i="1" s="1"/>
  <c r="L594" i="1"/>
  <c r="P598" i="1"/>
  <c r="Q597" i="1"/>
  <c r="I596" i="1"/>
  <c r="N598" i="2" l="1"/>
  <c r="M598" i="2"/>
  <c r="K600" i="2"/>
  <c r="L599" i="2"/>
  <c r="Q603" i="2"/>
  <c r="P604" i="2"/>
  <c r="H603" i="2"/>
  <c r="M595" i="1"/>
  <c r="M594" i="1"/>
  <c r="N594" i="1"/>
  <c r="K596" i="1"/>
  <c r="P599" i="1"/>
  <c r="H599" i="1" s="1"/>
  <c r="H600" i="1" s="1"/>
  <c r="Q598" i="1"/>
  <c r="I597" i="1"/>
  <c r="M599" i="2" l="1"/>
  <c r="N599" i="2"/>
  <c r="L600" i="2"/>
  <c r="K601" i="2"/>
  <c r="I603" i="2"/>
  <c r="H604" i="2"/>
  <c r="I604" i="2" s="1"/>
  <c r="Q604" i="2"/>
  <c r="P605" i="2"/>
  <c r="K597" i="1"/>
  <c r="L597" i="1" s="1"/>
  <c r="L596" i="1"/>
  <c r="P600" i="1"/>
  <c r="Q599" i="1"/>
  <c r="I598" i="1"/>
  <c r="Q605" i="2" l="1"/>
  <c r="H605" i="2"/>
  <c r="P606" i="2"/>
  <c r="K602" i="2"/>
  <c r="L601" i="2"/>
  <c r="M600" i="2"/>
  <c r="N600" i="2"/>
  <c r="M597" i="1"/>
  <c r="N597" i="1"/>
  <c r="M596" i="1"/>
  <c r="N596" i="1"/>
  <c r="K598" i="1"/>
  <c r="I599" i="1"/>
  <c r="P601" i="1"/>
  <c r="H601" i="1" s="1"/>
  <c r="H602" i="1" s="1"/>
  <c r="Q600" i="1"/>
  <c r="K603" i="2" l="1"/>
  <c r="L602" i="2"/>
  <c r="Q606" i="2"/>
  <c r="P607" i="2"/>
  <c r="I605" i="2"/>
  <c r="H606" i="2"/>
  <c r="I606" i="2" s="1"/>
  <c r="M601" i="2"/>
  <c r="N601" i="2"/>
  <c r="K599" i="1"/>
  <c r="L599" i="1" s="1"/>
  <c r="N599" i="1" s="1"/>
  <c r="L598" i="1"/>
  <c r="P602" i="1"/>
  <c r="Q601" i="1"/>
  <c r="I600" i="1"/>
  <c r="Q607" i="2" l="1"/>
  <c r="P608" i="2"/>
  <c r="H607" i="2"/>
  <c r="M602" i="2"/>
  <c r="N602" i="2"/>
  <c r="K604" i="2"/>
  <c r="L603" i="2"/>
  <c r="M599" i="1"/>
  <c r="N598" i="1"/>
  <c r="M598" i="1"/>
  <c r="K600" i="1"/>
  <c r="I601" i="1"/>
  <c r="P603" i="1"/>
  <c r="H603" i="1" s="1"/>
  <c r="H604" i="1" s="1"/>
  <c r="Q602" i="1"/>
  <c r="I607" i="2" l="1"/>
  <c r="H608" i="2"/>
  <c r="I608" i="2" s="1"/>
  <c r="M603" i="2"/>
  <c r="N603" i="2"/>
  <c r="Q608" i="2"/>
  <c r="P609" i="2"/>
  <c r="K605" i="2"/>
  <c r="L604" i="2"/>
  <c r="K601" i="1"/>
  <c r="L601" i="1" s="1"/>
  <c r="L600" i="1"/>
  <c r="P604" i="1"/>
  <c r="Q603" i="1"/>
  <c r="I602" i="1"/>
  <c r="M604" i="2" l="1"/>
  <c r="N604" i="2"/>
  <c r="K606" i="2"/>
  <c r="L605" i="2"/>
  <c r="Q609" i="2"/>
  <c r="P610" i="2"/>
  <c r="H609" i="2"/>
  <c r="M601" i="1"/>
  <c r="N601" i="1"/>
  <c r="N600" i="1"/>
  <c r="M600" i="1"/>
  <c r="K602" i="1"/>
  <c r="I603" i="1"/>
  <c r="P605" i="1"/>
  <c r="H605" i="1" s="1"/>
  <c r="H606" i="1" s="1"/>
  <c r="Q604" i="1"/>
  <c r="M605" i="2" l="1"/>
  <c r="N605" i="2"/>
  <c r="I609" i="2"/>
  <c r="H610" i="2"/>
  <c r="I610" i="2" s="1"/>
  <c r="K607" i="2"/>
  <c r="L606" i="2"/>
  <c r="Q610" i="2"/>
  <c r="P611" i="2"/>
  <c r="K603" i="1"/>
  <c r="L603" i="1" s="1"/>
  <c r="N603" i="1" s="1"/>
  <c r="L602" i="1"/>
  <c r="P606" i="1"/>
  <c r="Q605" i="1"/>
  <c r="I604" i="1"/>
  <c r="Q611" i="2" l="1"/>
  <c r="P612" i="2"/>
  <c r="H611" i="2"/>
  <c r="M606" i="2"/>
  <c r="N606" i="2"/>
  <c r="K608" i="2"/>
  <c r="L607" i="2"/>
  <c r="M603" i="1"/>
  <c r="N602" i="1"/>
  <c r="M602" i="1"/>
  <c r="K604" i="1"/>
  <c r="I605" i="1"/>
  <c r="P607" i="1"/>
  <c r="H607" i="1" s="1"/>
  <c r="H608" i="1" s="1"/>
  <c r="Q606" i="1"/>
  <c r="I611" i="2" l="1"/>
  <c r="H612" i="2"/>
  <c r="I612" i="2" s="1"/>
  <c r="M607" i="2"/>
  <c r="N607" i="2"/>
  <c r="Q612" i="2"/>
  <c r="P613" i="2"/>
  <c r="K609" i="2"/>
  <c r="L608" i="2"/>
  <c r="K605" i="1"/>
  <c r="L605" i="1" s="1"/>
  <c r="L604" i="1"/>
  <c r="P608" i="1"/>
  <c r="Q607" i="1"/>
  <c r="I606" i="1"/>
  <c r="M608" i="2" l="1"/>
  <c r="N608" i="2"/>
  <c r="K610" i="2"/>
  <c r="L609" i="2"/>
  <c r="Q613" i="2"/>
  <c r="P614" i="2"/>
  <c r="H613" i="2"/>
  <c r="M605" i="1"/>
  <c r="N605" i="1"/>
  <c r="N604" i="1"/>
  <c r="M604" i="1"/>
  <c r="K606" i="1"/>
  <c r="I607" i="1"/>
  <c r="P609" i="1"/>
  <c r="H609" i="1" s="1"/>
  <c r="H610" i="1" s="1"/>
  <c r="Q608" i="1"/>
  <c r="M609" i="2" l="1"/>
  <c r="N609" i="2"/>
  <c r="I613" i="2"/>
  <c r="H614" i="2"/>
  <c r="I614" i="2" s="1"/>
  <c r="K611" i="2"/>
  <c r="L610" i="2"/>
  <c r="Q614" i="2"/>
  <c r="P615" i="2"/>
  <c r="K607" i="1"/>
  <c r="L607" i="1" s="1"/>
  <c r="N607" i="1" s="1"/>
  <c r="L606" i="1"/>
  <c r="P610" i="1"/>
  <c r="Q609" i="1"/>
  <c r="I608" i="1"/>
  <c r="Q615" i="2" l="1"/>
  <c r="P616" i="2"/>
  <c r="H615" i="2"/>
  <c r="M610" i="2"/>
  <c r="N610" i="2"/>
  <c r="K612" i="2"/>
  <c r="L611" i="2"/>
  <c r="M607" i="1"/>
  <c r="N606" i="1"/>
  <c r="M606" i="1"/>
  <c r="K608" i="1"/>
  <c r="I609" i="1"/>
  <c r="P611" i="1"/>
  <c r="H611" i="1" s="1"/>
  <c r="H612" i="1" s="1"/>
  <c r="Q610" i="1"/>
  <c r="I615" i="2" l="1"/>
  <c r="H616" i="2"/>
  <c r="I616" i="2" s="1"/>
  <c r="M611" i="2"/>
  <c r="N611" i="2"/>
  <c r="Q616" i="2"/>
  <c r="P617" i="2"/>
  <c r="K613" i="2"/>
  <c r="L612" i="2"/>
  <c r="K609" i="1"/>
  <c r="L609" i="1" s="1"/>
  <c r="L608" i="1"/>
  <c r="P612" i="1"/>
  <c r="Q611" i="1"/>
  <c r="I610" i="1"/>
  <c r="M612" i="2" l="1"/>
  <c r="N612" i="2"/>
  <c r="K614" i="2"/>
  <c r="L613" i="2"/>
  <c r="Q617" i="2"/>
  <c r="P618" i="2"/>
  <c r="H617" i="2"/>
  <c r="M609" i="1"/>
  <c r="N609" i="1"/>
  <c r="N608" i="1"/>
  <c r="M608" i="1"/>
  <c r="K610" i="1"/>
  <c r="I611" i="1"/>
  <c r="P613" i="1"/>
  <c r="H613" i="1" s="1"/>
  <c r="H614" i="1" s="1"/>
  <c r="Q612" i="1"/>
  <c r="M613" i="2" l="1"/>
  <c r="N613" i="2"/>
  <c r="I617" i="2"/>
  <c r="H618" i="2"/>
  <c r="I618" i="2" s="1"/>
  <c r="K615" i="2"/>
  <c r="L614" i="2"/>
  <c r="Q618" i="2"/>
  <c r="P619" i="2"/>
  <c r="K611" i="1"/>
  <c r="L611" i="1" s="1"/>
  <c r="N611" i="1" s="1"/>
  <c r="L610" i="1"/>
  <c r="P614" i="1"/>
  <c r="Q613" i="1"/>
  <c r="I612" i="1"/>
  <c r="M614" i="2" l="1"/>
  <c r="N614" i="2"/>
  <c r="Q619" i="2"/>
  <c r="P620" i="2"/>
  <c r="H619" i="2"/>
  <c r="K616" i="2"/>
  <c r="L615" i="2"/>
  <c r="M611" i="1"/>
  <c r="N610" i="1"/>
  <c r="M610" i="1"/>
  <c r="K612" i="1"/>
  <c r="I613" i="1"/>
  <c r="P615" i="1"/>
  <c r="H615" i="1" s="1"/>
  <c r="H616" i="1" s="1"/>
  <c r="Q614" i="1"/>
  <c r="Q620" i="2" l="1"/>
  <c r="P621" i="2"/>
  <c r="M615" i="2"/>
  <c r="N615" i="2"/>
  <c r="K617" i="2"/>
  <c r="L616" i="2"/>
  <c r="I619" i="2"/>
  <c r="H620" i="2"/>
  <c r="I620" i="2" s="1"/>
  <c r="K613" i="1"/>
  <c r="L613" i="1" s="1"/>
  <c r="L612" i="1"/>
  <c r="Q615" i="1"/>
  <c r="P616" i="1"/>
  <c r="I614" i="1"/>
  <c r="M616" i="2" l="1"/>
  <c r="N616" i="2"/>
  <c r="Q621" i="2"/>
  <c r="P622" i="2"/>
  <c r="H621" i="2"/>
  <c r="K618" i="2"/>
  <c r="L617" i="2"/>
  <c r="M613" i="1"/>
  <c r="N613" i="1"/>
  <c r="N612" i="1"/>
  <c r="M612" i="1"/>
  <c r="K614" i="1"/>
  <c r="I615" i="1"/>
  <c r="P617" i="1"/>
  <c r="H617" i="1" s="1"/>
  <c r="H618" i="1" s="1"/>
  <c r="Q616" i="1"/>
  <c r="Q622" i="2" l="1"/>
  <c r="P623" i="2"/>
  <c r="M617" i="2"/>
  <c r="N617" i="2"/>
  <c r="K619" i="2"/>
  <c r="L618" i="2"/>
  <c r="I621" i="2"/>
  <c r="H622" i="2"/>
  <c r="I622" i="2" s="1"/>
  <c r="K615" i="1"/>
  <c r="L615" i="1" s="1"/>
  <c r="N615" i="1" s="1"/>
  <c r="L614" i="1"/>
  <c r="I616" i="1"/>
  <c r="P618" i="1"/>
  <c r="Q617" i="1"/>
  <c r="M618" i="2" l="1"/>
  <c r="N618" i="2"/>
  <c r="Q623" i="2"/>
  <c r="P624" i="2"/>
  <c r="H623" i="2"/>
  <c r="K620" i="2"/>
  <c r="L619" i="2"/>
  <c r="M615" i="1"/>
  <c r="N614" i="1"/>
  <c r="M614" i="1"/>
  <c r="K616" i="1"/>
  <c r="P619" i="1"/>
  <c r="H619" i="1" s="1"/>
  <c r="H620" i="1" s="1"/>
  <c r="Q618" i="1"/>
  <c r="I617" i="1"/>
  <c r="Q624" i="2" l="1"/>
  <c r="P625" i="2"/>
  <c r="M619" i="2"/>
  <c r="N619" i="2"/>
  <c r="K621" i="2"/>
  <c r="L620" i="2"/>
  <c r="I623" i="2"/>
  <c r="H624" i="2"/>
  <c r="I624" i="2" s="1"/>
  <c r="K617" i="1"/>
  <c r="L617" i="1" s="1"/>
  <c r="L616" i="1"/>
  <c r="I618" i="1"/>
  <c r="Q619" i="1"/>
  <c r="P620" i="1"/>
  <c r="M620" i="2" l="1"/>
  <c r="N620" i="2"/>
  <c r="Q625" i="2"/>
  <c r="P626" i="2"/>
  <c r="H625" i="2"/>
  <c r="K622" i="2"/>
  <c r="L621" i="2"/>
  <c r="N617" i="1"/>
  <c r="M617" i="1"/>
  <c r="M616" i="1"/>
  <c r="N616" i="1"/>
  <c r="K618" i="1"/>
  <c r="P621" i="1"/>
  <c r="H621" i="1" s="1"/>
  <c r="H622" i="1" s="1"/>
  <c r="Q620" i="1"/>
  <c r="I619" i="1"/>
  <c r="Q626" i="2" l="1"/>
  <c r="P627" i="2"/>
  <c r="M621" i="2"/>
  <c r="N621" i="2"/>
  <c r="K623" i="2"/>
  <c r="L622" i="2"/>
  <c r="I625" i="2"/>
  <c r="H626" i="2"/>
  <c r="I626" i="2" s="1"/>
  <c r="K619" i="1"/>
  <c r="L619" i="1" s="1"/>
  <c r="N619" i="1" s="1"/>
  <c r="L618" i="1"/>
  <c r="I620" i="1"/>
  <c r="P622" i="1"/>
  <c r="Q621" i="1"/>
  <c r="M622" i="2" l="1"/>
  <c r="N622" i="2"/>
  <c r="Q627" i="2"/>
  <c r="P628" i="2"/>
  <c r="H627" i="2"/>
  <c r="K624" i="2"/>
  <c r="L623" i="2"/>
  <c r="M619" i="1"/>
  <c r="M618" i="1"/>
  <c r="N618" i="1"/>
  <c r="K620" i="1"/>
  <c r="P623" i="1"/>
  <c r="H623" i="1" s="1"/>
  <c r="H624" i="1" s="1"/>
  <c r="Q622" i="1"/>
  <c r="I621" i="1"/>
  <c r="Q628" i="2" l="1"/>
  <c r="P629" i="2"/>
  <c r="M623" i="2"/>
  <c r="N623" i="2"/>
  <c r="K625" i="2"/>
  <c r="L624" i="2"/>
  <c r="I627" i="2"/>
  <c r="H628" i="2"/>
  <c r="I628" i="2" s="1"/>
  <c r="K621" i="1"/>
  <c r="L621" i="1" s="1"/>
  <c r="N621" i="1" s="1"/>
  <c r="L620" i="1"/>
  <c r="I622" i="1"/>
  <c r="Q623" i="1"/>
  <c r="P624" i="1"/>
  <c r="M624" i="2" l="1"/>
  <c r="N624" i="2"/>
  <c r="Q629" i="2"/>
  <c r="P630" i="2"/>
  <c r="H629" i="2"/>
  <c r="K626" i="2"/>
  <c r="L625" i="2"/>
  <c r="M621" i="1"/>
  <c r="M620" i="1"/>
  <c r="N620" i="1"/>
  <c r="K622" i="1"/>
  <c r="P625" i="1"/>
  <c r="H625" i="1" s="1"/>
  <c r="H626" i="1" s="1"/>
  <c r="Q624" i="1"/>
  <c r="I623" i="1"/>
  <c r="Q630" i="2" l="1"/>
  <c r="P631" i="2"/>
  <c r="M625" i="2"/>
  <c r="N625" i="2"/>
  <c r="K627" i="2"/>
  <c r="L626" i="2"/>
  <c r="I629" i="2"/>
  <c r="H630" i="2"/>
  <c r="I630" i="2" s="1"/>
  <c r="K623" i="1"/>
  <c r="L623" i="1" s="1"/>
  <c r="L622" i="1"/>
  <c r="I624" i="1"/>
  <c r="P626" i="1"/>
  <c r="Q625" i="1"/>
  <c r="M626" i="2" l="1"/>
  <c r="N626" i="2"/>
  <c r="Q631" i="2"/>
  <c r="P632" i="2"/>
  <c r="H631" i="2"/>
  <c r="K628" i="2"/>
  <c r="L627" i="2"/>
  <c r="M623" i="1"/>
  <c r="N623" i="1"/>
  <c r="M622" i="1"/>
  <c r="N622" i="1"/>
  <c r="K624" i="1"/>
  <c r="P627" i="1"/>
  <c r="H627" i="1" s="1"/>
  <c r="H628" i="1" s="1"/>
  <c r="Q626" i="1"/>
  <c r="I625" i="1"/>
  <c r="Q632" i="2" l="1"/>
  <c r="P633" i="2"/>
  <c r="M627" i="2"/>
  <c r="N627" i="2"/>
  <c r="K629" i="2"/>
  <c r="L628" i="2"/>
  <c r="I631" i="2"/>
  <c r="H632" i="2"/>
  <c r="I632" i="2" s="1"/>
  <c r="K625" i="1"/>
  <c r="L625" i="1" s="1"/>
  <c r="N625" i="1" s="1"/>
  <c r="L624" i="1"/>
  <c r="I626" i="1"/>
  <c r="Q627" i="1"/>
  <c r="P628" i="1"/>
  <c r="M628" i="2" l="1"/>
  <c r="N628" i="2"/>
  <c r="Q633" i="2"/>
  <c r="P634" i="2"/>
  <c r="H633" i="2"/>
  <c r="K630" i="2"/>
  <c r="L629" i="2"/>
  <c r="M625" i="1"/>
  <c r="M624" i="1"/>
  <c r="N624" i="1"/>
  <c r="K626" i="1"/>
  <c r="P629" i="1"/>
  <c r="H629" i="1" s="1"/>
  <c r="H630" i="1" s="1"/>
  <c r="Q628" i="1"/>
  <c r="I627" i="1"/>
  <c r="M629" i="2" l="1"/>
  <c r="N629" i="2"/>
  <c r="Q634" i="2"/>
  <c r="P635" i="2"/>
  <c r="K631" i="2"/>
  <c r="L630" i="2"/>
  <c r="I633" i="2"/>
  <c r="H634" i="2"/>
  <c r="I634" i="2" s="1"/>
  <c r="K627" i="1"/>
  <c r="L627" i="1" s="1"/>
  <c r="N627" i="1" s="1"/>
  <c r="L626" i="1"/>
  <c r="I629" i="1"/>
  <c r="I628" i="1"/>
  <c r="P630" i="1"/>
  <c r="Q629" i="1"/>
  <c r="Q635" i="2" l="1"/>
  <c r="P636" i="2"/>
  <c r="H635" i="2"/>
  <c r="M630" i="2"/>
  <c r="N630" i="2"/>
  <c r="K632" i="2"/>
  <c r="L631" i="2"/>
  <c r="M627" i="1"/>
  <c r="M626" i="1"/>
  <c r="N626" i="1"/>
  <c r="K628" i="1"/>
  <c r="K629" i="1" s="1"/>
  <c r="P631" i="1"/>
  <c r="H631" i="1" s="1"/>
  <c r="H632" i="1" s="1"/>
  <c r="Q630" i="1"/>
  <c r="I635" i="2" l="1"/>
  <c r="H636" i="2"/>
  <c r="I636" i="2" s="1"/>
  <c r="M631" i="2"/>
  <c r="N631" i="2"/>
  <c r="Q636" i="2"/>
  <c r="P637" i="2"/>
  <c r="K633" i="2"/>
  <c r="L632" i="2"/>
  <c r="L629" i="1"/>
  <c r="N629" i="1" s="1"/>
  <c r="L628" i="1"/>
  <c r="I630" i="1"/>
  <c r="Q631" i="1"/>
  <c r="P632" i="1"/>
  <c r="M632" i="2" l="1"/>
  <c r="N632" i="2"/>
  <c r="K634" i="2"/>
  <c r="L633" i="2"/>
  <c r="Q637" i="2"/>
  <c r="P638" i="2"/>
  <c r="H637" i="2"/>
  <c r="M629" i="1"/>
  <c r="N628" i="1"/>
  <c r="M628" i="1"/>
  <c r="K630" i="1"/>
  <c r="L630" i="1" s="1"/>
  <c r="P633" i="1"/>
  <c r="H633" i="1" s="1"/>
  <c r="H634" i="1" s="1"/>
  <c r="Q632" i="1"/>
  <c r="I631" i="1"/>
  <c r="M633" i="2" l="1"/>
  <c r="N633" i="2"/>
  <c r="I637" i="2"/>
  <c r="H638" i="2"/>
  <c r="I638" i="2" s="1"/>
  <c r="K635" i="2"/>
  <c r="L634" i="2"/>
  <c r="Q638" i="2"/>
  <c r="P639" i="2"/>
  <c r="N630" i="1"/>
  <c r="M630" i="1"/>
  <c r="K631" i="1"/>
  <c r="L631" i="1" s="1"/>
  <c r="I632" i="1"/>
  <c r="P634" i="1"/>
  <c r="Q633" i="1"/>
  <c r="Q639" i="2" l="1"/>
  <c r="P640" i="2"/>
  <c r="H639" i="2"/>
  <c r="M634" i="2"/>
  <c r="N634" i="2"/>
  <c r="K636" i="2"/>
  <c r="L635" i="2"/>
  <c r="M631" i="1"/>
  <c r="N631" i="1"/>
  <c r="K632" i="1"/>
  <c r="L632" i="1" s="1"/>
  <c r="P635" i="1"/>
  <c r="H635" i="1" s="1"/>
  <c r="H636" i="1" s="1"/>
  <c r="Q634" i="1"/>
  <c r="I633" i="1"/>
  <c r="I639" i="2" l="1"/>
  <c r="H640" i="2"/>
  <c r="I640" i="2" s="1"/>
  <c r="M635" i="2"/>
  <c r="N635" i="2"/>
  <c r="Q640" i="2"/>
  <c r="P641" i="2"/>
  <c r="K637" i="2"/>
  <c r="L636" i="2"/>
  <c r="N632" i="1"/>
  <c r="M632" i="1"/>
  <c r="K633" i="1"/>
  <c r="L633" i="1" s="1"/>
  <c r="I634" i="1"/>
  <c r="Q635" i="1"/>
  <c r="P636" i="1"/>
  <c r="M636" i="2" l="1"/>
  <c r="N636" i="2"/>
  <c r="K638" i="2"/>
  <c r="L637" i="2"/>
  <c r="Q641" i="2"/>
  <c r="P642" i="2"/>
  <c r="H641" i="2"/>
  <c r="N633" i="1"/>
  <c r="M633" i="1"/>
  <c r="K634" i="1"/>
  <c r="L634" i="1" s="1"/>
  <c r="P637" i="1"/>
  <c r="H637" i="1" s="1"/>
  <c r="H638" i="1" s="1"/>
  <c r="Q636" i="1"/>
  <c r="I635" i="1"/>
  <c r="M637" i="2" l="1"/>
  <c r="N637" i="2"/>
  <c r="I641" i="2"/>
  <c r="H642" i="2"/>
  <c r="I642" i="2" s="1"/>
  <c r="K639" i="2"/>
  <c r="L638" i="2"/>
  <c r="Q642" i="2"/>
  <c r="P643" i="2"/>
  <c r="N634" i="1"/>
  <c r="M634" i="1"/>
  <c r="K635" i="1"/>
  <c r="L635" i="1" s="1"/>
  <c r="I636" i="1"/>
  <c r="P638" i="1"/>
  <c r="Q637" i="1"/>
  <c r="M638" i="2" l="1"/>
  <c r="N638" i="2"/>
  <c r="Q643" i="2"/>
  <c r="P644" i="2"/>
  <c r="H643" i="2"/>
  <c r="K640" i="2"/>
  <c r="L639" i="2"/>
  <c r="M635" i="1"/>
  <c r="N635" i="1"/>
  <c r="K636" i="1"/>
  <c r="L636" i="1" s="1"/>
  <c r="P639" i="1"/>
  <c r="H639" i="1" s="1"/>
  <c r="H640" i="1" s="1"/>
  <c r="Q638" i="1"/>
  <c r="I637" i="1"/>
  <c r="Q644" i="2" l="1"/>
  <c r="P645" i="2"/>
  <c r="M639" i="2"/>
  <c r="N639" i="2"/>
  <c r="K641" i="2"/>
  <c r="L640" i="2"/>
  <c r="I643" i="2"/>
  <c r="H644" i="2"/>
  <c r="I644" i="2" s="1"/>
  <c r="N636" i="1"/>
  <c r="M636" i="1"/>
  <c r="K637" i="1"/>
  <c r="L637" i="1" s="1"/>
  <c r="I638" i="1"/>
  <c r="Q639" i="1"/>
  <c r="P640" i="1"/>
  <c r="M640" i="2" l="1"/>
  <c r="N640" i="2"/>
  <c r="Q645" i="2"/>
  <c r="P646" i="2"/>
  <c r="H645" i="2"/>
  <c r="K642" i="2"/>
  <c r="L641" i="2"/>
  <c r="N637" i="1"/>
  <c r="M637" i="1"/>
  <c r="K638" i="1"/>
  <c r="L638" i="1" s="1"/>
  <c r="P641" i="1"/>
  <c r="H641" i="1" s="1"/>
  <c r="H642" i="1" s="1"/>
  <c r="Q640" i="1"/>
  <c r="I639" i="1"/>
  <c r="Q646" i="2" l="1"/>
  <c r="P647" i="2"/>
  <c r="M641" i="2"/>
  <c r="N641" i="2"/>
  <c r="K643" i="2"/>
  <c r="L642" i="2"/>
  <c r="I645" i="2"/>
  <c r="H646" i="2"/>
  <c r="I646" i="2" s="1"/>
  <c r="N638" i="1"/>
  <c r="M638" i="1"/>
  <c r="K639" i="1"/>
  <c r="L639" i="1" s="1"/>
  <c r="I640" i="1"/>
  <c r="P642" i="1"/>
  <c r="Q641" i="1"/>
  <c r="M642" i="2" l="1"/>
  <c r="N642" i="2"/>
  <c r="Q647" i="2"/>
  <c r="P648" i="2"/>
  <c r="H647" i="2"/>
  <c r="K644" i="2"/>
  <c r="L643" i="2"/>
  <c r="M639" i="1"/>
  <c r="N639" i="1"/>
  <c r="K640" i="1"/>
  <c r="L640" i="1" s="1"/>
  <c r="P643" i="1"/>
  <c r="H643" i="1" s="1"/>
  <c r="H644" i="1" s="1"/>
  <c r="Q642" i="1"/>
  <c r="I641" i="1"/>
  <c r="Q648" i="2" l="1"/>
  <c r="P649" i="2"/>
  <c r="M643" i="2"/>
  <c r="N643" i="2"/>
  <c r="K645" i="2"/>
  <c r="L644" i="2"/>
  <c r="I647" i="2"/>
  <c r="H648" i="2"/>
  <c r="I648" i="2" s="1"/>
  <c r="N640" i="1"/>
  <c r="M640" i="1"/>
  <c r="K641" i="1"/>
  <c r="L641" i="1" s="1"/>
  <c r="I642" i="1"/>
  <c r="Q643" i="1"/>
  <c r="P644" i="1"/>
  <c r="M644" i="2" l="1"/>
  <c r="N644" i="2"/>
  <c r="Q649" i="2"/>
  <c r="P650" i="2"/>
  <c r="H649" i="2"/>
  <c r="K646" i="2"/>
  <c r="L645" i="2"/>
  <c r="N641" i="1"/>
  <c r="M641" i="1"/>
  <c r="K642" i="1"/>
  <c r="L642" i="1" s="1"/>
  <c r="P645" i="1"/>
  <c r="H645" i="1" s="1"/>
  <c r="H646" i="1" s="1"/>
  <c r="Q644" i="1"/>
  <c r="I643" i="1"/>
  <c r="Q650" i="2" l="1"/>
  <c r="P651" i="2"/>
  <c r="M645" i="2"/>
  <c r="N645" i="2"/>
  <c r="K647" i="2"/>
  <c r="L646" i="2"/>
  <c r="I649" i="2"/>
  <c r="H650" i="2"/>
  <c r="I650" i="2" s="1"/>
  <c r="N642" i="1"/>
  <c r="M642" i="1"/>
  <c r="K643" i="1"/>
  <c r="L643" i="1" s="1"/>
  <c r="I644" i="1"/>
  <c r="P646" i="1"/>
  <c r="Q645" i="1"/>
  <c r="M646" i="2" l="1"/>
  <c r="N646" i="2"/>
  <c r="Q651" i="2"/>
  <c r="P652" i="2"/>
  <c r="H651" i="2"/>
  <c r="K648" i="2"/>
  <c r="L647" i="2"/>
  <c r="M643" i="1"/>
  <c r="N643" i="1"/>
  <c r="K644" i="1"/>
  <c r="L644" i="1" s="1"/>
  <c r="P647" i="1"/>
  <c r="H647" i="1" s="1"/>
  <c r="H648" i="1" s="1"/>
  <c r="Q646" i="1"/>
  <c r="I645" i="1"/>
  <c r="Q652" i="2" l="1"/>
  <c r="P653" i="2"/>
  <c r="M647" i="2"/>
  <c r="N647" i="2"/>
  <c r="K649" i="2"/>
  <c r="L648" i="2"/>
  <c r="I651" i="2"/>
  <c r="H652" i="2"/>
  <c r="I652" i="2" s="1"/>
  <c r="N644" i="1"/>
  <c r="M644" i="1"/>
  <c r="K645" i="1"/>
  <c r="L645" i="1" s="1"/>
  <c r="I646" i="1"/>
  <c r="Q647" i="1"/>
  <c r="P648" i="1"/>
  <c r="M648" i="2" l="1"/>
  <c r="N648" i="2"/>
  <c r="Q653" i="2"/>
  <c r="P654" i="2"/>
  <c r="H653" i="2"/>
  <c r="K650" i="2"/>
  <c r="L649" i="2"/>
  <c r="N645" i="1"/>
  <c r="M645" i="1"/>
  <c r="K646" i="1"/>
  <c r="L646" i="1" s="1"/>
  <c r="P649" i="1"/>
  <c r="H649" i="1" s="1"/>
  <c r="H650" i="1" s="1"/>
  <c r="Q648" i="1"/>
  <c r="I647" i="1"/>
  <c r="M649" i="2" l="1"/>
  <c r="N649" i="2"/>
  <c r="Q654" i="2"/>
  <c r="P655" i="2"/>
  <c r="K651" i="2"/>
  <c r="L650" i="2"/>
  <c r="I653" i="2"/>
  <c r="H654" i="2"/>
  <c r="I654" i="2" s="1"/>
  <c r="N646" i="1"/>
  <c r="M646" i="1"/>
  <c r="K647" i="1"/>
  <c r="L647" i="1" s="1"/>
  <c r="I648" i="1"/>
  <c r="P650" i="1"/>
  <c r="Q649" i="1"/>
  <c r="Q655" i="2" l="1"/>
  <c r="P656" i="2"/>
  <c r="H655" i="2"/>
  <c r="M650" i="2"/>
  <c r="N650" i="2"/>
  <c r="K652" i="2"/>
  <c r="L651" i="2"/>
  <c r="M647" i="1"/>
  <c r="N647" i="1"/>
  <c r="K648" i="1"/>
  <c r="L648" i="1" s="1"/>
  <c r="P651" i="1"/>
  <c r="H651" i="1" s="1"/>
  <c r="H652" i="1" s="1"/>
  <c r="Q650" i="1"/>
  <c r="I649" i="1"/>
  <c r="M651" i="2" l="1"/>
  <c r="N651" i="2"/>
  <c r="I655" i="2"/>
  <c r="H656" i="2"/>
  <c r="I656" i="2" s="1"/>
  <c r="K653" i="2"/>
  <c r="L652" i="2"/>
  <c r="Q656" i="2"/>
  <c r="P657" i="2"/>
  <c r="N648" i="1"/>
  <c r="M648" i="1"/>
  <c r="K649" i="1"/>
  <c r="L649" i="1" s="1"/>
  <c r="I650" i="1"/>
  <c r="Q651" i="1"/>
  <c r="P652" i="1"/>
  <c r="Q657" i="2" l="1"/>
  <c r="P658" i="2"/>
  <c r="H657" i="2"/>
  <c r="M652" i="2"/>
  <c r="N652" i="2"/>
  <c r="K654" i="2"/>
  <c r="L653" i="2"/>
  <c r="N649" i="1"/>
  <c r="M649" i="1"/>
  <c r="K650" i="1"/>
  <c r="L650" i="1" s="1"/>
  <c r="P653" i="1"/>
  <c r="H653" i="1" s="1"/>
  <c r="H654" i="1" s="1"/>
  <c r="Q652" i="1"/>
  <c r="I651" i="1"/>
  <c r="M653" i="2" l="1"/>
  <c r="N653" i="2"/>
  <c r="I657" i="2"/>
  <c r="H658" i="2"/>
  <c r="I658" i="2" s="1"/>
  <c r="Q658" i="2"/>
  <c r="P659" i="2"/>
  <c r="K655" i="2"/>
  <c r="L654" i="2"/>
  <c r="N650" i="1"/>
  <c r="M650" i="1"/>
  <c r="K651" i="1"/>
  <c r="L651" i="1" s="1"/>
  <c r="I652" i="1"/>
  <c r="P654" i="1"/>
  <c r="Q653" i="1"/>
  <c r="K656" i="2" l="1"/>
  <c r="L655" i="2"/>
  <c r="M654" i="2"/>
  <c r="N654" i="2"/>
  <c r="Q659" i="2"/>
  <c r="P660" i="2"/>
  <c r="H659" i="2"/>
  <c r="M651" i="1"/>
  <c r="N651" i="1"/>
  <c r="K652" i="1"/>
  <c r="L652" i="1" s="1"/>
  <c r="P655" i="1"/>
  <c r="H655" i="1" s="1"/>
  <c r="H656" i="1" s="1"/>
  <c r="Q654" i="1"/>
  <c r="I653" i="1"/>
  <c r="Q660" i="2" l="1"/>
  <c r="P661" i="2"/>
  <c r="M655" i="2"/>
  <c r="N655" i="2"/>
  <c r="I659" i="2"/>
  <c r="H660" i="2"/>
  <c r="I660" i="2" s="1"/>
  <c r="K657" i="2"/>
  <c r="L656" i="2"/>
  <c r="N652" i="1"/>
  <c r="M652" i="1"/>
  <c r="K653" i="1"/>
  <c r="L653" i="1" s="1"/>
  <c r="I654" i="1"/>
  <c r="Q655" i="1"/>
  <c r="P656" i="1"/>
  <c r="K658" i="2" l="1"/>
  <c r="L657" i="2"/>
  <c r="M656" i="2"/>
  <c r="N656" i="2"/>
  <c r="Q661" i="2"/>
  <c r="P662" i="2"/>
  <c r="H661" i="2"/>
  <c r="N653" i="1"/>
  <c r="M653" i="1"/>
  <c r="K654" i="1"/>
  <c r="L654" i="1" s="1"/>
  <c r="P657" i="1"/>
  <c r="H657" i="1" s="1"/>
  <c r="H658" i="1" s="1"/>
  <c r="Q656" i="1"/>
  <c r="I655" i="1"/>
  <c r="I661" i="2" l="1"/>
  <c r="H662" i="2"/>
  <c r="I662" i="2" s="1"/>
  <c r="Q662" i="2"/>
  <c r="P663" i="2"/>
  <c r="M657" i="2"/>
  <c r="N657" i="2"/>
  <c r="K659" i="2"/>
  <c r="L658" i="2"/>
  <c r="N654" i="1"/>
  <c r="M654" i="1"/>
  <c r="K655" i="1"/>
  <c r="L655" i="1" s="1"/>
  <c r="I656" i="1"/>
  <c r="P658" i="1"/>
  <c r="Q657" i="1"/>
  <c r="M658" i="2" l="1"/>
  <c r="N658" i="2"/>
  <c r="Q663" i="2"/>
  <c r="P664" i="2"/>
  <c r="H663" i="2"/>
  <c r="K660" i="2"/>
  <c r="L659" i="2"/>
  <c r="M655" i="1"/>
  <c r="N655" i="1"/>
  <c r="K656" i="1"/>
  <c r="L656" i="1" s="1"/>
  <c r="P659" i="1"/>
  <c r="H659" i="1" s="1"/>
  <c r="H660" i="1" s="1"/>
  <c r="Q658" i="1"/>
  <c r="I657" i="1"/>
  <c r="M659" i="2" l="1"/>
  <c r="N659" i="2"/>
  <c r="Q664" i="2"/>
  <c r="P665" i="2"/>
  <c r="K661" i="2"/>
  <c r="L660" i="2"/>
  <c r="I663" i="2"/>
  <c r="H664" i="2"/>
  <c r="I664" i="2" s="1"/>
  <c r="N656" i="1"/>
  <c r="M656" i="1"/>
  <c r="K657" i="1"/>
  <c r="L657" i="1" s="1"/>
  <c r="I658" i="1"/>
  <c r="Q659" i="1"/>
  <c r="P660" i="1"/>
  <c r="Q665" i="2" l="1"/>
  <c r="P666" i="2"/>
  <c r="H665" i="2"/>
  <c r="M660" i="2"/>
  <c r="N660" i="2"/>
  <c r="K662" i="2"/>
  <c r="L661" i="2"/>
  <c r="N657" i="1"/>
  <c r="M657" i="1"/>
  <c r="K658" i="1"/>
  <c r="L658" i="1" s="1"/>
  <c r="P661" i="1"/>
  <c r="H661" i="1" s="1"/>
  <c r="H662" i="1" s="1"/>
  <c r="Q660" i="1"/>
  <c r="I659" i="1"/>
  <c r="I665" i="2" l="1"/>
  <c r="H666" i="2"/>
  <c r="I666" i="2" s="1"/>
  <c r="M661" i="2"/>
  <c r="N661" i="2"/>
  <c r="Q666" i="2"/>
  <c r="P667" i="2"/>
  <c r="K663" i="2"/>
  <c r="L662" i="2"/>
  <c r="N658" i="1"/>
  <c r="M658" i="1"/>
  <c r="K659" i="1"/>
  <c r="L659" i="1" s="1"/>
  <c r="I660" i="1"/>
  <c r="P662" i="1"/>
  <c r="Q661" i="1"/>
  <c r="M662" i="2" l="1"/>
  <c r="N662" i="2"/>
  <c r="K664" i="2"/>
  <c r="L663" i="2"/>
  <c r="Q667" i="2"/>
  <c r="P668" i="2"/>
  <c r="H667" i="2"/>
  <c r="M659" i="1"/>
  <c r="N659" i="1"/>
  <c r="K660" i="1"/>
  <c r="L660" i="1" s="1"/>
  <c r="P663" i="1"/>
  <c r="H663" i="1" s="1"/>
  <c r="H664" i="1" s="1"/>
  <c r="Q662" i="1"/>
  <c r="I661" i="1"/>
  <c r="M663" i="2" l="1"/>
  <c r="N663" i="2"/>
  <c r="I667" i="2"/>
  <c r="H668" i="2"/>
  <c r="I668" i="2" s="1"/>
  <c r="K665" i="2"/>
  <c r="L664" i="2"/>
  <c r="Q668" i="2"/>
  <c r="P669" i="2"/>
  <c r="N660" i="1"/>
  <c r="M660" i="1"/>
  <c r="K661" i="1"/>
  <c r="L661" i="1" s="1"/>
  <c r="I662" i="1"/>
  <c r="Q663" i="1"/>
  <c r="P664" i="1"/>
  <c r="M664" i="2" l="1"/>
  <c r="N664" i="2"/>
  <c r="Q669" i="2"/>
  <c r="P670" i="2"/>
  <c r="H669" i="2"/>
  <c r="K666" i="2"/>
  <c r="L665" i="2"/>
  <c r="N661" i="1"/>
  <c r="M661" i="1"/>
  <c r="K662" i="1"/>
  <c r="L662" i="1" s="1"/>
  <c r="P665" i="1"/>
  <c r="H665" i="1" s="1"/>
  <c r="H666" i="1" s="1"/>
  <c r="Q664" i="1"/>
  <c r="I663" i="1"/>
  <c r="Q670" i="2" l="1"/>
  <c r="P671" i="2"/>
  <c r="M665" i="2"/>
  <c r="N665" i="2"/>
  <c r="K667" i="2"/>
  <c r="L666" i="2"/>
  <c r="I669" i="2"/>
  <c r="H670" i="2"/>
  <c r="I670" i="2" s="1"/>
  <c r="N662" i="1"/>
  <c r="M662" i="1"/>
  <c r="K663" i="1"/>
  <c r="L663" i="1" s="1"/>
  <c r="I664" i="1"/>
  <c r="P666" i="1"/>
  <c r="Q665" i="1"/>
  <c r="M666" i="2" l="1"/>
  <c r="N666" i="2"/>
  <c r="Q671" i="2"/>
  <c r="P672" i="2"/>
  <c r="H671" i="2"/>
  <c r="K668" i="2"/>
  <c r="L667" i="2"/>
  <c r="M663" i="1"/>
  <c r="N663" i="1"/>
  <c r="K664" i="1"/>
  <c r="L664" i="1" s="1"/>
  <c r="P667" i="1"/>
  <c r="H667" i="1" s="1"/>
  <c r="H668" i="1" s="1"/>
  <c r="Q666" i="1"/>
  <c r="I665" i="1"/>
  <c r="M667" i="2" l="1"/>
  <c r="N667" i="2"/>
  <c r="Q672" i="2"/>
  <c r="P673" i="2"/>
  <c r="K669" i="2"/>
  <c r="L668" i="2"/>
  <c r="I671" i="2"/>
  <c r="H672" i="2"/>
  <c r="I672" i="2" s="1"/>
  <c r="N664" i="1"/>
  <c r="M664" i="1"/>
  <c r="K665" i="1"/>
  <c r="L665" i="1" s="1"/>
  <c r="I666" i="1"/>
  <c r="P668" i="1"/>
  <c r="Q667" i="1"/>
  <c r="Q673" i="2" l="1"/>
  <c r="P674" i="2"/>
  <c r="H673" i="2"/>
  <c r="M668" i="2"/>
  <c r="N668" i="2"/>
  <c r="K670" i="2"/>
  <c r="L669" i="2"/>
  <c r="N665" i="1"/>
  <c r="M665" i="1"/>
  <c r="K666" i="1"/>
  <c r="L666" i="1" s="1"/>
  <c r="P669" i="1"/>
  <c r="H669" i="1" s="1"/>
  <c r="H670" i="1" s="1"/>
  <c r="Q668" i="1"/>
  <c r="I667" i="1"/>
  <c r="I673" i="2" l="1"/>
  <c r="H674" i="2"/>
  <c r="I674" i="2" s="1"/>
  <c r="M669" i="2"/>
  <c r="N669" i="2"/>
  <c r="Q674" i="2"/>
  <c r="P675" i="2"/>
  <c r="K671" i="2"/>
  <c r="L670" i="2"/>
  <c r="N666" i="1"/>
  <c r="M666" i="1"/>
  <c r="K667" i="1"/>
  <c r="L667" i="1" s="1"/>
  <c r="I668" i="1"/>
  <c r="P670" i="1"/>
  <c r="Q669" i="1"/>
  <c r="M670" i="2" l="1"/>
  <c r="N670" i="2"/>
  <c r="K672" i="2"/>
  <c r="L671" i="2"/>
  <c r="Q675" i="2"/>
  <c r="P676" i="2"/>
  <c r="H675" i="2"/>
  <c r="N667" i="1"/>
  <c r="M667" i="1"/>
  <c r="K668" i="1"/>
  <c r="L668" i="1" s="1"/>
  <c r="P671" i="1"/>
  <c r="H671" i="1" s="1"/>
  <c r="H672" i="1" s="1"/>
  <c r="Q670" i="1"/>
  <c r="I669" i="1"/>
  <c r="M671" i="2" l="1"/>
  <c r="N671" i="2"/>
  <c r="I675" i="2"/>
  <c r="H676" i="2"/>
  <c r="I676" i="2" s="1"/>
  <c r="K673" i="2"/>
  <c r="L672" i="2"/>
  <c r="Q676" i="2"/>
  <c r="P677" i="2"/>
  <c r="M668" i="1"/>
  <c r="N668" i="1"/>
  <c r="K669" i="1"/>
  <c r="L669" i="1" s="1"/>
  <c r="I670" i="1"/>
  <c r="P672" i="1"/>
  <c r="Q671" i="1"/>
  <c r="Q677" i="2" l="1"/>
  <c r="P678" i="2"/>
  <c r="H677" i="2"/>
  <c r="M672" i="2"/>
  <c r="N672" i="2"/>
  <c r="K674" i="2"/>
  <c r="L673" i="2"/>
  <c r="M669" i="1"/>
  <c r="N669" i="1"/>
  <c r="K670" i="1"/>
  <c r="L670" i="1" s="1"/>
  <c r="P673" i="1"/>
  <c r="H673" i="1" s="1"/>
  <c r="H674" i="1" s="1"/>
  <c r="Q672" i="1"/>
  <c r="I671" i="1"/>
  <c r="I677" i="2" l="1"/>
  <c r="H678" i="2"/>
  <c r="I678" i="2" s="1"/>
  <c r="M673" i="2"/>
  <c r="N673" i="2"/>
  <c r="Q678" i="2"/>
  <c r="P679" i="2"/>
  <c r="K675" i="2"/>
  <c r="L674" i="2"/>
  <c r="M670" i="1"/>
  <c r="N670" i="1"/>
  <c r="K671" i="1"/>
  <c r="L671" i="1" s="1"/>
  <c r="I672" i="1"/>
  <c r="P674" i="1"/>
  <c r="Q673" i="1"/>
  <c r="M674" i="2" l="1"/>
  <c r="N674" i="2"/>
  <c r="K676" i="2"/>
  <c r="L675" i="2"/>
  <c r="Q679" i="2"/>
  <c r="P680" i="2"/>
  <c r="H679" i="2"/>
  <c r="M671" i="1"/>
  <c r="N671" i="1"/>
  <c r="K672" i="1"/>
  <c r="L672" i="1" s="1"/>
  <c r="P675" i="1"/>
  <c r="H675" i="1" s="1"/>
  <c r="H676" i="1" s="1"/>
  <c r="Q674" i="1"/>
  <c r="I673" i="1"/>
  <c r="M675" i="2" l="1"/>
  <c r="N675" i="2"/>
  <c r="I679" i="2"/>
  <c r="H680" i="2"/>
  <c r="I680" i="2" s="1"/>
  <c r="K677" i="2"/>
  <c r="L676" i="2"/>
  <c r="Q680" i="2"/>
  <c r="P681" i="2"/>
  <c r="M672" i="1"/>
  <c r="N672" i="1"/>
  <c r="K673" i="1"/>
  <c r="L673" i="1" s="1"/>
  <c r="I674" i="1"/>
  <c r="P676" i="1"/>
  <c r="Q675" i="1"/>
  <c r="M676" i="2" l="1"/>
  <c r="N676" i="2"/>
  <c r="Q681" i="2"/>
  <c r="P682" i="2"/>
  <c r="H681" i="2"/>
  <c r="K678" i="2"/>
  <c r="L677" i="2"/>
  <c r="M673" i="1"/>
  <c r="N673" i="1"/>
  <c r="K674" i="1"/>
  <c r="L674" i="1" s="1"/>
  <c r="P677" i="1"/>
  <c r="H677" i="1" s="1"/>
  <c r="H678" i="1" s="1"/>
  <c r="Q676" i="1"/>
  <c r="I675" i="1"/>
  <c r="Q682" i="2" l="1"/>
  <c r="P683" i="2"/>
  <c r="M677" i="2"/>
  <c r="N677" i="2"/>
  <c r="K679" i="2"/>
  <c r="L678" i="2"/>
  <c r="I681" i="2"/>
  <c r="H682" i="2"/>
  <c r="I682" i="2" s="1"/>
  <c r="M674" i="1"/>
  <c r="N674" i="1"/>
  <c r="K675" i="1"/>
  <c r="L675" i="1" s="1"/>
  <c r="I677" i="1"/>
  <c r="I676" i="1"/>
  <c r="P678" i="1"/>
  <c r="Q677" i="1"/>
  <c r="M678" i="2" l="1"/>
  <c r="N678" i="2"/>
  <c r="Q683" i="2"/>
  <c r="P684" i="2"/>
  <c r="H683" i="2"/>
  <c r="K680" i="2"/>
  <c r="L679" i="2"/>
  <c r="N675" i="1"/>
  <c r="M675" i="1"/>
  <c r="K676" i="1"/>
  <c r="K677" i="1" s="1"/>
  <c r="L677" i="1" s="1"/>
  <c r="P679" i="1"/>
  <c r="H679" i="1" s="1"/>
  <c r="H680" i="1" s="1"/>
  <c r="Q678" i="1"/>
  <c r="Q684" i="2" l="1"/>
  <c r="P685" i="2"/>
  <c r="M679" i="2"/>
  <c r="N679" i="2"/>
  <c r="K681" i="2"/>
  <c r="L680" i="2"/>
  <c r="I683" i="2"/>
  <c r="H684" i="2"/>
  <c r="I684" i="2" s="1"/>
  <c r="L676" i="1"/>
  <c r="N677" i="1"/>
  <c r="P680" i="1"/>
  <c r="Q679" i="1"/>
  <c r="I678" i="1"/>
  <c r="M680" i="2" l="1"/>
  <c r="N680" i="2"/>
  <c r="Q685" i="2"/>
  <c r="P686" i="2"/>
  <c r="H685" i="2"/>
  <c r="K682" i="2"/>
  <c r="L681" i="2"/>
  <c r="N676" i="1"/>
  <c r="M676" i="1"/>
  <c r="M677" i="1"/>
  <c r="K678" i="1"/>
  <c r="I679" i="1"/>
  <c r="P681" i="1"/>
  <c r="H681" i="1" s="1"/>
  <c r="H682" i="1" s="1"/>
  <c r="Q680" i="1"/>
  <c r="Q686" i="2" l="1"/>
  <c r="P687" i="2"/>
  <c r="M681" i="2"/>
  <c r="N681" i="2"/>
  <c r="K683" i="2"/>
  <c r="L682" i="2"/>
  <c r="I685" i="2"/>
  <c r="H686" i="2"/>
  <c r="I686" i="2" s="1"/>
  <c r="K679" i="1"/>
  <c r="L679" i="1" s="1"/>
  <c r="L678" i="1"/>
  <c r="P682" i="1"/>
  <c r="Q681" i="1"/>
  <c r="I680" i="1"/>
  <c r="M682" i="2" l="1"/>
  <c r="N682" i="2"/>
  <c r="Q687" i="2"/>
  <c r="P688" i="2"/>
  <c r="H687" i="2"/>
  <c r="K684" i="2"/>
  <c r="L683" i="2"/>
  <c r="N679" i="1"/>
  <c r="M679" i="1"/>
  <c r="M678" i="1"/>
  <c r="N678" i="1"/>
  <c r="K680" i="1"/>
  <c r="I681" i="1"/>
  <c r="P683" i="1"/>
  <c r="H683" i="1" s="1"/>
  <c r="H684" i="1" s="1"/>
  <c r="Q682" i="1"/>
  <c r="M683" i="2" l="1"/>
  <c r="N683" i="2"/>
  <c r="Q688" i="2"/>
  <c r="P689" i="2"/>
  <c r="K685" i="2"/>
  <c r="L684" i="2"/>
  <c r="I687" i="2"/>
  <c r="H688" i="2"/>
  <c r="I688" i="2" s="1"/>
  <c r="K681" i="1"/>
  <c r="L681" i="1" s="1"/>
  <c r="N681" i="1" s="1"/>
  <c r="L680" i="1"/>
  <c r="P684" i="1"/>
  <c r="Q683" i="1"/>
  <c r="I682" i="1"/>
  <c r="Q689" i="2" l="1"/>
  <c r="P690" i="2"/>
  <c r="H689" i="2"/>
  <c r="M684" i="2"/>
  <c r="N684" i="2"/>
  <c r="K686" i="2"/>
  <c r="L685" i="2"/>
  <c r="M681" i="1"/>
  <c r="M680" i="1"/>
  <c r="N680" i="1"/>
  <c r="K682" i="1"/>
  <c r="I683" i="1"/>
  <c r="P685" i="1"/>
  <c r="H685" i="1" s="1"/>
  <c r="H686" i="1" s="1"/>
  <c r="Q684" i="1"/>
  <c r="I689" i="2" l="1"/>
  <c r="H690" i="2"/>
  <c r="I690" i="2" s="1"/>
  <c r="K687" i="2"/>
  <c r="L686" i="2"/>
  <c r="Q690" i="2"/>
  <c r="P691" i="2"/>
  <c r="M685" i="2"/>
  <c r="N685" i="2"/>
  <c r="K683" i="1"/>
  <c r="L683" i="1" s="1"/>
  <c r="L682" i="1"/>
  <c r="P686" i="1"/>
  <c r="Q685" i="1"/>
  <c r="I684" i="1"/>
  <c r="M686" i="2" l="1"/>
  <c r="N686" i="2"/>
  <c r="K688" i="2"/>
  <c r="L687" i="2"/>
  <c r="Q691" i="2"/>
  <c r="P692" i="2"/>
  <c r="H691" i="2"/>
  <c r="N683" i="1"/>
  <c r="M683" i="1"/>
  <c r="M682" i="1"/>
  <c r="N682" i="1"/>
  <c r="K684" i="1"/>
  <c r="I685" i="1"/>
  <c r="P687" i="1"/>
  <c r="H687" i="1" s="1"/>
  <c r="H688" i="1" s="1"/>
  <c r="Q686" i="1"/>
  <c r="M687" i="2" l="1"/>
  <c r="N687" i="2"/>
  <c r="I691" i="2"/>
  <c r="H692" i="2"/>
  <c r="I692" i="2" s="1"/>
  <c r="K689" i="2"/>
  <c r="L688" i="2"/>
  <c r="Q692" i="2"/>
  <c r="P693" i="2"/>
  <c r="K685" i="1"/>
  <c r="L685" i="1" s="1"/>
  <c r="N685" i="1" s="1"/>
  <c r="L684" i="1"/>
  <c r="P688" i="1"/>
  <c r="Q687" i="1"/>
  <c r="I686" i="1"/>
  <c r="Q693" i="2" l="1"/>
  <c r="P694" i="2"/>
  <c r="H693" i="2"/>
  <c r="M688" i="2"/>
  <c r="N688" i="2"/>
  <c r="K690" i="2"/>
  <c r="L689" i="2"/>
  <c r="M685" i="1"/>
  <c r="M684" i="1"/>
  <c r="N684" i="1"/>
  <c r="K686" i="1"/>
  <c r="I687" i="1"/>
  <c r="P689" i="1"/>
  <c r="H689" i="1" s="1"/>
  <c r="H690" i="1" s="1"/>
  <c r="Q688" i="1"/>
  <c r="I693" i="2" l="1"/>
  <c r="H694" i="2"/>
  <c r="I694" i="2" s="1"/>
  <c r="M689" i="2"/>
  <c r="N689" i="2"/>
  <c r="Q694" i="2"/>
  <c r="P695" i="2"/>
  <c r="K691" i="2"/>
  <c r="L690" i="2"/>
  <c r="K687" i="1"/>
  <c r="L687" i="1" s="1"/>
  <c r="L686" i="1"/>
  <c r="P690" i="1"/>
  <c r="Q689" i="1"/>
  <c r="I688" i="1"/>
  <c r="M690" i="2" l="1"/>
  <c r="N690" i="2"/>
  <c r="K692" i="2"/>
  <c r="L691" i="2"/>
  <c r="Q695" i="2"/>
  <c r="P696" i="2"/>
  <c r="H695" i="2"/>
  <c r="N687" i="1"/>
  <c r="M687" i="1"/>
  <c r="M686" i="1"/>
  <c r="N686" i="1"/>
  <c r="K688" i="1"/>
  <c r="I689" i="1"/>
  <c r="P691" i="1"/>
  <c r="H691" i="1" s="1"/>
  <c r="H692" i="1" s="1"/>
  <c r="Q690" i="1"/>
  <c r="M691" i="2" l="1"/>
  <c r="N691" i="2"/>
  <c r="I695" i="2"/>
  <c r="H696" i="2"/>
  <c r="I696" i="2" s="1"/>
  <c r="K693" i="2"/>
  <c r="L692" i="2"/>
  <c r="Q696" i="2"/>
  <c r="P697" i="2"/>
  <c r="K689" i="1"/>
  <c r="L689" i="1" s="1"/>
  <c r="N689" i="1" s="1"/>
  <c r="L688" i="1"/>
  <c r="P692" i="1"/>
  <c r="Q691" i="1"/>
  <c r="I690" i="1"/>
  <c r="Q697" i="2" l="1"/>
  <c r="P698" i="2"/>
  <c r="H697" i="2"/>
  <c r="M692" i="2"/>
  <c r="N692" i="2"/>
  <c r="K694" i="2"/>
  <c r="L693" i="2"/>
  <c r="M689" i="1"/>
  <c r="M688" i="1"/>
  <c r="N688" i="1"/>
  <c r="K690" i="1"/>
  <c r="I691" i="1"/>
  <c r="P693" i="1"/>
  <c r="H693" i="1" s="1"/>
  <c r="H694" i="1" s="1"/>
  <c r="Q692" i="1"/>
  <c r="I697" i="2" l="1"/>
  <c r="H698" i="2"/>
  <c r="I698" i="2" s="1"/>
  <c r="M693" i="2"/>
  <c r="N693" i="2"/>
  <c r="Q698" i="2"/>
  <c r="P699" i="2"/>
  <c r="K695" i="2"/>
  <c r="L694" i="2"/>
  <c r="K691" i="1"/>
  <c r="L691" i="1" s="1"/>
  <c r="L690" i="1"/>
  <c r="P694" i="1"/>
  <c r="Q693" i="1"/>
  <c r="I692" i="1"/>
  <c r="M694" i="2" l="1"/>
  <c r="N694" i="2"/>
  <c r="K696" i="2"/>
  <c r="L695" i="2"/>
  <c r="P700" i="2"/>
  <c r="Q699" i="2"/>
  <c r="H699" i="2"/>
  <c r="N691" i="1"/>
  <c r="M691" i="1"/>
  <c r="M690" i="1"/>
  <c r="N690" i="1"/>
  <c r="K692" i="1"/>
  <c r="I693" i="1"/>
  <c r="P695" i="1"/>
  <c r="H695" i="1" s="1"/>
  <c r="H696" i="1" s="1"/>
  <c r="Q694" i="1"/>
  <c r="M695" i="2" l="1"/>
  <c r="N695" i="2"/>
  <c r="K697" i="2"/>
  <c r="L696" i="2"/>
  <c r="H700" i="2"/>
  <c r="I700" i="2" s="1"/>
  <c r="I699" i="2"/>
  <c r="Q700" i="2"/>
  <c r="P701" i="2"/>
  <c r="K693" i="1"/>
  <c r="L693" i="1" s="1"/>
  <c r="N693" i="1" s="1"/>
  <c r="L692" i="1"/>
  <c r="P696" i="1"/>
  <c r="Q695" i="1"/>
  <c r="I694" i="1"/>
  <c r="P702" i="2" l="1"/>
  <c r="Q701" i="2"/>
  <c r="H701" i="2"/>
  <c r="M696" i="2"/>
  <c r="N696" i="2"/>
  <c r="K698" i="2"/>
  <c r="L697" i="2"/>
  <c r="M693" i="1"/>
  <c r="M692" i="1"/>
  <c r="N692" i="1"/>
  <c r="K694" i="1"/>
  <c r="I695" i="1"/>
  <c r="P697" i="1"/>
  <c r="H697" i="1" s="1"/>
  <c r="H698" i="1" s="1"/>
  <c r="Q696" i="1"/>
  <c r="M697" i="2" l="1"/>
  <c r="N697" i="2"/>
  <c r="H702" i="2"/>
  <c r="I702" i="2" s="1"/>
  <c r="I701" i="2"/>
  <c r="K699" i="2"/>
  <c r="L698" i="2"/>
  <c r="Q702" i="2"/>
  <c r="P703" i="2"/>
  <c r="K695" i="1"/>
  <c r="L695" i="1" s="1"/>
  <c r="L694" i="1"/>
  <c r="P698" i="1"/>
  <c r="Q697" i="1"/>
  <c r="I696" i="1"/>
  <c r="P704" i="2" l="1"/>
  <c r="Q703" i="2"/>
  <c r="H703" i="2"/>
  <c r="M698" i="2"/>
  <c r="N698" i="2"/>
  <c r="K700" i="2"/>
  <c r="L699" i="2"/>
  <c r="N695" i="1"/>
  <c r="M695" i="1"/>
  <c r="M694" i="1"/>
  <c r="N694" i="1"/>
  <c r="K696" i="1"/>
  <c r="I697" i="1"/>
  <c r="P699" i="1"/>
  <c r="H699" i="1" s="1"/>
  <c r="H700" i="1" s="1"/>
  <c r="Q698" i="1"/>
  <c r="H704" i="2" l="1"/>
  <c r="I704" i="2" s="1"/>
  <c r="I703" i="2"/>
  <c r="M699" i="2"/>
  <c r="N699" i="2"/>
  <c r="K701" i="2"/>
  <c r="L700" i="2"/>
  <c r="Q704" i="2"/>
  <c r="P705" i="2"/>
  <c r="K697" i="1"/>
  <c r="L697" i="1" s="1"/>
  <c r="N697" i="1" s="1"/>
  <c r="L696" i="1"/>
  <c r="P700" i="1"/>
  <c r="Q699" i="1"/>
  <c r="I698" i="1"/>
  <c r="P706" i="2" l="1"/>
  <c r="Q705" i="2"/>
  <c r="H705" i="2"/>
  <c r="K702" i="2"/>
  <c r="L701" i="2"/>
  <c r="M700" i="2"/>
  <c r="N700" i="2"/>
  <c r="M697" i="1"/>
  <c r="M696" i="1"/>
  <c r="N696" i="1"/>
  <c r="K698" i="1"/>
  <c r="I699" i="1"/>
  <c r="P701" i="1"/>
  <c r="H701" i="1" s="1"/>
  <c r="H702" i="1" s="1"/>
  <c r="Q700" i="1"/>
  <c r="K703" i="2" l="1"/>
  <c r="L702" i="2"/>
  <c r="H706" i="2"/>
  <c r="I706" i="2" s="1"/>
  <c r="I705" i="2"/>
  <c r="N701" i="2"/>
  <c r="M701" i="2"/>
  <c r="P707" i="2"/>
  <c r="Q706" i="2"/>
  <c r="K699" i="1"/>
  <c r="L699" i="1" s="1"/>
  <c r="L698" i="1"/>
  <c r="P702" i="1"/>
  <c r="Q701" i="1"/>
  <c r="I700" i="1"/>
  <c r="M702" i="2" l="1"/>
  <c r="N702" i="2"/>
  <c r="P708" i="2"/>
  <c r="Q707" i="2"/>
  <c r="H707" i="2"/>
  <c r="K704" i="2"/>
  <c r="L703" i="2"/>
  <c r="N699" i="1"/>
  <c r="M699" i="1"/>
  <c r="M698" i="1"/>
  <c r="N698" i="1"/>
  <c r="K700" i="1"/>
  <c r="I701" i="1"/>
  <c r="P703" i="1"/>
  <c r="H703" i="1" s="1"/>
  <c r="H704" i="1" s="1"/>
  <c r="Q702" i="1"/>
  <c r="N703" i="2" l="1"/>
  <c r="M703" i="2"/>
  <c r="P709" i="2"/>
  <c r="Q708" i="2"/>
  <c r="K705" i="2"/>
  <c r="L704" i="2"/>
  <c r="H708" i="2"/>
  <c r="I708" i="2" s="1"/>
  <c r="I707" i="2"/>
  <c r="K701" i="1"/>
  <c r="L701" i="1" s="1"/>
  <c r="N701" i="1" s="1"/>
  <c r="L700" i="1"/>
  <c r="P704" i="1"/>
  <c r="Q703" i="1"/>
  <c r="I702" i="1"/>
  <c r="P710" i="2" l="1"/>
  <c r="Q709" i="2"/>
  <c r="H709" i="2"/>
  <c r="M704" i="2"/>
  <c r="N704" i="2"/>
  <c r="K706" i="2"/>
  <c r="L705" i="2"/>
  <c r="M701" i="1"/>
  <c r="M700" i="1"/>
  <c r="N700" i="1"/>
  <c r="K702" i="1"/>
  <c r="I703" i="1"/>
  <c r="P705" i="1"/>
  <c r="H705" i="1" s="1"/>
  <c r="H706" i="1" s="1"/>
  <c r="Q704" i="1"/>
  <c r="N705" i="2" l="1"/>
  <c r="M705" i="2"/>
  <c r="H710" i="2"/>
  <c r="I710" i="2" s="1"/>
  <c r="I709" i="2"/>
  <c r="K707" i="2"/>
  <c r="L706" i="2"/>
  <c r="P711" i="2"/>
  <c r="Q710" i="2"/>
  <c r="K703" i="1"/>
  <c r="L703" i="1" s="1"/>
  <c r="L702" i="1"/>
  <c r="P706" i="1"/>
  <c r="Q705" i="1"/>
  <c r="I704" i="1"/>
  <c r="M706" i="2" l="1"/>
  <c r="N706" i="2"/>
  <c r="P712" i="2"/>
  <c r="Q711" i="2"/>
  <c r="H711" i="2"/>
  <c r="L707" i="2"/>
  <c r="K708" i="2"/>
  <c r="N703" i="1"/>
  <c r="M703" i="1"/>
  <c r="M702" i="1"/>
  <c r="N702" i="1"/>
  <c r="K704" i="1"/>
  <c r="I705" i="1"/>
  <c r="P707" i="1"/>
  <c r="H707" i="1" s="1"/>
  <c r="H708" i="1" s="1"/>
  <c r="Q706" i="1"/>
  <c r="K709" i="2" l="1"/>
  <c r="L708" i="2"/>
  <c r="P713" i="2"/>
  <c r="Q712" i="2"/>
  <c r="N707" i="2"/>
  <c r="M707" i="2"/>
  <c r="H712" i="2"/>
  <c r="I712" i="2" s="1"/>
  <c r="I711" i="2"/>
  <c r="K705" i="1"/>
  <c r="L705" i="1" s="1"/>
  <c r="N705" i="1" s="1"/>
  <c r="L704" i="1"/>
  <c r="P708" i="1"/>
  <c r="Q707" i="1"/>
  <c r="I706" i="1"/>
  <c r="P714" i="2" l="1"/>
  <c r="Q713" i="2"/>
  <c r="H713" i="2"/>
  <c r="N708" i="2"/>
  <c r="M708" i="2"/>
  <c r="L709" i="2"/>
  <c r="K710" i="2"/>
  <c r="M705" i="1"/>
  <c r="M704" i="1"/>
  <c r="N704" i="1"/>
  <c r="K706" i="1"/>
  <c r="I707" i="1"/>
  <c r="P709" i="1"/>
  <c r="H709" i="1" s="1"/>
  <c r="H710" i="1" s="1"/>
  <c r="Q708" i="1"/>
  <c r="H714" i="2" l="1"/>
  <c r="I714" i="2" s="1"/>
  <c r="I713" i="2"/>
  <c r="K711" i="2"/>
  <c r="L710" i="2"/>
  <c r="N709" i="2"/>
  <c r="M709" i="2"/>
  <c r="P715" i="2"/>
  <c r="Q714" i="2"/>
  <c r="K707" i="1"/>
  <c r="L707" i="1" s="1"/>
  <c r="L706" i="1"/>
  <c r="P710" i="1"/>
  <c r="Q709" i="1"/>
  <c r="I708" i="1"/>
  <c r="N710" i="2" l="1"/>
  <c r="M710" i="2"/>
  <c r="L711" i="2"/>
  <c r="K712" i="2"/>
  <c r="P716" i="2"/>
  <c r="Q715" i="2"/>
  <c r="H715" i="2"/>
  <c r="N707" i="1"/>
  <c r="M707" i="1"/>
  <c r="M706" i="1"/>
  <c r="N706" i="1"/>
  <c r="K708" i="1"/>
  <c r="I709" i="1"/>
  <c r="P711" i="1"/>
  <c r="H711" i="1" s="1"/>
  <c r="H712" i="1" s="1"/>
  <c r="Q710" i="1"/>
  <c r="K713" i="2" l="1"/>
  <c r="L712" i="2"/>
  <c r="H716" i="2"/>
  <c r="I716" i="2" s="1"/>
  <c r="I715" i="2"/>
  <c r="N711" i="2"/>
  <c r="M711" i="2"/>
  <c r="P717" i="2"/>
  <c r="Q716" i="2"/>
  <c r="K709" i="1"/>
  <c r="L709" i="1" s="1"/>
  <c r="N709" i="1" s="1"/>
  <c r="L708" i="1"/>
  <c r="P712" i="1"/>
  <c r="Q711" i="1"/>
  <c r="I710" i="1"/>
  <c r="P718" i="2" l="1"/>
  <c r="Q717" i="2"/>
  <c r="H717" i="2"/>
  <c r="N712" i="2"/>
  <c r="M712" i="2"/>
  <c r="L713" i="2"/>
  <c r="K714" i="2"/>
  <c r="M709" i="1"/>
  <c r="M708" i="1"/>
  <c r="N708" i="1"/>
  <c r="K710" i="1"/>
  <c r="I711" i="1"/>
  <c r="P713" i="1"/>
  <c r="H713" i="1" s="1"/>
  <c r="H714" i="1" s="1"/>
  <c r="Q712" i="1"/>
  <c r="K715" i="2" l="1"/>
  <c r="L714" i="2"/>
  <c r="N713" i="2"/>
  <c r="M713" i="2"/>
  <c r="H718" i="2"/>
  <c r="I718" i="2" s="1"/>
  <c r="I717" i="2"/>
  <c r="P719" i="2"/>
  <c r="Q718" i="2"/>
  <c r="K711" i="1"/>
  <c r="L711" i="1" s="1"/>
  <c r="L710" i="1"/>
  <c r="P714" i="1"/>
  <c r="Q713" i="1"/>
  <c r="I712" i="1"/>
  <c r="P720" i="2" l="1"/>
  <c r="Q719" i="2"/>
  <c r="H719" i="2"/>
  <c r="N714" i="2"/>
  <c r="M714" i="2"/>
  <c r="L715" i="2"/>
  <c r="K716" i="2"/>
  <c r="N711" i="1"/>
  <c r="M711" i="1"/>
  <c r="M710" i="1"/>
  <c r="N710" i="1"/>
  <c r="K712" i="1"/>
  <c r="I713" i="1"/>
  <c r="P715" i="1"/>
  <c r="H715" i="1" s="1"/>
  <c r="H716" i="1" s="1"/>
  <c r="Q714" i="1"/>
  <c r="H720" i="2" l="1"/>
  <c r="I720" i="2" s="1"/>
  <c r="I719" i="2"/>
  <c r="K717" i="2"/>
  <c r="L716" i="2"/>
  <c r="N715" i="2"/>
  <c r="M715" i="2"/>
  <c r="P721" i="2"/>
  <c r="Q720" i="2"/>
  <c r="K713" i="1"/>
  <c r="L713" i="1" s="1"/>
  <c r="N713" i="1" s="1"/>
  <c r="L712" i="1"/>
  <c r="P716" i="1"/>
  <c r="Q715" i="1"/>
  <c r="I714" i="1"/>
  <c r="N716" i="2" l="1"/>
  <c r="M716" i="2"/>
  <c r="L717" i="2"/>
  <c r="K718" i="2"/>
  <c r="P722" i="2"/>
  <c r="Q721" i="2"/>
  <c r="H721" i="2"/>
  <c r="M713" i="1"/>
  <c r="M712" i="1"/>
  <c r="N712" i="1"/>
  <c r="K714" i="1"/>
  <c r="I715" i="1"/>
  <c r="P717" i="1"/>
  <c r="H717" i="1" s="1"/>
  <c r="H718" i="1" s="1"/>
  <c r="Q716" i="1"/>
  <c r="K719" i="2" l="1"/>
  <c r="L718" i="2"/>
  <c r="H722" i="2"/>
  <c r="I722" i="2" s="1"/>
  <c r="I721" i="2"/>
  <c r="N717" i="2"/>
  <c r="M717" i="2"/>
  <c r="Q722" i="2"/>
  <c r="P723" i="2"/>
  <c r="K715" i="1"/>
  <c r="L715" i="1" s="1"/>
  <c r="L714" i="1"/>
  <c r="P718" i="1"/>
  <c r="Q717" i="1"/>
  <c r="I716" i="1"/>
  <c r="Q723" i="2" l="1"/>
  <c r="P724" i="2"/>
  <c r="H723" i="2"/>
  <c r="N718" i="2"/>
  <c r="M718" i="2"/>
  <c r="L719" i="2"/>
  <c r="K720" i="2"/>
  <c r="M715" i="1"/>
  <c r="N715" i="1"/>
  <c r="M714" i="1"/>
  <c r="N714" i="1"/>
  <c r="K716" i="1"/>
  <c r="P719" i="1"/>
  <c r="H719" i="1" s="1"/>
  <c r="H720" i="1" s="1"/>
  <c r="Q718" i="1"/>
  <c r="I717" i="1"/>
  <c r="K721" i="2" l="1"/>
  <c r="L720" i="2"/>
  <c r="N719" i="2"/>
  <c r="M719" i="2"/>
  <c r="P725" i="2"/>
  <c r="Q724" i="2"/>
  <c r="I723" i="2"/>
  <c r="H724" i="2"/>
  <c r="I724" i="2" s="1"/>
  <c r="K717" i="1"/>
  <c r="L717" i="1" s="1"/>
  <c r="N717" i="1" s="1"/>
  <c r="L716" i="1"/>
  <c r="P720" i="1"/>
  <c r="Q719" i="1"/>
  <c r="I718" i="1"/>
  <c r="N720" i="2" l="1"/>
  <c r="M720" i="2"/>
  <c r="Q725" i="2"/>
  <c r="P726" i="2"/>
  <c r="H725" i="2"/>
  <c r="L721" i="2"/>
  <c r="K722" i="2"/>
  <c r="M717" i="1"/>
  <c r="N716" i="1"/>
  <c r="M716" i="1"/>
  <c r="K718" i="1"/>
  <c r="P721" i="1"/>
  <c r="H721" i="1" s="1"/>
  <c r="H722" i="1" s="1"/>
  <c r="Q720" i="1"/>
  <c r="I719" i="1"/>
  <c r="Q726" i="2" l="1"/>
  <c r="P727" i="2"/>
  <c r="L722" i="2"/>
  <c r="K723" i="2"/>
  <c r="N721" i="2"/>
  <c r="M721" i="2"/>
  <c r="I725" i="2"/>
  <c r="H726" i="2"/>
  <c r="I726" i="2" s="1"/>
  <c r="K719" i="1"/>
  <c r="L719" i="1" s="1"/>
  <c r="L718" i="1"/>
  <c r="P722" i="1"/>
  <c r="Q721" i="1"/>
  <c r="I720" i="1"/>
  <c r="K724" i="2" l="1"/>
  <c r="L723" i="2"/>
  <c r="N722" i="2"/>
  <c r="M722" i="2"/>
  <c r="Q727" i="2"/>
  <c r="P728" i="2"/>
  <c r="H727" i="2"/>
  <c r="N719" i="1"/>
  <c r="M719" i="1"/>
  <c r="N718" i="1"/>
  <c r="M718" i="1"/>
  <c r="K720" i="1"/>
  <c r="P723" i="1"/>
  <c r="H723" i="1" s="1"/>
  <c r="H724" i="1" s="1"/>
  <c r="Q722" i="1"/>
  <c r="I721" i="1"/>
  <c r="I727" i="2" l="1"/>
  <c r="H728" i="2"/>
  <c r="I728" i="2" s="1"/>
  <c r="P729" i="2"/>
  <c r="Q728" i="2"/>
  <c r="M723" i="2"/>
  <c r="N723" i="2"/>
  <c r="K725" i="2"/>
  <c r="L724" i="2"/>
  <c r="K721" i="1"/>
  <c r="L721" i="1" s="1"/>
  <c r="N721" i="1" s="1"/>
  <c r="L720" i="1"/>
  <c r="P724" i="1"/>
  <c r="Q723" i="1"/>
  <c r="I722" i="1"/>
  <c r="N724" i="2" l="1"/>
  <c r="M724" i="2"/>
  <c r="Q729" i="2"/>
  <c r="P730" i="2"/>
  <c r="H729" i="2"/>
  <c r="K726" i="2"/>
  <c r="L725" i="2"/>
  <c r="M721" i="1"/>
  <c r="N720" i="1"/>
  <c r="M720" i="1"/>
  <c r="K722" i="1"/>
  <c r="P725" i="1"/>
  <c r="H725" i="1" s="1"/>
  <c r="H726" i="1" s="1"/>
  <c r="Q724" i="1"/>
  <c r="I723" i="1"/>
  <c r="M725" i="2" l="1"/>
  <c r="N725" i="2"/>
  <c r="Q730" i="2"/>
  <c r="P731" i="2"/>
  <c r="L726" i="2"/>
  <c r="K727" i="2"/>
  <c r="I729" i="2"/>
  <c r="H730" i="2"/>
  <c r="I730" i="2" s="1"/>
  <c r="K723" i="1"/>
  <c r="L723" i="1" s="1"/>
  <c r="L722" i="1"/>
  <c r="P726" i="1"/>
  <c r="Q725" i="1"/>
  <c r="I725" i="1"/>
  <c r="I724" i="1"/>
  <c r="Q731" i="2" l="1"/>
  <c r="P732" i="2"/>
  <c r="H731" i="2"/>
  <c r="K728" i="2"/>
  <c r="L727" i="2"/>
  <c r="M726" i="2"/>
  <c r="N726" i="2"/>
  <c r="N723" i="1"/>
  <c r="M723" i="1"/>
  <c r="N722" i="1"/>
  <c r="M722" i="1"/>
  <c r="K724" i="1"/>
  <c r="K725" i="1" s="1"/>
  <c r="P727" i="1"/>
  <c r="H727" i="1" s="1"/>
  <c r="H728" i="1" s="1"/>
  <c r="Q726" i="1"/>
  <c r="K729" i="2" l="1"/>
  <c r="L728" i="2"/>
  <c r="I731" i="2"/>
  <c r="H732" i="2"/>
  <c r="I732" i="2" s="1"/>
  <c r="P733" i="2"/>
  <c r="Q732" i="2"/>
  <c r="M727" i="2"/>
  <c r="N727" i="2"/>
  <c r="L725" i="1"/>
  <c r="N725" i="1" s="1"/>
  <c r="L724" i="1"/>
  <c r="I726" i="1"/>
  <c r="P728" i="1"/>
  <c r="Q727" i="1"/>
  <c r="N728" i="2" l="1"/>
  <c r="M728" i="2"/>
  <c r="Q733" i="2"/>
  <c r="P734" i="2"/>
  <c r="H733" i="2"/>
  <c r="K730" i="2"/>
  <c r="L729" i="2"/>
  <c r="M725" i="1"/>
  <c r="M724" i="1"/>
  <c r="N724" i="1"/>
  <c r="K726" i="1"/>
  <c r="L726" i="1" s="1"/>
  <c r="P729" i="1"/>
  <c r="H729" i="1" s="1"/>
  <c r="H730" i="1" s="1"/>
  <c r="Q728" i="1"/>
  <c r="I727" i="1"/>
  <c r="M729" i="2" l="1"/>
  <c r="N729" i="2"/>
  <c r="Q734" i="2"/>
  <c r="P735" i="2"/>
  <c r="L730" i="2"/>
  <c r="K731" i="2"/>
  <c r="I733" i="2"/>
  <c r="H734" i="2"/>
  <c r="I734" i="2" s="1"/>
  <c r="N726" i="1"/>
  <c r="M726" i="1"/>
  <c r="K727" i="1"/>
  <c r="L727" i="1" s="1"/>
  <c r="P730" i="1"/>
  <c r="Q729" i="1"/>
  <c r="I728" i="1"/>
  <c r="Q735" i="2" l="1"/>
  <c r="P736" i="2"/>
  <c r="H735" i="2"/>
  <c r="K732" i="2"/>
  <c r="L731" i="2"/>
  <c r="M730" i="2"/>
  <c r="N730" i="2"/>
  <c r="N727" i="1"/>
  <c r="M727" i="1"/>
  <c r="K728" i="1"/>
  <c r="L728" i="1" s="1"/>
  <c r="P731" i="1"/>
  <c r="H731" i="1" s="1"/>
  <c r="H732" i="1" s="1"/>
  <c r="Q730" i="1"/>
  <c r="I729" i="1"/>
  <c r="K733" i="2" l="1"/>
  <c r="L732" i="2"/>
  <c r="I735" i="2"/>
  <c r="H736" i="2"/>
  <c r="I736" i="2" s="1"/>
  <c r="P737" i="2"/>
  <c r="Q736" i="2"/>
  <c r="M731" i="2"/>
  <c r="N731" i="2"/>
  <c r="M728" i="1"/>
  <c r="N728" i="1"/>
  <c r="K729" i="1"/>
  <c r="L729" i="1" s="1"/>
  <c r="P732" i="1"/>
  <c r="Q731" i="1"/>
  <c r="I730" i="1"/>
  <c r="N732" i="2" l="1"/>
  <c r="M732" i="2"/>
  <c r="Q737" i="2"/>
  <c r="P738" i="2"/>
  <c r="H737" i="2"/>
  <c r="K734" i="2"/>
  <c r="L733" i="2"/>
  <c r="N729" i="1"/>
  <c r="M729" i="1"/>
  <c r="K730" i="1"/>
  <c r="L730" i="1" s="1"/>
  <c r="P733" i="1"/>
  <c r="H733" i="1" s="1"/>
  <c r="H734" i="1" s="1"/>
  <c r="Q732" i="1"/>
  <c r="I731" i="1"/>
  <c r="Q738" i="2" l="1"/>
  <c r="P739" i="2"/>
  <c r="M733" i="2"/>
  <c r="N733" i="2"/>
  <c r="L734" i="2"/>
  <c r="K735" i="2"/>
  <c r="I737" i="2"/>
  <c r="H738" i="2"/>
  <c r="I738" i="2" s="1"/>
  <c r="M730" i="1"/>
  <c r="N730" i="1"/>
  <c r="K731" i="1"/>
  <c r="L731" i="1" s="1"/>
  <c r="P734" i="1"/>
  <c r="Q733" i="1"/>
  <c r="I732" i="1"/>
  <c r="K736" i="2" l="1"/>
  <c r="L735" i="2"/>
  <c r="Q739" i="2"/>
  <c r="P740" i="2"/>
  <c r="H739" i="2"/>
  <c r="M734" i="2"/>
  <c r="N734" i="2"/>
  <c r="N731" i="1"/>
  <c r="M731" i="1"/>
  <c r="K732" i="1"/>
  <c r="L732" i="1" s="1"/>
  <c r="I733" i="1"/>
  <c r="P735" i="1"/>
  <c r="H735" i="1" s="1"/>
  <c r="H736" i="1" s="1"/>
  <c r="Q734" i="1"/>
  <c r="P741" i="2" l="1"/>
  <c r="Q740" i="2"/>
  <c r="M735" i="2"/>
  <c r="N735" i="2"/>
  <c r="I739" i="2"/>
  <c r="H740" i="2"/>
  <c r="I740" i="2" s="1"/>
  <c r="K737" i="2"/>
  <c r="L736" i="2"/>
  <c r="N732" i="1"/>
  <c r="M732" i="1"/>
  <c r="K733" i="1"/>
  <c r="L733" i="1" s="1"/>
  <c r="P736" i="1"/>
  <c r="Q735" i="1"/>
  <c r="I734" i="1"/>
  <c r="N736" i="2" l="1"/>
  <c r="M736" i="2"/>
  <c r="K738" i="2"/>
  <c r="L737" i="2"/>
  <c r="Q741" i="2"/>
  <c r="P742" i="2"/>
  <c r="H741" i="2"/>
  <c r="N733" i="1"/>
  <c r="M733" i="1"/>
  <c r="K734" i="1"/>
  <c r="L734" i="1" s="1"/>
  <c r="I735" i="1"/>
  <c r="P737" i="1"/>
  <c r="H737" i="1" s="1"/>
  <c r="H738" i="1" s="1"/>
  <c r="Q736" i="1"/>
  <c r="M737" i="2" l="1"/>
  <c r="N737" i="2"/>
  <c r="I741" i="2"/>
  <c r="H742" i="2"/>
  <c r="I742" i="2" s="1"/>
  <c r="Q742" i="2"/>
  <c r="P743" i="2"/>
  <c r="L738" i="2"/>
  <c r="K739" i="2"/>
  <c r="N734" i="1"/>
  <c r="M734" i="1"/>
  <c r="K735" i="1"/>
  <c r="L735" i="1" s="1"/>
  <c r="P738" i="1"/>
  <c r="Q737" i="1"/>
  <c r="I736" i="1"/>
  <c r="M738" i="2" l="1"/>
  <c r="N738" i="2"/>
  <c r="K740" i="2"/>
  <c r="L739" i="2"/>
  <c r="Q743" i="2"/>
  <c r="P744" i="2"/>
  <c r="H743" i="2"/>
  <c r="N735" i="1"/>
  <c r="M735" i="1"/>
  <c r="K736" i="1"/>
  <c r="L736" i="1" s="1"/>
  <c r="I737" i="1"/>
  <c r="P739" i="1"/>
  <c r="H739" i="1" s="1"/>
  <c r="H740" i="1" s="1"/>
  <c r="Q738" i="1"/>
  <c r="M739" i="2" l="1"/>
  <c r="N739" i="2"/>
  <c r="K741" i="2"/>
  <c r="L740" i="2"/>
  <c r="I743" i="2"/>
  <c r="H744" i="2"/>
  <c r="I744" i="2" s="1"/>
  <c r="P745" i="2"/>
  <c r="Q744" i="2"/>
  <c r="N736" i="1"/>
  <c r="M736" i="1"/>
  <c r="K737" i="1"/>
  <c r="L737" i="1" s="1"/>
  <c r="P740" i="1"/>
  <c r="Q739" i="1"/>
  <c r="I738" i="1"/>
  <c r="N740" i="2" l="1"/>
  <c r="M740" i="2"/>
  <c r="Q745" i="2"/>
  <c r="P746" i="2"/>
  <c r="H745" i="2"/>
  <c r="K742" i="2"/>
  <c r="L741" i="2"/>
  <c r="N737" i="1"/>
  <c r="M737" i="1"/>
  <c r="K738" i="1"/>
  <c r="L738" i="1" s="1"/>
  <c r="I739" i="1"/>
  <c r="P741" i="1"/>
  <c r="H741" i="1" s="1"/>
  <c r="H742" i="1" s="1"/>
  <c r="Q740" i="1"/>
  <c r="M741" i="2" l="1"/>
  <c r="N741" i="2"/>
  <c r="P747" i="2"/>
  <c r="Q746" i="2"/>
  <c r="L742" i="2"/>
  <c r="K743" i="2"/>
  <c r="I745" i="2"/>
  <c r="H746" i="2"/>
  <c r="I746" i="2" s="1"/>
  <c r="N738" i="1"/>
  <c r="M738" i="1"/>
  <c r="K739" i="1"/>
  <c r="L739" i="1" s="1"/>
  <c r="P742" i="1"/>
  <c r="Q741" i="1"/>
  <c r="I740" i="1"/>
  <c r="Q747" i="2" l="1"/>
  <c r="P748" i="2"/>
  <c r="H747" i="2"/>
  <c r="K744" i="2"/>
  <c r="L743" i="2"/>
  <c r="M742" i="2"/>
  <c r="N742" i="2"/>
  <c r="M739" i="1"/>
  <c r="N739" i="1"/>
  <c r="K740" i="1"/>
  <c r="L740" i="1" s="1"/>
  <c r="P743" i="1"/>
  <c r="H743" i="1" s="1"/>
  <c r="H744" i="1" s="1"/>
  <c r="Q742" i="1"/>
  <c r="I741" i="1"/>
  <c r="K745" i="2" l="1"/>
  <c r="L744" i="2"/>
  <c r="I747" i="2"/>
  <c r="H748" i="2"/>
  <c r="I748" i="2" s="1"/>
  <c r="Q748" i="2"/>
  <c r="P749" i="2"/>
  <c r="M743" i="2"/>
  <c r="N743" i="2"/>
  <c r="M740" i="1"/>
  <c r="N740" i="1"/>
  <c r="K741" i="1"/>
  <c r="L741" i="1" s="1"/>
  <c r="P744" i="1"/>
  <c r="Q743" i="1"/>
  <c r="I742" i="1"/>
  <c r="Q749" i="2" l="1"/>
  <c r="P750" i="2"/>
  <c r="H749" i="2"/>
  <c r="N744" i="2"/>
  <c r="M744" i="2"/>
  <c r="K746" i="2"/>
  <c r="L745" i="2"/>
  <c r="N741" i="1"/>
  <c r="M741" i="1"/>
  <c r="K742" i="1"/>
  <c r="L742" i="1" s="1"/>
  <c r="P745" i="1"/>
  <c r="H745" i="1" s="1"/>
  <c r="H746" i="1" s="1"/>
  <c r="Q744" i="1"/>
  <c r="I743" i="1"/>
  <c r="M745" i="2" l="1"/>
  <c r="N745" i="2"/>
  <c r="L746" i="2"/>
  <c r="K747" i="2"/>
  <c r="P751" i="2"/>
  <c r="Q750" i="2"/>
  <c r="I749" i="2"/>
  <c r="H750" i="2"/>
  <c r="I750" i="2" s="1"/>
  <c r="M742" i="1"/>
  <c r="N742" i="1"/>
  <c r="K743" i="1"/>
  <c r="L743" i="1" s="1"/>
  <c r="P746" i="1"/>
  <c r="Q745" i="1"/>
  <c r="I744" i="1"/>
  <c r="K748" i="2" l="1"/>
  <c r="L747" i="2"/>
  <c r="M746" i="2"/>
  <c r="N746" i="2"/>
  <c r="Q751" i="2"/>
  <c r="P752" i="2"/>
  <c r="H751" i="2"/>
  <c r="N743" i="1"/>
  <c r="M743" i="1"/>
  <c r="K744" i="1"/>
  <c r="L744" i="1" s="1"/>
  <c r="I745" i="1"/>
  <c r="P747" i="1"/>
  <c r="H747" i="1" s="1"/>
  <c r="H748" i="1" s="1"/>
  <c r="Q746" i="1"/>
  <c r="Q752" i="2" l="1"/>
  <c r="P753" i="2"/>
  <c r="M747" i="2"/>
  <c r="N747" i="2"/>
  <c r="I751" i="2"/>
  <c r="H752" i="2"/>
  <c r="I752" i="2" s="1"/>
  <c r="L748" i="2"/>
  <c r="K749" i="2"/>
  <c r="N744" i="1"/>
  <c r="M744" i="1"/>
  <c r="K745" i="1"/>
  <c r="L745" i="1" s="1"/>
  <c r="P748" i="1"/>
  <c r="Q747" i="1"/>
  <c r="I746" i="1"/>
  <c r="K750" i="2" l="1"/>
  <c r="L749" i="2"/>
  <c r="M748" i="2"/>
  <c r="N748" i="2"/>
  <c r="Q753" i="2"/>
  <c r="P754" i="2"/>
  <c r="H753" i="2"/>
  <c r="M745" i="1"/>
  <c r="N745" i="1"/>
  <c r="K746" i="1"/>
  <c r="L746" i="1" s="1"/>
  <c r="P749" i="1"/>
  <c r="H749" i="1" s="1"/>
  <c r="H750" i="1" s="1"/>
  <c r="Q748" i="1"/>
  <c r="I747" i="1"/>
  <c r="I753" i="2" l="1"/>
  <c r="H754" i="2"/>
  <c r="I754" i="2" s="1"/>
  <c r="P755" i="2"/>
  <c r="Q754" i="2"/>
  <c r="M749" i="2"/>
  <c r="N749" i="2"/>
  <c r="K751" i="2"/>
  <c r="L750" i="2"/>
  <c r="M746" i="1"/>
  <c r="N746" i="1"/>
  <c r="K747" i="1"/>
  <c r="L747" i="1" s="1"/>
  <c r="P750" i="1"/>
  <c r="Q749" i="1"/>
  <c r="I748" i="1"/>
  <c r="N750" i="2" l="1"/>
  <c r="M750" i="2"/>
  <c r="Q755" i="2"/>
  <c r="H755" i="2"/>
  <c r="P756" i="2"/>
  <c r="K752" i="2"/>
  <c r="L751" i="2"/>
  <c r="N747" i="1"/>
  <c r="M747" i="1"/>
  <c r="K748" i="1"/>
  <c r="L748" i="1" s="1"/>
  <c r="I749" i="1"/>
  <c r="P751" i="1"/>
  <c r="H751" i="1" s="1"/>
  <c r="H752" i="1" s="1"/>
  <c r="Q750" i="1"/>
  <c r="I755" i="2" l="1"/>
  <c r="H756" i="2"/>
  <c r="I756" i="2" s="1"/>
  <c r="M751" i="2"/>
  <c r="N751" i="2"/>
  <c r="L752" i="2"/>
  <c r="K753" i="2"/>
  <c r="Q756" i="2"/>
  <c r="P757" i="2"/>
  <c r="N748" i="1"/>
  <c r="M748" i="1"/>
  <c r="K749" i="1"/>
  <c r="L749" i="1" s="1"/>
  <c r="P752" i="1"/>
  <c r="Q751" i="1"/>
  <c r="I750" i="1"/>
  <c r="Q757" i="2" l="1"/>
  <c r="P758" i="2"/>
  <c r="H757" i="2"/>
  <c r="K754" i="2"/>
  <c r="L753" i="2"/>
  <c r="N752" i="2"/>
  <c r="M752" i="2"/>
  <c r="N749" i="1"/>
  <c r="M749" i="1"/>
  <c r="K750" i="1"/>
  <c r="L750" i="1" s="1"/>
  <c r="I751" i="1"/>
  <c r="P753" i="1"/>
  <c r="H753" i="1" s="1"/>
  <c r="H754" i="1" s="1"/>
  <c r="Q752" i="1"/>
  <c r="K755" i="2" l="1"/>
  <c r="L754" i="2"/>
  <c r="I757" i="2"/>
  <c r="H758" i="2"/>
  <c r="I758" i="2" s="1"/>
  <c r="P759" i="2"/>
  <c r="Q758" i="2"/>
  <c r="M753" i="2"/>
  <c r="N753" i="2"/>
  <c r="N750" i="1"/>
  <c r="M750" i="1"/>
  <c r="K751" i="1"/>
  <c r="L751" i="1" s="1"/>
  <c r="P754" i="1"/>
  <c r="Q753" i="1"/>
  <c r="I752" i="1"/>
  <c r="N754" i="2" l="1"/>
  <c r="M754" i="2"/>
  <c r="Q759" i="2"/>
  <c r="P760" i="2"/>
  <c r="H759" i="2"/>
  <c r="K756" i="2"/>
  <c r="L755" i="2"/>
  <c r="N751" i="1"/>
  <c r="M751" i="1"/>
  <c r="K752" i="1"/>
  <c r="L752" i="1" s="1"/>
  <c r="I753" i="1"/>
  <c r="P755" i="1"/>
  <c r="H755" i="1" s="1"/>
  <c r="H756" i="1" s="1"/>
  <c r="Q754" i="1"/>
  <c r="Q760" i="2" l="1"/>
  <c r="P761" i="2"/>
  <c r="M755" i="2"/>
  <c r="N755" i="2"/>
  <c r="L756" i="2"/>
  <c r="K757" i="2"/>
  <c r="I759" i="2"/>
  <c r="H760" i="2"/>
  <c r="I760" i="2" s="1"/>
  <c r="N752" i="1"/>
  <c r="M752" i="1"/>
  <c r="K753" i="1"/>
  <c r="L753" i="1" s="1"/>
  <c r="P756" i="1"/>
  <c r="Q755" i="1"/>
  <c r="I754" i="1"/>
  <c r="Q761" i="2" l="1"/>
  <c r="P762" i="2"/>
  <c r="H761" i="2"/>
  <c r="K758" i="2"/>
  <c r="L757" i="2"/>
  <c r="M756" i="2"/>
  <c r="N756" i="2"/>
  <c r="N753" i="1"/>
  <c r="M753" i="1"/>
  <c r="K754" i="1"/>
  <c r="L754" i="1" s="1"/>
  <c r="I755" i="1"/>
  <c r="P757" i="1"/>
  <c r="H757" i="1" s="1"/>
  <c r="H758" i="1" s="1"/>
  <c r="Q756" i="1"/>
  <c r="K759" i="2" l="1"/>
  <c r="L758" i="2"/>
  <c r="I761" i="2"/>
  <c r="H762" i="2"/>
  <c r="I762" i="2" s="1"/>
  <c r="P763" i="2"/>
  <c r="Q762" i="2"/>
  <c r="M757" i="2"/>
  <c r="N757" i="2"/>
  <c r="N754" i="1"/>
  <c r="M754" i="1"/>
  <c r="K755" i="1"/>
  <c r="L755" i="1" s="1"/>
  <c r="P758" i="1"/>
  <c r="Q757" i="1"/>
  <c r="I756" i="1"/>
  <c r="N758" i="2" l="1"/>
  <c r="M758" i="2"/>
  <c r="Q763" i="2"/>
  <c r="H763" i="2"/>
  <c r="P764" i="2"/>
  <c r="K760" i="2"/>
  <c r="L759" i="2"/>
  <c r="N755" i="1"/>
  <c r="M755" i="1"/>
  <c r="K756" i="1"/>
  <c r="L756" i="1" s="1"/>
  <c r="I757" i="1"/>
  <c r="P759" i="1"/>
  <c r="H759" i="1" s="1"/>
  <c r="H760" i="1" s="1"/>
  <c r="Q758" i="1"/>
  <c r="I763" i="2" l="1"/>
  <c r="H764" i="2"/>
  <c r="I764" i="2" s="1"/>
  <c r="M759" i="2"/>
  <c r="N759" i="2"/>
  <c r="L760" i="2"/>
  <c r="K761" i="2"/>
  <c r="Q764" i="2"/>
  <c r="P765" i="2"/>
  <c r="N756" i="1"/>
  <c r="M756" i="1"/>
  <c r="K757" i="1"/>
  <c r="L757" i="1" s="1"/>
  <c r="P760" i="1"/>
  <c r="Q759" i="1"/>
  <c r="I758" i="1"/>
  <c r="Q765" i="2" l="1"/>
  <c r="P766" i="2"/>
  <c r="H765" i="2"/>
  <c r="K762" i="2"/>
  <c r="L761" i="2"/>
  <c r="N760" i="2"/>
  <c r="M760" i="2"/>
  <c r="N757" i="1"/>
  <c r="M757" i="1"/>
  <c r="K758" i="1"/>
  <c r="L758" i="1" s="1"/>
  <c r="I759" i="1"/>
  <c r="P761" i="1"/>
  <c r="H761" i="1" s="1"/>
  <c r="H762" i="1" s="1"/>
  <c r="Q760" i="1"/>
  <c r="K763" i="2" l="1"/>
  <c r="L762" i="2"/>
  <c r="I765" i="2"/>
  <c r="H766" i="2"/>
  <c r="I766" i="2" s="1"/>
  <c r="P767" i="2"/>
  <c r="Q766" i="2"/>
  <c r="M761" i="2"/>
  <c r="N761" i="2"/>
  <c r="N758" i="1"/>
  <c r="M758" i="1"/>
  <c r="K759" i="1"/>
  <c r="L759" i="1" s="1"/>
  <c r="P762" i="1"/>
  <c r="Q761" i="1"/>
  <c r="I760" i="1"/>
  <c r="N762" i="2" l="1"/>
  <c r="M762" i="2"/>
  <c r="Q767" i="2"/>
  <c r="P768" i="2"/>
  <c r="H767" i="2"/>
  <c r="K764" i="2"/>
  <c r="L763" i="2"/>
  <c r="N759" i="1"/>
  <c r="M759" i="1"/>
  <c r="K760" i="1"/>
  <c r="L760" i="1" s="1"/>
  <c r="I761" i="1"/>
  <c r="P763" i="1"/>
  <c r="H763" i="1" s="1"/>
  <c r="H764" i="1" s="1"/>
  <c r="Q762" i="1"/>
  <c r="Q768" i="2" l="1"/>
  <c r="P769" i="2"/>
  <c r="M763" i="2"/>
  <c r="N763" i="2"/>
  <c r="L764" i="2"/>
  <c r="K765" i="2"/>
  <c r="I767" i="2"/>
  <c r="H768" i="2"/>
  <c r="I768" i="2" s="1"/>
  <c r="N760" i="1"/>
  <c r="M760" i="1"/>
  <c r="K761" i="1"/>
  <c r="L761" i="1" s="1"/>
  <c r="P764" i="1"/>
  <c r="Q763" i="1"/>
  <c r="I762" i="1"/>
  <c r="Q769" i="2" l="1"/>
  <c r="P770" i="2"/>
  <c r="H769" i="2"/>
  <c r="K766" i="2"/>
  <c r="L765" i="2"/>
  <c r="M764" i="2"/>
  <c r="N764" i="2"/>
  <c r="N761" i="1"/>
  <c r="M761" i="1"/>
  <c r="K762" i="1"/>
  <c r="L762" i="1" s="1"/>
  <c r="I763" i="1"/>
  <c r="P765" i="1"/>
  <c r="H765" i="1" s="1"/>
  <c r="H766" i="1" s="1"/>
  <c r="Q764" i="1"/>
  <c r="K767" i="2" l="1"/>
  <c r="L766" i="2"/>
  <c r="I769" i="2"/>
  <c r="H770" i="2"/>
  <c r="I770" i="2" s="1"/>
  <c r="P771" i="2"/>
  <c r="Q770" i="2"/>
  <c r="M765" i="2"/>
  <c r="N765" i="2"/>
  <c r="N762" i="1"/>
  <c r="M762" i="1"/>
  <c r="K763" i="1"/>
  <c r="L763" i="1" s="1"/>
  <c r="P766" i="1"/>
  <c r="Q765" i="1"/>
  <c r="I764" i="1"/>
  <c r="N766" i="2" l="1"/>
  <c r="M766" i="2"/>
  <c r="Q771" i="2"/>
  <c r="P772" i="2"/>
  <c r="H771" i="2"/>
  <c r="K768" i="2"/>
  <c r="L767" i="2"/>
  <c r="N763" i="1"/>
  <c r="M763" i="1"/>
  <c r="K764" i="1"/>
  <c r="L764" i="1" s="1"/>
  <c r="I765" i="1"/>
  <c r="P767" i="1"/>
  <c r="H767" i="1" s="1"/>
  <c r="H768" i="1" s="1"/>
  <c r="Q766" i="1"/>
  <c r="Q772" i="2" l="1"/>
  <c r="P773" i="2"/>
  <c r="M767" i="2"/>
  <c r="N767" i="2"/>
  <c r="L768" i="2"/>
  <c r="K769" i="2"/>
  <c r="I771" i="2"/>
  <c r="H772" i="2"/>
  <c r="I772" i="2" s="1"/>
  <c r="N764" i="1"/>
  <c r="M764" i="1"/>
  <c r="K765" i="1"/>
  <c r="L765" i="1" s="1"/>
  <c r="P768" i="1"/>
  <c r="Q767" i="1"/>
  <c r="I766" i="1"/>
  <c r="Q773" i="2" l="1"/>
  <c r="P774" i="2"/>
  <c r="H773" i="2"/>
  <c r="K770" i="2"/>
  <c r="L769" i="2"/>
  <c r="N768" i="2"/>
  <c r="M768" i="2"/>
  <c r="N765" i="1"/>
  <c r="M765" i="1"/>
  <c r="K766" i="1"/>
  <c r="L766" i="1" s="1"/>
  <c r="I767" i="1"/>
  <c r="P769" i="1"/>
  <c r="H769" i="1" s="1"/>
  <c r="H770" i="1" s="1"/>
  <c r="Q768" i="1"/>
  <c r="K771" i="2" l="1"/>
  <c r="L770" i="2"/>
  <c r="I773" i="2"/>
  <c r="H774" i="2"/>
  <c r="I774" i="2" s="1"/>
  <c r="P775" i="2"/>
  <c r="Q774" i="2"/>
  <c r="M769" i="2"/>
  <c r="N769" i="2"/>
  <c r="N766" i="1"/>
  <c r="M766" i="1"/>
  <c r="K767" i="1"/>
  <c r="L767" i="1" s="1"/>
  <c r="P770" i="1"/>
  <c r="Q769" i="1"/>
  <c r="I768" i="1"/>
  <c r="N770" i="2" l="1"/>
  <c r="M770" i="2"/>
  <c r="Q775" i="2"/>
  <c r="P776" i="2"/>
  <c r="H775" i="2"/>
  <c r="K772" i="2"/>
  <c r="L771" i="2"/>
  <c r="N767" i="1"/>
  <c r="M767" i="1"/>
  <c r="K768" i="1"/>
  <c r="L768" i="1" s="1"/>
  <c r="I769" i="1"/>
  <c r="P771" i="1"/>
  <c r="H771" i="1" s="1"/>
  <c r="H772" i="1" s="1"/>
  <c r="Q770" i="1"/>
  <c r="M771" i="2" l="1"/>
  <c r="N771" i="2"/>
  <c r="Q776" i="2"/>
  <c r="P777" i="2"/>
  <c r="L772" i="2"/>
  <c r="K773" i="2"/>
  <c r="I775" i="2"/>
  <c r="H776" i="2"/>
  <c r="I776" i="2" s="1"/>
  <c r="N768" i="1"/>
  <c r="M768" i="1"/>
  <c r="K769" i="1"/>
  <c r="L769" i="1" s="1"/>
  <c r="P772" i="1"/>
  <c r="Q771" i="1"/>
  <c r="I770" i="1"/>
  <c r="Q777" i="2" l="1"/>
  <c r="P778" i="2"/>
  <c r="H777" i="2"/>
  <c r="K774" i="2"/>
  <c r="L773" i="2"/>
  <c r="M772" i="2"/>
  <c r="N772" i="2"/>
  <c r="N769" i="1"/>
  <c r="M769" i="1"/>
  <c r="K770" i="1"/>
  <c r="L770" i="1" s="1"/>
  <c r="I771" i="1"/>
  <c r="P773" i="1"/>
  <c r="H773" i="1" s="1"/>
  <c r="H774" i="1" s="1"/>
  <c r="Q772" i="1"/>
  <c r="K775" i="2" l="1"/>
  <c r="L774" i="2"/>
  <c r="I777" i="2"/>
  <c r="H778" i="2"/>
  <c r="I778" i="2" s="1"/>
  <c r="P779" i="2"/>
  <c r="Q778" i="2"/>
  <c r="M773" i="2"/>
  <c r="N773" i="2"/>
  <c r="N770" i="1"/>
  <c r="M770" i="1"/>
  <c r="K771" i="1"/>
  <c r="L771" i="1" s="1"/>
  <c r="P774" i="1"/>
  <c r="Q773" i="1"/>
  <c r="I773" i="1"/>
  <c r="I772" i="1"/>
  <c r="N774" i="2" l="1"/>
  <c r="M774" i="2"/>
  <c r="Q779" i="2"/>
  <c r="P780" i="2"/>
  <c r="H779" i="2"/>
  <c r="K776" i="2"/>
  <c r="L775" i="2"/>
  <c r="N771" i="1"/>
  <c r="M771" i="1"/>
  <c r="K772" i="1"/>
  <c r="K773" i="1" s="1"/>
  <c r="L773" i="1" s="1"/>
  <c r="P775" i="1"/>
  <c r="H775" i="1" s="1"/>
  <c r="H776" i="1" s="1"/>
  <c r="Q774" i="1"/>
  <c r="M775" i="2" l="1"/>
  <c r="N775" i="2"/>
  <c r="Q780" i="2"/>
  <c r="P781" i="2"/>
  <c r="L776" i="2"/>
  <c r="K777" i="2"/>
  <c r="I779" i="2"/>
  <c r="H780" i="2"/>
  <c r="I780" i="2" s="1"/>
  <c r="L772" i="1"/>
  <c r="N773" i="1"/>
  <c r="P776" i="1"/>
  <c r="Q775" i="1"/>
  <c r="I774" i="1"/>
  <c r="Q781" i="2" l="1"/>
  <c r="P782" i="2"/>
  <c r="H781" i="2"/>
  <c r="K778" i="2"/>
  <c r="L777" i="2"/>
  <c r="N776" i="2"/>
  <c r="M776" i="2"/>
  <c r="N772" i="1"/>
  <c r="M772" i="1"/>
  <c r="M773" i="1"/>
  <c r="K774" i="1"/>
  <c r="I775" i="1"/>
  <c r="P777" i="1"/>
  <c r="H777" i="1" s="1"/>
  <c r="H778" i="1" s="1"/>
  <c r="Q776" i="1"/>
  <c r="K779" i="2" l="1"/>
  <c r="L778" i="2"/>
  <c r="I781" i="2"/>
  <c r="H782" i="2"/>
  <c r="I782" i="2" s="1"/>
  <c r="P783" i="2"/>
  <c r="Q782" i="2"/>
  <c r="M777" i="2"/>
  <c r="N777" i="2"/>
  <c r="K775" i="1"/>
  <c r="L775" i="1" s="1"/>
  <c r="L774" i="1"/>
  <c r="P778" i="1"/>
  <c r="Q777" i="1"/>
  <c r="I776" i="1"/>
  <c r="Q783" i="2" l="1"/>
  <c r="P784" i="2"/>
  <c r="H783" i="2"/>
  <c r="N778" i="2"/>
  <c r="M778" i="2"/>
  <c r="K780" i="2"/>
  <c r="L779" i="2"/>
  <c r="N775" i="1"/>
  <c r="M775" i="1"/>
  <c r="M774" i="1"/>
  <c r="N774" i="1"/>
  <c r="K776" i="1"/>
  <c r="I777" i="1"/>
  <c r="P779" i="1"/>
  <c r="H779" i="1" s="1"/>
  <c r="H780" i="1" s="1"/>
  <c r="Q778" i="1"/>
  <c r="M779" i="2" l="1"/>
  <c r="N779" i="2"/>
  <c r="L780" i="2"/>
  <c r="K781" i="2"/>
  <c r="Q784" i="2"/>
  <c r="P785" i="2"/>
  <c r="I783" i="2"/>
  <c r="H784" i="2"/>
  <c r="I784" i="2" s="1"/>
  <c r="K777" i="1"/>
  <c r="L777" i="1" s="1"/>
  <c r="N777" i="1" s="1"/>
  <c r="L776" i="1"/>
  <c r="P780" i="1"/>
  <c r="Q779" i="1"/>
  <c r="I778" i="1"/>
  <c r="K782" i="2" l="1"/>
  <c r="L781" i="2"/>
  <c r="M780" i="2"/>
  <c r="N780" i="2"/>
  <c r="Q785" i="2"/>
  <c r="P786" i="2"/>
  <c r="H785" i="2"/>
  <c r="M777" i="1"/>
  <c r="M776" i="1"/>
  <c r="N776" i="1"/>
  <c r="K778" i="1"/>
  <c r="I779" i="1"/>
  <c r="P781" i="1"/>
  <c r="H781" i="1" s="1"/>
  <c r="H782" i="1" s="1"/>
  <c r="Q780" i="1"/>
  <c r="I785" i="2" l="1"/>
  <c r="H786" i="2"/>
  <c r="I786" i="2" s="1"/>
  <c r="M781" i="2"/>
  <c r="N781" i="2"/>
  <c r="P787" i="2"/>
  <c r="Q786" i="2"/>
  <c r="K783" i="2"/>
  <c r="L782" i="2"/>
  <c r="K779" i="1"/>
  <c r="L779" i="1" s="1"/>
  <c r="L778" i="1"/>
  <c r="P782" i="1"/>
  <c r="Q781" i="1"/>
  <c r="I780" i="1"/>
  <c r="N782" i="2" l="1"/>
  <c r="M782" i="2"/>
  <c r="K784" i="2"/>
  <c r="L783" i="2"/>
  <c r="Q787" i="2"/>
  <c r="P788" i="2"/>
  <c r="H787" i="2"/>
  <c r="N779" i="1"/>
  <c r="M779" i="1"/>
  <c r="M778" i="1"/>
  <c r="N778" i="1"/>
  <c r="K780" i="1"/>
  <c r="I781" i="1"/>
  <c r="P783" i="1"/>
  <c r="H783" i="1" s="1"/>
  <c r="H784" i="1" s="1"/>
  <c r="Q782" i="1"/>
  <c r="M783" i="2" l="1"/>
  <c r="N783" i="2"/>
  <c r="L784" i="2"/>
  <c r="K785" i="2"/>
  <c r="Q788" i="2"/>
  <c r="P789" i="2"/>
  <c r="I787" i="2"/>
  <c r="H788" i="2"/>
  <c r="I788" i="2" s="1"/>
  <c r="K781" i="1"/>
  <c r="L781" i="1" s="1"/>
  <c r="N781" i="1" s="1"/>
  <c r="L780" i="1"/>
  <c r="P784" i="1"/>
  <c r="Q783" i="1"/>
  <c r="I782" i="1"/>
  <c r="K786" i="2" l="1"/>
  <c r="L785" i="2"/>
  <c r="M784" i="2"/>
  <c r="N784" i="2"/>
  <c r="Q789" i="2"/>
  <c r="P790" i="2"/>
  <c r="H789" i="2"/>
  <c r="M781" i="1"/>
  <c r="M780" i="1"/>
  <c r="N780" i="1"/>
  <c r="K782" i="1"/>
  <c r="I783" i="1"/>
  <c r="P785" i="1"/>
  <c r="H785" i="1" s="1"/>
  <c r="H786" i="1" s="1"/>
  <c r="Q784" i="1"/>
  <c r="I789" i="2" l="1"/>
  <c r="H790" i="2"/>
  <c r="I790" i="2" s="1"/>
  <c r="P791" i="2"/>
  <c r="Q790" i="2"/>
  <c r="M785" i="2"/>
  <c r="N785" i="2"/>
  <c r="K787" i="2"/>
  <c r="L786" i="2"/>
  <c r="K783" i="1"/>
  <c r="L783" i="1" s="1"/>
  <c r="L782" i="1"/>
  <c r="P786" i="1"/>
  <c r="Q785" i="1"/>
  <c r="I784" i="1"/>
  <c r="N786" i="2" l="1"/>
  <c r="M786" i="2"/>
  <c r="K788" i="2"/>
  <c r="L787" i="2"/>
  <c r="Q791" i="2"/>
  <c r="P792" i="2"/>
  <c r="H791" i="2"/>
  <c r="N783" i="1"/>
  <c r="M783" i="1"/>
  <c r="M782" i="1"/>
  <c r="N782" i="1"/>
  <c r="K784" i="1"/>
  <c r="I785" i="1"/>
  <c r="P787" i="1"/>
  <c r="H787" i="1" s="1"/>
  <c r="H788" i="1" s="1"/>
  <c r="Q786" i="1"/>
  <c r="M787" i="2" l="1"/>
  <c r="N787" i="2"/>
  <c r="L788" i="2"/>
  <c r="K789" i="2"/>
  <c r="I791" i="2"/>
  <c r="H792" i="2"/>
  <c r="I792" i="2" s="1"/>
  <c r="Q792" i="2"/>
  <c r="P793" i="2"/>
  <c r="K785" i="1"/>
  <c r="L785" i="1" s="1"/>
  <c r="N785" i="1" s="1"/>
  <c r="L784" i="1"/>
  <c r="P788" i="1"/>
  <c r="Q787" i="1"/>
  <c r="I786" i="1"/>
  <c r="Q793" i="2" l="1"/>
  <c r="P794" i="2"/>
  <c r="H793" i="2"/>
  <c r="K790" i="2"/>
  <c r="L789" i="2"/>
  <c r="M788" i="2"/>
  <c r="N788" i="2"/>
  <c r="M785" i="1"/>
  <c r="M784" i="1"/>
  <c r="N784" i="1"/>
  <c r="K786" i="1"/>
  <c r="I787" i="1"/>
  <c r="Q788" i="1"/>
  <c r="P789" i="1"/>
  <c r="H789" i="1" s="1"/>
  <c r="H790" i="1" s="1"/>
  <c r="K791" i="2" l="1"/>
  <c r="L790" i="2"/>
  <c r="I793" i="2"/>
  <c r="H794" i="2"/>
  <c r="I794" i="2" s="1"/>
  <c r="P795" i="2"/>
  <c r="Q794" i="2"/>
  <c r="M789" i="2"/>
  <c r="N789" i="2"/>
  <c r="K787" i="1"/>
  <c r="L787" i="1" s="1"/>
  <c r="L786" i="1"/>
  <c r="P790" i="1"/>
  <c r="Q789" i="1"/>
  <c r="I788" i="1"/>
  <c r="N790" i="2" l="1"/>
  <c r="M790" i="2"/>
  <c r="Q795" i="2"/>
  <c r="H795" i="2"/>
  <c r="P796" i="2"/>
  <c r="K792" i="2"/>
  <c r="L791" i="2"/>
  <c r="N787" i="1"/>
  <c r="M787" i="1"/>
  <c r="M786" i="1"/>
  <c r="N786" i="1"/>
  <c r="K788" i="1"/>
  <c r="I789" i="1"/>
  <c r="P791" i="1"/>
  <c r="H791" i="1" s="1"/>
  <c r="H792" i="1" s="1"/>
  <c r="Q790" i="1"/>
  <c r="I795" i="2" l="1"/>
  <c r="H796" i="2"/>
  <c r="I796" i="2" s="1"/>
  <c r="M791" i="2"/>
  <c r="N791" i="2"/>
  <c r="L792" i="2"/>
  <c r="K793" i="2"/>
  <c r="Q796" i="2"/>
  <c r="P797" i="2"/>
  <c r="K789" i="1"/>
  <c r="L789" i="1" s="1"/>
  <c r="N789" i="1" s="1"/>
  <c r="L788" i="1"/>
  <c r="P792" i="1"/>
  <c r="Q791" i="1"/>
  <c r="I790" i="1"/>
  <c r="K794" i="2" l="1"/>
  <c r="L793" i="2"/>
  <c r="Q797" i="2"/>
  <c r="P798" i="2"/>
  <c r="H797" i="2"/>
  <c r="M792" i="2"/>
  <c r="N792" i="2"/>
  <c r="M789" i="1"/>
  <c r="N788" i="1"/>
  <c r="M788" i="1"/>
  <c r="K790" i="1"/>
  <c r="I791" i="1"/>
  <c r="Q792" i="1"/>
  <c r="P793" i="1"/>
  <c r="H793" i="1" s="1"/>
  <c r="H794" i="1" s="1"/>
  <c r="Q798" i="2" l="1"/>
  <c r="P799" i="2"/>
  <c r="M793" i="2"/>
  <c r="N793" i="2"/>
  <c r="I797" i="2"/>
  <c r="H798" i="2"/>
  <c r="I798" i="2" s="1"/>
  <c r="K795" i="2"/>
  <c r="L794" i="2"/>
  <c r="K791" i="1"/>
  <c r="L791" i="1" s="1"/>
  <c r="L790" i="1"/>
  <c r="P794" i="1"/>
  <c r="Q793" i="1"/>
  <c r="I792" i="1"/>
  <c r="N794" i="2" l="1"/>
  <c r="M794" i="2"/>
  <c r="K796" i="2"/>
  <c r="L795" i="2"/>
  <c r="Q799" i="2"/>
  <c r="H799" i="2"/>
  <c r="P800" i="2"/>
  <c r="N791" i="1"/>
  <c r="M791" i="1"/>
  <c r="M790" i="1"/>
  <c r="N790" i="1"/>
  <c r="K792" i="1"/>
  <c r="I793" i="1"/>
  <c r="P795" i="1"/>
  <c r="H795" i="1" s="1"/>
  <c r="H796" i="1" s="1"/>
  <c r="Q794" i="1"/>
  <c r="M795" i="2" l="1"/>
  <c r="N795" i="2"/>
  <c r="K797" i="2"/>
  <c r="L796" i="2"/>
  <c r="Q800" i="2"/>
  <c r="P801" i="2"/>
  <c r="I799" i="2"/>
  <c r="H800" i="2"/>
  <c r="I800" i="2" s="1"/>
  <c r="K793" i="1"/>
  <c r="L793" i="1" s="1"/>
  <c r="N793" i="1" s="1"/>
  <c r="L792" i="1"/>
  <c r="P796" i="1"/>
  <c r="Q795" i="1"/>
  <c r="I794" i="1"/>
  <c r="M796" i="2" l="1"/>
  <c r="N796" i="2"/>
  <c r="K798" i="2"/>
  <c r="L797" i="2"/>
  <c r="Q801" i="2"/>
  <c r="P802" i="2"/>
  <c r="H801" i="2"/>
  <c r="M793" i="1"/>
  <c r="N792" i="1"/>
  <c r="M792" i="1"/>
  <c r="K794" i="1"/>
  <c r="I795" i="1"/>
  <c r="Q796" i="1"/>
  <c r="P797" i="1"/>
  <c r="H797" i="1" s="1"/>
  <c r="H798" i="1" s="1"/>
  <c r="M797" i="2" l="1"/>
  <c r="N797" i="2"/>
  <c r="K799" i="2"/>
  <c r="L798" i="2"/>
  <c r="I801" i="2"/>
  <c r="H802" i="2"/>
  <c r="I802" i="2" s="1"/>
  <c r="Q802" i="2"/>
  <c r="P803" i="2"/>
  <c r="K795" i="1"/>
  <c r="L795" i="1" s="1"/>
  <c r="L794" i="1"/>
  <c r="P798" i="1"/>
  <c r="Q797" i="1"/>
  <c r="I796" i="1"/>
  <c r="Q803" i="2" l="1"/>
  <c r="H803" i="2"/>
  <c r="P804" i="2"/>
  <c r="M798" i="2"/>
  <c r="N798" i="2"/>
  <c r="K800" i="2"/>
  <c r="L799" i="2"/>
  <c r="N795" i="1"/>
  <c r="M795" i="1"/>
  <c r="M794" i="1"/>
  <c r="N794" i="1"/>
  <c r="K796" i="1"/>
  <c r="I797" i="1"/>
  <c r="P799" i="1"/>
  <c r="H799" i="1" s="1"/>
  <c r="H800" i="1" s="1"/>
  <c r="Q798" i="1"/>
  <c r="M799" i="2" l="1"/>
  <c r="N799" i="2"/>
  <c r="Q804" i="2"/>
  <c r="P805" i="2"/>
  <c r="I803" i="2"/>
  <c r="H804" i="2"/>
  <c r="I804" i="2" s="1"/>
  <c r="K801" i="2"/>
  <c r="L800" i="2"/>
  <c r="K797" i="1"/>
  <c r="L797" i="1" s="1"/>
  <c r="N797" i="1" s="1"/>
  <c r="L796" i="1"/>
  <c r="P800" i="1"/>
  <c r="Q799" i="1"/>
  <c r="I798" i="1"/>
  <c r="Q805" i="2" l="1"/>
  <c r="P806" i="2"/>
  <c r="H805" i="2"/>
  <c r="K802" i="2"/>
  <c r="L801" i="2"/>
  <c r="M800" i="2"/>
  <c r="N800" i="2"/>
  <c r="M797" i="1"/>
  <c r="N796" i="1"/>
  <c r="M796" i="1"/>
  <c r="K798" i="1"/>
  <c r="I799" i="1"/>
  <c r="Q800" i="1"/>
  <c r="P801" i="1"/>
  <c r="H801" i="1" s="1"/>
  <c r="H802" i="1" s="1"/>
  <c r="K803" i="2" l="1"/>
  <c r="L802" i="2"/>
  <c r="I805" i="2"/>
  <c r="H806" i="2"/>
  <c r="I806" i="2" s="1"/>
  <c r="Q806" i="2"/>
  <c r="P807" i="2"/>
  <c r="M801" i="2"/>
  <c r="N801" i="2"/>
  <c r="K799" i="1"/>
  <c r="L799" i="1" s="1"/>
  <c r="L798" i="1"/>
  <c r="P802" i="1"/>
  <c r="Q801" i="1"/>
  <c r="I800" i="1"/>
  <c r="M802" i="2" l="1"/>
  <c r="N802" i="2"/>
  <c r="Q807" i="2"/>
  <c r="H807" i="2"/>
  <c r="P808" i="2"/>
  <c r="K804" i="2"/>
  <c r="L803" i="2"/>
  <c r="N799" i="1"/>
  <c r="M799" i="1"/>
  <c r="M798" i="1"/>
  <c r="N798" i="1"/>
  <c r="K800" i="1"/>
  <c r="I801" i="1"/>
  <c r="P803" i="1"/>
  <c r="H803" i="1" s="1"/>
  <c r="H804" i="1" s="1"/>
  <c r="Q802" i="1"/>
  <c r="I807" i="2" l="1"/>
  <c r="H808" i="2"/>
  <c r="I808" i="2" s="1"/>
  <c r="M803" i="2"/>
  <c r="N803" i="2"/>
  <c r="K805" i="2"/>
  <c r="L804" i="2"/>
  <c r="Q808" i="2"/>
  <c r="P809" i="2"/>
  <c r="K801" i="1"/>
  <c r="L801" i="1" s="1"/>
  <c r="N801" i="1" s="1"/>
  <c r="L800" i="1"/>
  <c r="P804" i="1"/>
  <c r="Q803" i="1"/>
  <c r="I802" i="1"/>
  <c r="Q809" i="2" l="1"/>
  <c r="P810" i="2"/>
  <c r="H809" i="2"/>
  <c r="M804" i="2"/>
  <c r="N804" i="2"/>
  <c r="K806" i="2"/>
  <c r="L805" i="2"/>
  <c r="M801" i="1"/>
  <c r="N800" i="1"/>
  <c r="M800" i="1"/>
  <c r="K802" i="1"/>
  <c r="I803" i="1"/>
  <c r="Q804" i="1"/>
  <c r="P805" i="1"/>
  <c r="H805" i="1" s="1"/>
  <c r="H806" i="1" s="1"/>
  <c r="I809" i="2" l="1"/>
  <c r="H810" i="2"/>
  <c r="I810" i="2" s="1"/>
  <c r="M805" i="2"/>
  <c r="N805" i="2"/>
  <c r="Q810" i="2"/>
  <c r="P811" i="2"/>
  <c r="K807" i="2"/>
  <c r="L806" i="2"/>
  <c r="K803" i="1"/>
  <c r="L803" i="1" s="1"/>
  <c r="L802" i="1"/>
  <c r="P806" i="1"/>
  <c r="Q805" i="1"/>
  <c r="I804" i="1"/>
  <c r="M806" i="2" l="1"/>
  <c r="N806" i="2"/>
  <c r="K808" i="2"/>
  <c r="L807" i="2"/>
  <c r="Q811" i="2"/>
  <c r="H811" i="2"/>
  <c r="P812" i="2"/>
  <c r="N803" i="1"/>
  <c r="M803" i="1"/>
  <c r="M802" i="1"/>
  <c r="N802" i="1"/>
  <c r="K804" i="1"/>
  <c r="I805" i="1"/>
  <c r="P807" i="1"/>
  <c r="H807" i="1" s="1"/>
  <c r="H808" i="1" s="1"/>
  <c r="Q806" i="1"/>
  <c r="M807" i="2" l="1"/>
  <c r="N807" i="2"/>
  <c r="K809" i="2"/>
  <c r="L808" i="2"/>
  <c r="I811" i="2"/>
  <c r="H812" i="2"/>
  <c r="I812" i="2" s="1"/>
  <c r="Q812" i="2"/>
  <c r="P813" i="2"/>
  <c r="K805" i="1"/>
  <c r="L805" i="1" s="1"/>
  <c r="N805" i="1" s="1"/>
  <c r="L804" i="1"/>
  <c r="P808" i="1"/>
  <c r="Q807" i="1"/>
  <c r="I806" i="1"/>
  <c r="Q813" i="2" l="1"/>
  <c r="P814" i="2"/>
  <c r="H813" i="2"/>
  <c r="M808" i="2"/>
  <c r="N808" i="2"/>
  <c r="K810" i="2"/>
  <c r="L809" i="2"/>
  <c r="M805" i="1"/>
  <c r="N804" i="1"/>
  <c r="M804" i="1"/>
  <c r="K806" i="1"/>
  <c r="I807" i="1"/>
  <c r="Q808" i="1"/>
  <c r="P809" i="1"/>
  <c r="H809" i="1" s="1"/>
  <c r="H810" i="1" s="1"/>
  <c r="I813" i="2" l="1"/>
  <c r="H814" i="2"/>
  <c r="I814" i="2" s="1"/>
  <c r="K811" i="2"/>
  <c r="L810" i="2"/>
  <c r="M809" i="2"/>
  <c r="N809" i="2"/>
  <c r="Q814" i="2"/>
  <c r="P815" i="2"/>
  <c r="K807" i="1"/>
  <c r="L807" i="1" s="1"/>
  <c r="L806" i="1"/>
  <c r="P810" i="1"/>
  <c r="Q809" i="1"/>
  <c r="I808" i="1"/>
  <c r="Q815" i="2" l="1"/>
  <c r="H815" i="2"/>
  <c r="P816" i="2"/>
  <c r="M810" i="2"/>
  <c r="N810" i="2"/>
  <c r="K812" i="2"/>
  <c r="L811" i="2"/>
  <c r="N807" i="1"/>
  <c r="M807" i="1"/>
  <c r="M806" i="1"/>
  <c r="N806" i="1"/>
  <c r="K808" i="1"/>
  <c r="I809" i="1"/>
  <c r="P811" i="1"/>
  <c r="H811" i="1" s="1"/>
  <c r="H812" i="1" s="1"/>
  <c r="Q810" i="1"/>
  <c r="M811" i="2" l="1"/>
  <c r="N811" i="2"/>
  <c r="Q816" i="2"/>
  <c r="P817" i="2"/>
  <c r="I815" i="2"/>
  <c r="H816" i="2"/>
  <c r="I816" i="2" s="1"/>
  <c r="K813" i="2"/>
  <c r="L812" i="2"/>
  <c r="K809" i="1"/>
  <c r="L809" i="1" s="1"/>
  <c r="N809" i="1" s="1"/>
  <c r="L808" i="1"/>
  <c r="P812" i="1"/>
  <c r="Q811" i="1"/>
  <c r="I810" i="1"/>
  <c r="Q817" i="2" l="1"/>
  <c r="P818" i="2"/>
  <c r="H817" i="2"/>
  <c r="K814" i="2"/>
  <c r="L813" i="2"/>
  <c r="M812" i="2"/>
  <c r="N812" i="2"/>
  <c r="M809" i="1"/>
  <c r="M808" i="1"/>
  <c r="N808" i="1"/>
  <c r="K810" i="1"/>
  <c r="I811" i="1"/>
  <c r="Q812" i="1"/>
  <c r="P813" i="1"/>
  <c r="H813" i="1" s="1"/>
  <c r="H814" i="1" s="1"/>
  <c r="K815" i="2" l="1"/>
  <c r="L814" i="2"/>
  <c r="I817" i="2"/>
  <c r="H818" i="2"/>
  <c r="I818" i="2" s="1"/>
  <c r="Q818" i="2"/>
  <c r="P819" i="2"/>
  <c r="M813" i="2"/>
  <c r="N813" i="2"/>
  <c r="K811" i="1"/>
  <c r="L811" i="1" s="1"/>
  <c r="L810" i="1"/>
  <c r="P814" i="1"/>
  <c r="Q813" i="1"/>
  <c r="I812" i="1"/>
  <c r="Q819" i="2" l="1"/>
  <c r="H819" i="2"/>
  <c r="P820" i="2"/>
  <c r="M814" i="2"/>
  <c r="N814" i="2"/>
  <c r="K816" i="2"/>
  <c r="L815" i="2"/>
  <c r="N811" i="1"/>
  <c r="M811" i="1"/>
  <c r="M810" i="1"/>
  <c r="N810" i="1"/>
  <c r="K812" i="1"/>
  <c r="I813" i="1"/>
  <c r="P815" i="1"/>
  <c r="H815" i="1" s="1"/>
  <c r="H816" i="1" s="1"/>
  <c r="Q814" i="1"/>
  <c r="Q820" i="2" l="1"/>
  <c r="P821" i="2"/>
  <c r="I819" i="2"/>
  <c r="H820" i="2"/>
  <c r="I820" i="2" s="1"/>
  <c r="M815" i="2"/>
  <c r="N815" i="2"/>
  <c r="K817" i="2"/>
  <c r="L816" i="2"/>
  <c r="K813" i="1"/>
  <c r="L813" i="1" s="1"/>
  <c r="N813" i="1" s="1"/>
  <c r="L812" i="1"/>
  <c r="P816" i="1"/>
  <c r="Q815" i="1"/>
  <c r="I814" i="1"/>
  <c r="K818" i="2" l="1"/>
  <c r="L817" i="2"/>
  <c r="Q821" i="2"/>
  <c r="P822" i="2"/>
  <c r="H821" i="2"/>
  <c r="M816" i="2"/>
  <c r="N816" i="2"/>
  <c r="M813" i="1"/>
  <c r="N812" i="1"/>
  <c r="M812" i="1"/>
  <c r="K814" i="1"/>
  <c r="I815" i="1"/>
  <c r="P817" i="1"/>
  <c r="H817" i="1" s="1"/>
  <c r="H818" i="1" s="1"/>
  <c r="Q816" i="1"/>
  <c r="Q822" i="2" l="1"/>
  <c r="P823" i="2"/>
  <c r="M817" i="2"/>
  <c r="N817" i="2"/>
  <c r="I821" i="2"/>
  <c r="H822" i="2"/>
  <c r="I822" i="2" s="1"/>
  <c r="K819" i="2"/>
  <c r="L818" i="2"/>
  <c r="K815" i="1"/>
  <c r="L815" i="1" s="1"/>
  <c r="L814" i="1"/>
  <c r="P818" i="1"/>
  <c r="Q817" i="1"/>
  <c r="I816" i="1"/>
  <c r="M818" i="2" l="1"/>
  <c r="N818" i="2"/>
  <c r="K820" i="2"/>
  <c r="L819" i="2"/>
  <c r="Q823" i="2"/>
  <c r="H823" i="2"/>
  <c r="P824" i="2"/>
  <c r="N815" i="1"/>
  <c r="M815" i="1"/>
  <c r="M814" i="1"/>
  <c r="N814" i="1"/>
  <c r="K816" i="1"/>
  <c r="I817" i="1"/>
  <c r="P819" i="1"/>
  <c r="H819" i="1" s="1"/>
  <c r="H820" i="1" s="1"/>
  <c r="Q818" i="1"/>
  <c r="M819" i="2" l="1"/>
  <c r="N819" i="2"/>
  <c r="K821" i="2"/>
  <c r="L820" i="2"/>
  <c r="Q824" i="2"/>
  <c r="P825" i="2"/>
  <c r="I823" i="2"/>
  <c r="H824" i="2"/>
  <c r="I824" i="2" s="1"/>
  <c r="K817" i="1"/>
  <c r="L817" i="1" s="1"/>
  <c r="N817" i="1" s="1"/>
  <c r="L816" i="1"/>
  <c r="P820" i="1"/>
  <c r="Q819" i="1"/>
  <c r="I818" i="1"/>
  <c r="M820" i="2" l="1"/>
  <c r="N820" i="2"/>
  <c r="K822" i="2"/>
  <c r="L821" i="2"/>
  <c r="P826" i="2"/>
  <c r="Q825" i="2"/>
  <c r="H825" i="2"/>
  <c r="M817" i="1"/>
  <c r="N816" i="1"/>
  <c r="M816" i="1"/>
  <c r="K818" i="1"/>
  <c r="I819" i="1"/>
  <c r="P821" i="1"/>
  <c r="H821" i="1" s="1"/>
  <c r="H822" i="1" s="1"/>
  <c r="Q820" i="1"/>
  <c r="M821" i="2" l="1"/>
  <c r="N821" i="2"/>
  <c r="K823" i="2"/>
  <c r="L822" i="2"/>
  <c r="I825" i="2"/>
  <c r="H826" i="2"/>
  <c r="I826" i="2" s="1"/>
  <c r="Q826" i="2"/>
  <c r="P827" i="2"/>
  <c r="K819" i="1"/>
  <c r="L819" i="1" s="1"/>
  <c r="L818" i="1"/>
  <c r="P822" i="1"/>
  <c r="Q821" i="1"/>
  <c r="I821" i="1"/>
  <c r="I820" i="1"/>
  <c r="P828" i="2" l="1"/>
  <c r="Q827" i="2"/>
  <c r="H827" i="2"/>
  <c r="M822" i="2"/>
  <c r="N822" i="2"/>
  <c r="K824" i="2"/>
  <c r="L823" i="2"/>
  <c r="M819" i="1"/>
  <c r="N819" i="1"/>
  <c r="N818" i="1"/>
  <c r="M818" i="1"/>
  <c r="K820" i="1"/>
  <c r="K821" i="1" s="1"/>
  <c r="P823" i="1"/>
  <c r="H823" i="1" s="1"/>
  <c r="H824" i="1" s="1"/>
  <c r="Q822" i="1"/>
  <c r="M823" i="2" l="1"/>
  <c r="N823" i="2"/>
  <c r="I827" i="2"/>
  <c r="H828" i="2"/>
  <c r="I828" i="2" s="1"/>
  <c r="K825" i="2"/>
  <c r="L824" i="2"/>
  <c r="Q828" i="2"/>
  <c r="P829" i="2"/>
  <c r="L821" i="1"/>
  <c r="N821" i="1" s="1"/>
  <c r="L820" i="1"/>
  <c r="I822" i="1"/>
  <c r="P824" i="1"/>
  <c r="Q823" i="1"/>
  <c r="Q829" i="2" l="1"/>
  <c r="P830" i="2"/>
  <c r="H829" i="2"/>
  <c r="M824" i="2"/>
  <c r="N824" i="2"/>
  <c r="K826" i="2"/>
  <c r="L825" i="2"/>
  <c r="M821" i="1"/>
  <c r="N820" i="1"/>
  <c r="M820" i="1"/>
  <c r="K822" i="1"/>
  <c r="L822" i="1" s="1"/>
  <c r="P825" i="1"/>
  <c r="H825" i="1" s="1"/>
  <c r="H826" i="1" s="1"/>
  <c r="Q824" i="1"/>
  <c r="I823" i="1"/>
  <c r="H830" i="2" l="1"/>
  <c r="I830" i="2" s="1"/>
  <c r="I829" i="2"/>
  <c r="M825" i="2"/>
  <c r="N825" i="2"/>
  <c r="Q830" i="2"/>
  <c r="P831" i="2"/>
  <c r="K827" i="2"/>
  <c r="L826" i="2"/>
  <c r="N822" i="1"/>
  <c r="M822" i="1"/>
  <c r="K823" i="1"/>
  <c r="L823" i="1" s="1"/>
  <c r="I824" i="1"/>
  <c r="P826" i="1"/>
  <c r="Q825" i="1"/>
  <c r="M826" i="2" l="1"/>
  <c r="N826" i="2"/>
  <c r="K828" i="2"/>
  <c r="L827" i="2"/>
  <c r="P832" i="2"/>
  <c r="Q831" i="2"/>
  <c r="H831" i="2"/>
  <c r="N823" i="1"/>
  <c r="M823" i="1"/>
  <c r="K824" i="1"/>
  <c r="L824" i="1" s="1"/>
  <c r="P827" i="1"/>
  <c r="H827" i="1" s="1"/>
  <c r="H828" i="1" s="1"/>
  <c r="Q826" i="1"/>
  <c r="I825" i="1"/>
  <c r="N827" i="2" l="1"/>
  <c r="M827" i="2"/>
  <c r="I831" i="2"/>
  <c r="H832" i="2"/>
  <c r="I832" i="2" s="1"/>
  <c r="K829" i="2"/>
  <c r="L828" i="2"/>
  <c r="Q832" i="2"/>
  <c r="P833" i="2"/>
  <c r="N824" i="1"/>
  <c r="M824" i="1"/>
  <c r="K825" i="1"/>
  <c r="L825" i="1" s="1"/>
  <c r="I826" i="1"/>
  <c r="P828" i="1"/>
  <c r="Q827" i="1"/>
  <c r="M828" i="2" l="1"/>
  <c r="N828" i="2"/>
  <c r="Q833" i="2"/>
  <c r="P834" i="2"/>
  <c r="H833" i="2"/>
  <c r="L829" i="2"/>
  <c r="K830" i="2"/>
  <c r="N825" i="1"/>
  <c r="M825" i="1"/>
  <c r="K826" i="1"/>
  <c r="L826" i="1" s="1"/>
  <c r="P829" i="1"/>
  <c r="H829" i="1" s="1"/>
  <c r="H830" i="1" s="1"/>
  <c r="Q828" i="1"/>
  <c r="I827" i="1"/>
  <c r="Q834" i="2" l="1"/>
  <c r="P835" i="2"/>
  <c r="K831" i="2"/>
  <c r="L830" i="2"/>
  <c r="N829" i="2"/>
  <c r="M829" i="2"/>
  <c r="H834" i="2"/>
  <c r="I834" i="2" s="1"/>
  <c r="I833" i="2"/>
  <c r="N826" i="1"/>
  <c r="M826" i="1"/>
  <c r="K827" i="1"/>
  <c r="L827" i="1" s="1"/>
  <c r="I828" i="1"/>
  <c r="P830" i="1"/>
  <c r="Q829" i="1"/>
  <c r="M830" i="2" l="1"/>
  <c r="N830" i="2"/>
  <c r="P836" i="2"/>
  <c r="Q835" i="2"/>
  <c r="H835" i="2"/>
  <c r="K832" i="2"/>
  <c r="L831" i="2"/>
  <c r="N827" i="1"/>
  <c r="M827" i="1"/>
  <c r="K828" i="1"/>
  <c r="L828" i="1" s="1"/>
  <c r="P831" i="1"/>
  <c r="H831" i="1" s="1"/>
  <c r="H832" i="1" s="1"/>
  <c r="Q830" i="1"/>
  <c r="I829" i="1"/>
  <c r="N831" i="2" l="1"/>
  <c r="M831" i="2"/>
  <c r="Q836" i="2"/>
  <c r="P837" i="2"/>
  <c r="K833" i="2"/>
  <c r="L832" i="2"/>
  <c r="I835" i="2"/>
  <c r="H836" i="2"/>
  <c r="I836" i="2" s="1"/>
  <c r="N828" i="1"/>
  <c r="M828" i="1"/>
  <c r="K829" i="1"/>
  <c r="L829" i="1" s="1"/>
  <c r="I830" i="1"/>
  <c r="P832" i="1"/>
  <c r="Q831" i="1"/>
  <c r="Q837" i="2" l="1"/>
  <c r="P838" i="2"/>
  <c r="H837" i="2"/>
  <c r="M832" i="2"/>
  <c r="N832" i="2"/>
  <c r="L833" i="2"/>
  <c r="K834" i="2"/>
  <c r="N829" i="1"/>
  <c r="M829" i="1"/>
  <c r="K830" i="1"/>
  <c r="L830" i="1" s="1"/>
  <c r="P833" i="1"/>
  <c r="H833" i="1" s="1"/>
  <c r="H834" i="1" s="1"/>
  <c r="Q832" i="1"/>
  <c r="I831" i="1"/>
  <c r="H838" i="2" l="1"/>
  <c r="I838" i="2" s="1"/>
  <c r="I837" i="2"/>
  <c r="K835" i="2"/>
  <c r="L834" i="2"/>
  <c r="Q838" i="2"/>
  <c r="P839" i="2"/>
  <c r="N833" i="2"/>
  <c r="M833" i="2"/>
  <c r="N830" i="1"/>
  <c r="M830" i="1"/>
  <c r="K831" i="1"/>
  <c r="L831" i="1" s="1"/>
  <c r="I832" i="1"/>
  <c r="P834" i="1"/>
  <c r="Q833" i="1"/>
  <c r="M834" i="2" l="1"/>
  <c r="N834" i="2"/>
  <c r="K836" i="2"/>
  <c r="L835" i="2"/>
  <c r="P840" i="2"/>
  <c r="Q839" i="2"/>
  <c r="H839" i="2"/>
  <c r="N831" i="1"/>
  <c r="M831" i="1"/>
  <c r="K832" i="1"/>
  <c r="L832" i="1" s="1"/>
  <c r="P835" i="1"/>
  <c r="H835" i="1" s="1"/>
  <c r="H836" i="1" s="1"/>
  <c r="Q834" i="1"/>
  <c r="I833" i="1"/>
  <c r="N835" i="2" l="1"/>
  <c r="M835" i="2"/>
  <c r="I839" i="2"/>
  <c r="H840" i="2"/>
  <c r="I840" i="2" s="1"/>
  <c r="K837" i="2"/>
  <c r="L836" i="2"/>
  <c r="Q840" i="2"/>
  <c r="P841" i="2"/>
  <c r="N832" i="1"/>
  <c r="M832" i="1"/>
  <c r="K833" i="1"/>
  <c r="L833" i="1" s="1"/>
  <c r="I834" i="1"/>
  <c r="P836" i="1"/>
  <c r="Q835" i="1"/>
  <c r="Q841" i="2" l="1"/>
  <c r="P842" i="2"/>
  <c r="H841" i="2"/>
  <c r="M836" i="2"/>
  <c r="N836" i="2"/>
  <c r="L837" i="2"/>
  <c r="K838" i="2"/>
  <c r="N833" i="1"/>
  <c r="M833" i="1"/>
  <c r="K834" i="1"/>
  <c r="L834" i="1" s="1"/>
  <c r="P837" i="1"/>
  <c r="H837" i="1" s="1"/>
  <c r="H838" i="1" s="1"/>
  <c r="Q836" i="1"/>
  <c r="I835" i="1"/>
  <c r="H842" i="2" l="1"/>
  <c r="I842" i="2" s="1"/>
  <c r="I841" i="2"/>
  <c r="K839" i="2"/>
  <c r="L838" i="2"/>
  <c r="Q842" i="2"/>
  <c r="P843" i="2"/>
  <c r="N837" i="2"/>
  <c r="M837" i="2"/>
  <c r="N834" i="1"/>
  <c r="M834" i="1"/>
  <c r="K835" i="1"/>
  <c r="L835" i="1" s="1"/>
  <c r="I836" i="1"/>
  <c r="P838" i="1"/>
  <c r="Q837" i="1"/>
  <c r="M838" i="2" l="1"/>
  <c r="N838" i="2"/>
  <c r="K840" i="2"/>
  <c r="L839" i="2"/>
  <c r="P844" i="2"/>
  <c r="Q843" i="2"/>
  <c r="H843" i="2"/>
  <c r="N835" i="1"/>
  <c r="M835" i="1"/>
  <c r="K836" i="1"/>
  <c r="L836" i="1" s="1"/>
  <c r="P839" i="1"/>
  <c r="H839" i="1" s="1"/>
  <c r="H840" i="1" s="1"/>
  <c r="Q838" i="1"/>
  <c r="I837" i="1"/>
  <c r="N839" i="2" l="1"/>
  <c r="M839" i="2"/>
  <c r="I843" i="2"/>
  <c r="H844" i="2"/>
  <c r="I844" i="2" s="1"/>
  <c r="K841" i="2"/>
  <c r="L840" i="2"/>
  <c r="Q844" i="2"/>
  <c r="P845" i="2"/>
  <c r="N836" i="1"/>
  <c r="M836" i="1"/>
  <c r="K837" i="1"/>
  <c r="L837" i="1" s="1"/>
  <c r="I838" i="1"/>
  <c r="P840" i="1"/>
  <c r="Q839" i="1"/>
  <c r="Q845" i="2" l="1"/>
  <c r="P846" i="2"/>
  <c r="H845" i="2"/>
  <c r="M840" i="2"/>
  <c r="N840" i="2"/>
  <c r="L841" i="2"/>
  <c r="K842" i="2"/>
  <c r="N837" i="1"/>
  <c r="M837" i="1"/>
  <c r="K838" i="1"/>
  <c r="L838" i="1" s="1"/>
  <c r="P841" i="1"/>
  <c r="H841" i="1" s="1"/>
  <c r="H842" i="1" s="1"/>
  <c r="Q840" i="1"/>
  <c r="I839" i="1"/>
  <c r="H846" i="2" l="1"/>
  <c r="I846" i="2" s="1"/>
  <c r="I845" i="2"/>
  <c r="K843" i="2"/>
  <c r="L842" i="2"/>
  <c r="Q846" i="2"/>
  <c r="P847" i="2"/>
  <c r="M841" i="2"/>
  <c r="N841" i="2"/>
  <c r="N838" i="1"/>
  <c r="M838" i="1"/>
  <c r="K839" i="1"/>
  <c r="L839" i="1" s="1"/>
  <c r="I840" i="1"/>
  <c r="P842" i="1"/>
  <c r="Q841" i="1"/>
  <c r="M842" i="2" l="1"/>
  <c r="N842" i="2"/>
  <c r="K844" i="2"/>
  <c r="L843" i="2"/>
  <c r="P848" i="2"/>
  <c r="Q847" i="2"/>
  <c r="H847" i="2"/>
  <c r="N839" i="1"/>
  <c r="M839" i="1"/>
  <c r="K840" i="1"/>
  <c r="L840" i="1" s="1"/>
  <c r="P843" i="1"/>
  <c r="H843" i="1" s="1"/>
  <c r="H844" i="1" s="1"/>
  <c r="Q842" i="1"/>
  <c r="I841" i="1"/>
  <c r="N843" i="2" l="1"/>
  <c r="M843" i="2"/>
  <c r="I847" i="2"/>
  <c r="H848" i="2"/>
  <c r="I848" i="2" s="1"/>
  <c r="K845" i="2"/>
  <c r="L844" i="2"/>
  <c r="Q848" i="2"/>
  <c r="P849" i="2"/>
  <c r="N840" i="1"/>
  <c r="M840" i="1"/>
  <c r="K841" i="1"/>
  <c r="L841" i="1" s="1"/>
  <c r="I842" i="1"/>
  <c r="P844" i="1"/>
  <c r="Q843" i="1"/>
  <c r="M844" i="2" l="1"/>
  <c r="N844" i="2"/>
  <c r="Q849" i="2"/>
  <c r="P850" i="2"/>
  <c r="H849" i="2"/>
  <c r="L845" i="2"/>
  <c r="K846" i="2"/>
  <c r="N841" i="1"/>
  <c r="M841" i="1"/>
  <c r="K842" i="1"/>
  <c r="L842" i="1" s="1"/>
  <c r="P845" i="1"/>
  <c r="H845" i="1" s="1"/>
  <c r="H846" i="1" s="1"/>
  <c r="Q844" i="1"/>
  <c r="I843" i="1"/>
  <c r="Q850" i="2" l="1"/>
  <c r="P851" i="2"/>
  <c r="K847" i="2"/>
  <c r="L846" i="2"/>
  <c r="M845" i="2"/>
  <c r="N845" i="2"/>
  <c r="H850" i="2"/>
  <c r="I850" i="2" s="1"/>
  <c r="I849" i="2"/>
  <c r="N842" i="1"/>
  <c r="M842" i="1"/>
  <c r="K843" i="1"/>
  <c r="L843" i="1" s="1"/>
  <c r="I844" i="1"/>
  <c r="P846" i="1"/>
  <c r="Q845" i="1"/>
  <c r="M846" i="2" l="1"/>
  <c r="N846" i="2"/>
  <c r="P852" i="2"/>
  <c r="Q851" i="2"/>
  <c r="H851" i="2"/>
  <c r="K848" i="2"/>
  <c r="L847" i="2"/>
  <c r="N843" i="1"/>
  <c r="M843" i="1"/>
  <c r="K844" i="1"/>
  <c r="L844" i="1" s="1"/>
  <c r="P847" i="1"/>
  <c r="H847" i="1" s="1"/>
  <c r="H848" i="1" s="1"/>
  <c r="Q846" i="1"/>
  <c r="I845" i="1"/>
  <c r="K849" i="2" l="1"/>
  <c r="L848" i="2"/>
  <c r="Q852" i="2"/>
  <c r="P853" i="2"/>
  <c r="N847" i="2"/>
  <c r="M847" i="2"/>
  <c r="I851" i="2"/>
  <c r="H852" i="2"/>
  <c r="I852" i="2" s="1"/>
  <c r="N844" i="1"/>
  <c r="M844" i="1"/>
  <c r="K845" i="1"/>
  <c r="L845" i="1" s="1"/>
  <c r="I846" i="1"/>
  <c r="P848" i="1"/>
  <c r="Q847" i="1"/>
  <c r="Q853" i="2" l="1"/>
  <c r="P854" i="2"/>
  <c r="H853" i="2"/>
  <c r="M848" i="2"/>
  <c r="N848" i="2"/>
  <c r="L849" i="2"/>
  <c r="K850" i="2"/>
  <c r="N845" i="1"/>
  <c r="M845" i="1"/>
  <c r="K846" i="1"/>
  <c r="L846" i="1" s="1"/>
  <c r="P849" i="1"/>
  <c r="H849" i="1" s="1"/>
  <c r="H850" i="1" s="1"/>
  <c r="Q848" i="1"/>
  <c r="I847" i="1"/>
  <c r="H854" i="2" l="1"/>
  <c r="I854" i="2" s="1"/>
  <c r="I853" i="2"/>
  <c r="K851" i="2"/>
  <c r="L850" i="2"/>
  <c r="Q854" i="2"/>
  <c r="P855" i="2"/>
  <c r="M849" i="2"/>
  <c r="N849" i="2"/>
  <c r="N846" i="1"/>
  <c r="M846" i="1"/>
  <c r="K847" i="1"/>
  <c r="L847" i="1" s="1"/>
  <c r="I848" i="1"/>
  <c r="P850" i="1"/>
  <c r="Q849" i="1"/>
  <c r="M850" i="2" l="1"/>
  <c r="N850" i="2"/>
  <c r="K852" i="2"/>
  <c r="L851" i="2"/>
  <c r="P856" i="2"/>
  <c r="Q855" i="2"/>
  <c r="H855" i="2"/>
  <c r="N847" i="1"/>
  <c r="M847" i="1"/>
  <c r="K848" i="1"/>
  <c r="L848" i="1" s="1"/>
  <c r="P851" i="1"/>
  <c r="H851" i="1" s="1"/>
  <c r="H852" i="1" s="1"/>
  <c r="Q850" i="1"/>
  <c r="I849" i="1"/>
  <c r="N851" i="2" l="1"/>
  <c r="M851" i="2"/>
  <c r="I855" i="2"/>
  <c r="H856" i="2"/>
  <c r="I856" i="2" s="1"/>
  <c r="K853" i="2"/>
  <c r="L852" i="2"/>
  <c r="Q856" i="2"/>
  <c r="P857" i="2"/>
  <c r="N848" i="1"/>
  <c r="M848" i="1"/>
  <c r="K849" i="1"/>
  <c r="L849" i="1" s="1"/>
  <c r="I850" i="1"/>
  <c r="P852" i="1"/>
  <c r="Q851" i="1"/>
  <c r="Q857" i="2" l="1"/>
  <c r="P858" i="2"/>
  <c r="H857" i="2"/>
  <c r="M852" i="2"/>
  <c r="N852" i="2"/>
  <c r="L853" i="2"/>
  <c r="K854" i="2"/>
  <c r="N849" i="1"/>
  <c r="M849" i="1"/>
  <c r="K850" i="1"/>
  <c r="L850" i="1" s="1"/>
  <c r="P853" i="1"/>
  <c r="H853" i="1" s="1"/>
  <c r="H854" i="1" s="1"/>
  <c r="Q852" i="1"/>
  <c r="I851" i="1"/>
  <c r="H858" i="2" l="1"/>
  <c r="I858" i="2" s="1"/>
  <c r="I857" i="2"/>
  <c r="Q858" i="2"/>
  <c r="P859" i="2"/>
  <c r="K855" i="2"/>
  <c r="L854" i="2"/>
  <c r="M853" i="2"/>
  <c r="N853" i="2"/>
  <c r="N850" i="1"/>
  <c r="M850" i="1"/>
  <c r="K851" i="1"/>
  <c r="L851" i="1" s="1"/>
  <c r="I852" i="1"/>
  <c r="P854" i="1"/>
  <c r="Q853" i="1"/>
  <c r="K856" i="2" l="1"/>
  <c r="L855" i="2"/>
  <c r="P860" i="2"/>
  <c r="Q859" i="2"/>
  <c r="H859" i="2"/>
  <c r="M854" i="2"/>
  <c r="N854" i="2"/>
  <c r="N851" i="1"/>
  <c r="M851" i="1"/>
  <c r="K852" i="1"/>
  <c r="L852" i="1" s="1"/>
  <c r="P855" i="1"/>
  <c r="H855" i="1" s="1"/>
  <c r="H856" i="1" s="1"/>
  <c r="Q854" i="1"/>
  <c r="I853" i="1"/>
  <c r="Q860" i="2" l="1"/>
  <c r="P861" i="2"/>
  <c r="N855" i="2"/>
  <c r="M855" i="2"/>
  <c r="I859" i="2"/>
  <c r="H860" i="2"/>
  <c r="I860" i="2" s="1"/>
  <c r="K857" i="2"/>
  <c r="L856" i="2"/>
  <c r="N852" i="1"/>
  <c r="M852" i="1"/>
  <c r="K853" i="1"/>
  <c r="L853" i="1" s="1"/>
  <c r="I854" i="1"/>
  <c r="P856" i="1"/>
  <c r="Q855" i="1"/>
  <c r="M856" i="2" l="1"/>
  <c r="N856" i="2"/>
  <c r="L857" i="2"/>
  <c r="K858" i="2"/>
  <c r="Q861" i="2"/>
  <c r="P862" i="2"/>
  <c r="H861" i="2"/>
  <c r="N853" i="1"/>
  <c r="M853" i="1"/>
  <c r="K854" i="1"/>
  <c r="L854" i="1" s="1"/>
  <c r="P857" i="1"/>
  <c r="H857" i="1" s="1"/>
  <c r="H858" i="1" s="1"/>
  <c r="Q856" i="1"/>
  <c r="I855" i="1"/>
  <c r="K859" i="2" l="1"/>
  <c r="L858" i="2"/>
  <c r="M857" i="2"/>
  <c r="N857" i="2"/>
  <c r="H862" i="2"/>
  <c r="I862" i="2" s="1"/>
  <c r="I861" i="2"/>
  <c r="Q862" i="2"/>
  <c r="P863" i="2"/>
  <c r="N854" i="1"/>
  <c r="M854" i="1"/>
  <c r="K855" i="1"/>
  <c r="L855" i="1" s="1"/>
  <c r="I856" i="1"/>
  <c r="P858" i="1"/>
  <c r="Q857" i="1"/>
  <c r="P864" i="2" l="1"/>
  <c r="Q863" i="2"/>
  <c r="H863" i="2"/>
  <c r="M858" i="2"/>
  <c r="N858" i="2"/>
  <c r="K860" i="2"/>
  <c r="L859" i="2"/>
  <c r="N855" i="1"/>
  <c r="M855" i="1"/>
  <c r="K856" i="1"/>
  <c r="L856" i="1" s="1"/>
  <c r="P859" i="1"/>
  <c r="H859" i="1" s="1"/>
  <c r="H860" i="1" s="1"/>
  <c r="Q858" i="1"/>
  <c r="I857" i="1"/>
  <c r="N859" i="2" l="1"/>
  <c r="M859" i="2"/>
  <c r="I863" i="2"/>
  <c r="H864" i="2"/>
  <c r="I864" i="2" s="1"/>
  <c r="K861" i="2"/>
  <c r="L860" i="2"/>
  <c r="Q864" i="2"/>
  <c r="P865" i="2"/>
  <c r="N856" i="1"/>
  <c r="M856" i="1"/>
  <c r="K857" i="1"/>
  <c r="L857" i="1" s="1"/>
  <c r="I858" i="1"/>
  <c r="P860" i="1"/>
  <c r="Q859" i="1"/>
  <c r="Q865" i="2" l="1"/>
  <c r="P866" i="2"/>
  <c r="H865" i="2"/>
  <c r="M860" i="2"/>
  <c r="N860" i="2"/>
  <c r="L861" i="2"/>
  <c r="K862" i="2"/>
  <c r="N857" i="1"/>
  <c r="M857" i="1"/>
  <c r="K858" i="1"/>
  <c r="L858" i="1" s="1"/>
  <c r="P861" i="1"/>
  <c r="H861" i="1" s="1"/>
  <c r="H862" i="1" s="1"/>
  <c r="Q860" i="1"/>
  <c r="I859" i="1"/>
  <c r="H866" i="2" l="1"/>
  <c r="I866" i="2" s="1"/>
  <c r="I865" i="2"/>
  <c r="K863" i="2"/>
  <c r="L862" i="2"/>
  <c r="Q866" i="2"/>
  <c r="P867" i="2"/>
  <c r="M861" i="2"/>
  <c r="N861" i="2"/>
  <c r="N858" i="1"/>
  <c r="M858" i="1"/>
  <c r="K859" i="1"/>
  <c r="L859" i="1" s="1"/>
  <c r="I860" i="1"/>
  <c r="P862" i="1"/>
  <c r="Q861" i="1"/>
  <c r="M862" i="2" l="1"/>
  <c r="N862" i="2"/>
  <c r="K864" i="2"/>
  <c r="L863" i="2"/>
  <c r="P868" i="2"/>
  <c r="Q867" i="2"/>
  <c r="H867" i="2"/>
  <c r="N859" i="1"/>
  <c r="M859" i="1"/>
  <c r="K860" i="1"/>
  <c r="L860" i="1" s="1"/>
  <c r="P863" i="1"/>
  <c r="H863" i="1" s="1"/>
  <c r="H864" i="1" s="1"/>
  <c r="Q862" i="1"/>
  <c r="I861" i="1"/>
  <c r="N863" i="2" l="1"/>
  <c r="M863" i="2"/>
  <c r="I867" i="2"/>
  <c r="H868" i="2"/>
  <c r="I868" i="2" s="1"/>
  <c r="K865" i="2"/>
  <c r="L864" i="2"/>
  <c r="Q868" i="2"/>
  <c r="P869" i="2"/>
  <c r="N860" i="1"/>
  <c r="M860" i="1"/>
  <c r="K861" i="1"/>
  <c r="L861" i="1" s="1"/>
  <c r="I862" i="1"/>
  <c r="P864" i="1"/>
  <c r="Q863" i="1"/>
  <c r="Q869" i="2" l="1"/>
  <c r="P870" i="2"/>
  <c r="H869" i="2"/>
  <c r="M864" i="2"/>
  <c r="N864" i="2"/>
  <c r="L865" i="2"/>
  <c r="K866" i="2"/>
  <c r="N861" i="1"/>
  <c r="M861" i="1"/>
  <c r="K862" i="1"/>
  <c r="L862" i="1" s="1"/>
  <c r="P865" i="1"/>
  <c r="H865" i="1" s="1"/>
  <c r="H866" i="1" s="1"/>
  <c r="Q864" i="1"/>
  <c r="I863" i="1"/>
  <c r="H870" i="2" l="1"/>
  <c r="I870" i="2" s="1"/>
  <c r="I869" i="2"/>
  <c r="K867" i="2"/>
  <c r="L866" i="2"/>
  <c r="Q870" i="2"/>
  <c r="P871" i="2"/>
  <c r="M865" i="2"/>
  <c r="N865" i="2"/>
  <c r="N862" i="1"/>
  <c r="M862" i="1"/>
  <c r="K863" i="1"/>
  <c r="L863" i="1" s="1"/>
  <c r="I864" i="1"/>
  <c r="P866" i="1"/>
  <c r="Q865" i="1"/>
  <c r="M866" i="2" l="1"/>
  <c r="N866" i="2"/>
  <c r="K868" i="2"/>
  <c r="L867" i="2"/>
  <c r="P872" i="2"/>
  <c r="Q871" i="2"/>
  <c r="H871" i="2"/>
  <c r="N863" i="1"/>
  <c r="M863" i="1"/>
  <c r="K864" i="1"/>
  <c r="L864" i="1" s="1"/>
  <c r="P867" i="1"/>
  <c r="H867" i="1" s="1"/>
  <c r="H868" i="1" s="1"/>
  <c r="Q866" i="1"/>
  <c r="I865" i="1"/>
  <c r="N867" i="2" l="1"/>
  <c r="M867" i="2"/>
  <c r="I871" i="2"/>
  <c r="H872" i="2"/>
  <c r="I872" i="2" s="1"/>
  <c r="K869" i="2"/>
  <c r="L868" i="2"/>
  <c r="Q872" i="2"/>
  <c r="P873" i="2"/>
  <c r="N864" i="1"/>
  <c r="M864" i="1"/>
  <c r="K865" i="1"/>
  <c r="L865" i="1" s="1"/>
  <c r="I866" i="1"/>
  <c r="P868" i="1"/>
  <c r="Q867" i="1"/>
  <c r="Q873" i="2" l="1"/>
  <c r="P874" i="2"/>
  <c r="H873" i="2"/>
  <c r="M868" i="2"/>
  <c r="N868" i="2"/>
  <c r="L869" i="2"/>
  <c r="K870" i="2"/>
  <c r="N865" i="1"/>
  <c r="M865" i="1"/>
  <c r="K866" i="1"/>
  <c r="L866" i="1" s="1"/>
  <c r="P869" i="1"/>
  <c r="H869" i="1" s="1"/>
  <c r="H870" i="1" s="1"/>
  <c r="Q868" i="1"/>
  <c r="I867" i="1"/>
  <c r="H874" i="2" l="1"/>
  <c r="I874" i="2" s="1"/>
  <c r="I873" i="2"/>
  <c r="K871" i="2"/>
  <c r="L870" i="2"/>
  <c r="M869" i="2"/>
  <c r="N869" i="2"/>
  <c r="Q874" i="2"/>
  <c r="P875" i="2"/>
  <c r="N866" i="1"/>
  <c r="M866" i="1"/>
  <c r="K867" i="1"/>
  <c r="L867" i="1" s="1"/>
  <c r="I869" i="1"/>
  <c r="I868" i="1"/>
  <c r="P870" i="1"/>
  <c r="Q869" i="1"/>
  <c r="K872" i="2" l="1"/>
  <c r="L871" i="2"/>
  <c r="P876" i="2"/>
  <c r="Q875" i="2"/>
  <c r="H875" i="2"/>
  <c r="M870" i="2"/>
  <c r="N870" i="2"/>
  <c r="M867" i="1"/>
  <c r="N867" i="1"/>
  <c r="K868" i="1"/>
  <c r="K869" i="1" s="1"/>
  <c r="L869" i="1" s="1"/>
  <c r="N869" i="1" s="1"/>
  <c r="P871" i="1"/>
  <c r="H871" i="1" s="1"/>
  <c r="H872" i="1" s="1"/>
  <c r="Q870" i="1"/>
  <c r="N871" i="2" l="1"/>
  <c r="M871" i="2"/>
  <c r="Q876" i="2"/>
  <c r="P877" i="2"/>
  <c r="I875" i="2"/>
  <c r="H876" i="2"/>
  <c r="I876" i="2" s="1"/>
  <c r="K873" i="2"/>
  <c r="L872" i="2"/>
  <c r="L868" i="1"/>
  <c r="M869" i="1" s="1"/>
  <c r="I870" i="1"/>
  <c r="P872" i="1"/>
  <c r="Q871" i="1"/>
  <c r="M872" i="2" l="1"/>
  <c r="N872" i="2"/>
  <c r="Q877" i="2"/>
  <c r="P878" i="2"/>
  <c r="H877" i="2"/>
  <c r="L873" i="2"/>
  <c r="K874" i="2"/>
  <c r="M868" i="1"/>
  <c r="N868" i="1"/>
  <c r="K870" i="1"/>
  <c r="P873" i="1"/>
  <c r="H873" i="1" s="1"/>
  <c r="H874" i="1" s="1"/>
  <c r="Q872" i="1"/>
  <c r="I871" i="1"/>
  <c r="Q878" i="2" l="1"/>
  <c r="P879" i="2"/>
  <c r="K875" i="2"/>
  <c r="L874" i="2"/>
  <c r="M873" i="2"/>
  <c r="N873" i="2"/>
  <c r="H878" i="2"/>
  <c r="I878" i="2" s="1"/>
  <c r="I877" i="2"/>
  <c r="K871" i="1"/>
  <c r="L871" i="1" s="1"/>
  <c r="N871" i="1" s="1"/>
  <c r="L870" i="1"/>
  <c r="I872" i="1"/>
  <c r="P874" i="1"/>
  <c r="Q873" i="1"/>
  <c r="M874" i="2" l="1"/>
  <c r="N874" i="2"/>
  <c r="K876" i="2"/>
  <c r="L875" i="2"/>
  <c r="P880" i="2"/>
  <c r="Q879" i="2"/>
  <c r="H879" i="2"/>
  <c r="M871" i="1"/>
  <c r="M870" i="1"/>
  <c r="N870" i="1"/>
  <c r="K872" i="1"/>
  <c r="P875" i="1"/>
  <c r="H875" i="1" s="1"/>
  <c r="H876" i="1" s="1"/>
  <c r="Q874" i="1"/>
  <c r="I873" i="1"/>
  <c r="N875" i="2" l="1"/>
  <c r="M875" i="2"/>
  <c r="K877" i="2"/>
  <c r="L876" i="2"/>
  <c r="I879" i="2"/>
  <c r="H880" i="2"/>
  <c r="I880" i="2" s="1"/>
  <c r="Q880" i="2"/>
  <c r="P881" i="2"/>
  <c r="K873" i="1"/>
  <c r="L873" i="1" s="1"/>
  <c r="L872" i="1"/>
  <c r="I874" i="1"/>
  <c r="P876" i="1"/>
  <c r="Q875" i="1"/>
  <c r="Q881" i="2" l="1"/>
  <c r="P882" i="2"/>
  <c r="H881" i="2"/>
  <c r="M876" i="2"/>
  <c r="N876" i="2"/>
  <c r="L877" i="2"/>
  <c r="K878" i="2"/>
  <c r="N873" i="1"/>
  <c r="M873" i="1"/>
  <c r="M872" i="1"/>
  <c r="N872" i="1"/>
  <c r="K874" i="1"/>
  <c r="P877" i="1"/>
  <c r="H877" i="1" s="1"/>
  <c r="H878" i="1" s="1"/>
  <c r="Q876" i="1"/>
  <c r="I875" i="1"/>
  <c r="K879" i="2" l="1"/>
  <c r="L878" i="2"/>
  <c r="M877" i="2"/>
  <c r="N877" i="2"/>
  <c r="Q882" i="2"/>
  <c r="P883" i="2"/>
  <c r="H882" i="2"/>
  <c r="I882" i="2" s="1"/>
  <c r="I881" i="2"/>
  <c r="K875" i="1"/>
  <c r="L875" i="1" s="1"/>
  <c r="N875" i="1" s="1"/>
  <c r="L874" i="1"/>
  <c r="I876" i="1"/>
  <c r="P878" i="1"/>
  <c r="Q877" i="1"/>
  <c r="P884" i="2" l="1"/>
  <c r="Q883" i="2"/>
  <c r="H883" i="2"/>
  <c r="M878" i="2"/>
  <c r="N878" i="2"/>
  <c r="K880" i="2"/>
  <c r="L879" i="2"/>
  <c r="M875" i="1"/>
  <c r="M874" i="1"/>
  <c r="N874" i="1"/>
  <c r="K876" i="1"/>
  <c r="P879" i="1"/>
  <c r="H879" i="1" s="1"/>
  <c r="H880" i="1" s="1"/>
  <c r="Q878" i="1"/>
  <c r="I877" i="1"/>
  <c r="N879" i="2" l="1"/>
  <c r="M879" i="2"/>
  <c r="I883" i="2"/>
  <c r="H884" i="2"/>
  <c r="I884" i="2" s="1"/>
  <c r="K881" i="2"/>
  <c r="L880" i="2"/>
  <c r="Q884" i="2"/>
  <c r="P885" i="2"/>
  <c r="K877" i="1"/>
  <c r="L877" i="1" s="1"/>
  <c r="L876" i="1"/>
  <c r="I878" i="1"/>
  <c r="P880" i="1"/>
  <c r="Q879" i="1"/>
  <c r="Q885" i="2" l="1"/>
  <c r="P886" i="2"/>
  <c r="H885" i="2"/>
  <c r="M880" i="2"/>
  <c r="N880" i="2"/>
  <c r="L881" i="2"/>
  <c r="K882" i="2"/>
  <c r="N877" i="1"/>
  <c r="M877" i="1"/>
  <c r="M876" i="1"/>
  <c r="N876" i="1"/>
  <c r="K878" i="1"/>
  <c r="P881" i="1"/>
  <c r="H881" i="1" s="1"/>
  <c r="H882" i="1" s="1"/>
  <c r="Q880" i="1"/>
  <c r="I879" i="1"/>
  <c r="H886" i="2" l="1"/>
  <c r="I886" i="2" s="1"/>
  <c r="I885" i="2"/>
  <c r="M881" i="2"/>
  <c r="N881" i="2"/>
  <c r="Q886" i="2"/>
  <c r="P887" i="2"/>
  <c r="K883" i="2"/>
  <c r="L882" i="2"/>
  <c r="K879" i="1"/>
  <c r="L879" i="1" s="1"/>
  <c r="N879" i="1" s="1"/>
  <c r="L878" i="1"/>
  <c r="I880" i="1"/>
  <c r="P882" i="1"/>
  <c r="Q881" i="1"/>
  <c r="M882" i="2" l="1"/>
  <c r="N882" i="2"/>
  <c r="K884" i="2"/>
  <c r="L883" i="2"/>
  <c r="P888" i="2"/>
  <c r="Q887" i="2"/>
  <c r="H887" i="2"/>
  <c r="M879" i="1"/>
  <c r="M878" i="1"/>
  <c r="N878" i="1"/>
  <c r="K880" i="1"/>
  <c r="P883" i="1"/>
  <c r="H883" i="1" s="1"/>
  <c r="H884" i="1" s="1"/>
  <c r="Q882" i="1"/>
  <c r="I881" i="1"/>
  <c r="N883" i="2" l="1"/>
  <c r="M883" i="2"/>
  <c r="I887" i="2"/>
  <c r="H888" i="2"/>
  <c r="I888" i="2" s="1"/>
  <c r="K885" i="2"/>
  <c r="L884" i="2"/>
  <c r="Q888" i="2"/>
  <c r="P889" i="2"/>
  <c r="K881" i="1"/>
  <c r="L881" i="1" s="1"/>
  <c r="L880" i="1"/>
  <c r="I882" i="1"/>
  <c r="P884" i="1"/>
  <c r="Q883" i="1"/>
  <c r="M884" i="2" l="1"/>
  <c r="N884" i="2"/>
  <c r="Q889" i="2"/>
  <c r="P890" i="2"/>
  <c r="H889" i="2"/>
  <c r="L885" i="2"/>
  <c r="K886" i="2"/>
  <c r="N881" i="1"/>
  <c r="M881" i="1"/>
  <c r="M880" i="1"/>
  <c r="N880" i="1"/>
  <c r="K882" i="1"/>
  <c r="P885" i="1"/>
  <c r="H885" i="1" s="1"/>
  <c r="H886" i="1" s="1"/>
  <c r="Q884" i="1"/>
  <c r="I883" i="1"/>
  <c r="Q890" i="2" l="1"/>
  <c r="P891" i="2"/>
  <c r="K887" i="2"/>
  <c r="L886" i="2"/>
  <c r="M885" i="2"/>
  <c r="N885" i="2"/>
  <c r="H890" i="2"/>
  <c r="I890" i="2" s="1"/>
  <c r="I889" i="2"/>
  <c r="K883" i="1"/>
  <c r="L883" i="1" s="1"/>
  <c r="N883" i="1" s="1"/>
  <c r="L882" i="1"/>
  <c r="I884" i="1"/>
  <c r="P886" i="1"/>
  <c r="Q885" i="1"/>
  <c r="M886" i="2" l="1"/>
  <c r="N886" i="2"/>
  <c r="K888" i="2"/>
  <c r="L887" i="2"/>
  <c r="P892" i="2"/>
  <c r="Q891" i="2"/>
  <c r="H891" i="2"/>
  <c r="M883" i="1"/>
  <c r="M882" i="1"/>
  <c r="N882" i="1"/>
  <c r="K884" i="1"/>
  <c r="P887" i="1"/>
  <c r="H887" i="1" s="1"/>
  <c r="H888" i="1" s="1"/>
  <c r="Q886" i="1"/>
  <c r="I885" i="1"/>
  <c r="N887" i="2" l="1"/>
  <c r="M887" i="2"/>
  <c r="I891" i="2"/>
  <c r="H892" i="2"/>
  <c r="I892" i="2" s="1"/>
  <c r="K889" i="2"/>
  <c r="L888" i="2"/>
  <c r="Q892" i="2"/>
  <c r="P893" i="2"/>
  <c r="K885" i="1"/>
  <c r="L885" i="1" s="1"/>
  <c r="L884" i="1"/>
  <c r="I886" i="1"/>
  <c r="P888" i="1"/>
  <c r="Q887" i="1"/>
  <c r="Q893" i="2" l="1"/>
  <c r="P894" i="2"/>
  <c r="H893" i="2"/>
  <c r="M888" i="2"/>
  <c r="N888" i="2"/>
  <c r="L889" i="2"/>
  <c r="K890" i="2"/>
  <c r="N885" i="1"/>
  <c r="M885" i="1"/>
  <c r="M884" i="1"/>
  <c r="N884" i="1"/>
  <c r="K886" i="1"/>
  <c r="P889" i="1"/>
  <c r="H889" i="1" s="1"/>
  <c r="H890" i="1" s="1"/>
  <c r="Q888" i="1"/>
  <c r="I887" i="1"/>
  <c r="H894" i="2" l="1"/>
  <c r="I894" i="2" s="1"/>
  <c r="I893" i="2"/>
  <c r="K891" i="2"/>
  <c r="L890" i="2"/>
  <c r="Q894" i="2"/>
  <c r="P895" i="2"/>
  <c r="M889" i="2"/>
  <c r="N889" i="2"/>
  <c r="K887" i="1"/>
  <c r="L887" i="1" s="1"/>
  <c r="N887" i="1" s="1"/>
  <c r="L886" i="1"/>
  <c r="I888" i="1"/>
  <c r="P890" i="1"/>
  <c r="Q889" i="1"/>
  <c r="M890" i="2" l="1"/>
  <c r="N890" i="2"/>
  <c r="K892" i="2"/>
  <c r="L891" i="2"/>
  <c r="P896" i="2"/>
  <c r="Q895" i="2"/>
  <c r="H895" i="2"/>
  <c r="M887" i="1"/>
  <c r="M886" i="1"/>
  <c r="N886" i="1"/>
  <c r="K888" i="1"/>
  <c r="P891" i="1"/>
  <c r="H891" i="1" s="1"/>
  <c r="H892" i="1" s="1"/>
  <c r="Q890" i="1"/>
  <c r="I889" i="1"/>
  <c r="N891" i="2" l="1"/>
  <c r="M891" i="2"/>
  <c r="I895" i="2"/>
  <c r="H896" i="2"/>
  <c r="I896" i="2" s="1"/>
  <c r="K893" i="2"/>
  <c r="L892" i="2"/>
  <c r="Q896" i="2"/>
  <c r="P897" i="2"/>
  <c r="K889" i="1"/>
  <c r="L889" i="1" s="1"/>
  <c r="L888" i="1"/>
  <c r="I890" i="1"/>
  <c r="P892" i="1"/>
  <c r="Q891" i="1"/>
  <c r="Q897" i="2" l="1"/>
  <c r="P898" i="2"/>
  <c r="H897" i="2"/>
  <c r="M892" i="2"/>
  <c r="N892" i="2"/>
  <c r="L893" i="2"/>
  <c r="K894" i="2"/>
  <c r="N889" i="1"/>
  <c r="M889" i="1"/>
  <c r="M888" i="1"/>
  <c r="N888" i="1"/>
  <c r="K890" i="1"/>
  <c r="P893" i="1"/>
  <c r="H893" i="1" s="1"/>
  <c r="H894" i="1" s="1"/>
  <c r="Q892" i="1"/>
  <c r="I891" i="1"/>
  <c r="H898" i="2" l="1"/>
  <c r="I898" i="2" s="1"/>
  <c r="I897" i="2"/>
  <c r="Q898" i="2"/>
  <c r="P899" i="2"/>
  <c r="K895" i="2"/>
  <c r="L894" i="2"/>
  <c r="M893" i="2"/>
  <c r="N893" i="2"/>
  <c r="K891" i="1"/>
  <c r="L891" i="1" s="1"/>
  <c r="N891" i="1" s="1"/>
  <c r="L890" i="1"/>
  <c r="I892" i="1"/>
  <c r="P894" i="1"/>
  <c r="Q893" i="1"/>
  <c r="P900" i="2" l="1"/>
  <c r="Q899" i="2"/>
  <c r="H899" i="2"/>
  <c r="K896" i="2"/>
  <c r="L895" i="2"/>
  <c r="M894" i="2"/>
  <c r="N894" i="2"/>
  <c r="M891" i="1"/>
  <c r="M890" i="1"/>
  <c r="N890" i="1"/>
  <c r="K892" i="1"/>
  <c r="P895" i="1"/>
  <c r="H895" i="1" s="1"/>
  <c r="H896" i="1" s="1"/>
  <c r="Q894" i="1"/>
  <c r="I893" i="1"/>
  <c r="K897" i="2" l="1"/>
  <c r="L896" i="2"/>
  <c r="I899" i="2"/>
  <c r="H900" i="2"/>
  <c r="I900" i="2" s="1"/>
  <c r="N895" i="2"/>
  <c r="M895" i="2"/>
  <c r="Q900" i="2"/>
  <c r="P901" i="2"/>
  <c r="K893" i="1"/>
  <c r="L893" i="1" s="1"/>
  <c r="L892" i="1"/>
  <c r="I894" i="1"/>
  <c r="P896" i="1"/>
  <c r="Q895" i="1"/>
  <c r="Q901" i="2" l="1"/>
  <c r="P902" i="2"/>
  <c r="H901" i="2"/>
  <c r="M896" i="2"/>
  <c r="N896" i="2"/>
  <c r="L897" i="2"/>
  <c r="K898" i="2"/>
  <c r="N893" i="1"/>
  <c r="M893" i="1"/>
  <c r="M892" i="1"/>
  <c r="N892" i="1"/>
  <c r="K894" i="1"/>
  <c r="P897" i="1"/>
  <c r="H897" i="1" s="1"/>
  <c r="H898" i="1" s="1"/>
  <c r="Q896" i="1"/>
  <c r="I895" i="1"/>
  <c r="H902" i="2" l="1"/>
  <c r="I902" i="2" s="1"/>
  <c r="I901" i="2"/>
  <c r="K899" i="2"/>
  <c r="L898" i="2"/>
  <c r="Q902" i="2"/>
  <c r="P903" i="2"/>
  <c r="M897" i="2"/>
  <c r="N897" i="2"/>
  <c r="K895" i="1"/>
  <c r="L895" i="1" s="1"/>
  <c r="N895" i="1" s="1"/>
  <c r="L894" i="1"/>
  <c r="I896" i="1"/>
  <c r="P898" i="1"/>
  <c r="Q897" i="1"/>
  <c r="M898" i="2" l="1"/>
  <c r="N898" i="2"/>
  <c r="K900" i="2"/>
  <c r="L899" i="2"/>
  <c r="P904" i="2"/>
  <c r="Q903" i="2"/>
  <c r="H903" i="2"/>
  <c r="M895" i="1"/>
  <c r="M894" i="1"/>
  <c r="N894" i="1"/>
  <c r="K896" i="1"/>
  <c r="P899" i="1"/>
  <c r="H899" i="1" s="1"/>
  <c r="H900" i="1" s="1"/>
  <c r="Q898" i="1"/>
  <c r="I897" i="1"/>
  <c r="N899" i="2" l="1"/>
  <c r="M899" i="2"/>
  <c r="I903" i="2"/>
  <c r="H904" i="2"/>
  <c r="I904" i="2" s="1"/>
  <c r="K901" i="2"/>
  <c r="L900" i="2"/>
  <c r="Q904" i="2"/>
  <c r="P905" i="2"/>
  <c r="K897" i="1"/>
  <c r="L897" i="1" s="1"/>
  <c r="L896" i="1"/>
  <c r="I898" i="1"/>
  <c r="P900" i="1"/>
  <c r="Q899" i="1"/>
  <c r="M900" i="2" l="1"/>
  <c r="N900" i="2"/>
  <c r="Q905" i="2"/>
  <c r="P906" i="2"/>
  <c r="H905" i="2"/>
  <c r="L901" i="2"/>
  <c r="K902" i="2"/>
  <c r="N897" i="1"/>
  <c r="M897" i="1"/>
  <c r="M896" i="1"/>
  <c r="N896" i="1"/>
  <c r="K898" i="1"/>
  <c r="P901" i="1"/>
  <c r="H901" i="1" s="1"/>
  <c r="H902" i="1" s="1"/>
  <c r="Q900" i="1"/>
  <c r="I899" i="1"/>
  <c r="Q906" i="2" l="1"/>
  <c r="P907" i="2"/>
  <c r="K903" i="2"/>
  <c r="L902" i="2"/>
  <c r="M901" i="2"/>
  <c r="N901" i="2"/>
  <c r="H906" i="2"/>
  <c r="I906" i="2" s="1"/>
  <c r="I905" i="2"/>
  <c r="K899" i="1"/>
  <c r="L899" i="1" s="1"/>
  <c r="N899" i="1" s="1"/>
  <c r="L898" i="1"/>
  <c r="I900" i="1"/>
  <c r="P902" i="1"/>
  <c r="Q901" i="1"/>
  <c r="M902" i="2" l="1"/>
  <c r="N902" i="2"/>
  <c r="K904" i="2"/>
  <c r="L903" i="2"/>
  <c r="P908" i="2"/>
  <c r="Q907" i="2"/>
  <c r="H907" i="2"/>
  <c r="M899" i="1"/>
  <c r="M898" i="1"/>
  <c r="N898" i="1"/>
  <c r="K900" i="1"/>
  <c r="P903" i="1"/>
  <c r="H903" i="1" s="1"/>
  <c r="H904" i="1" s="1"/>
  <c r="Q902" i="1"/>
  <c r="I901" i="1"/>
  <c r="N903" i="2" l="1"/>
  <c r="M903" i="2"/>
  <c r="K905" i="2"/>
  <c r="L904" i="2"/>
  <c r="I907" i="2"/>
  <c r="H908" i="2"/>
  <c r="I908" i="2" s="1"/>
  <c r="Q908" i="2"/>
  <c r="P909" i="2"/>
  <c r="K901" i="1"/>
  <c r="L901" i="1" s="1"/>
  <c r="L900" i="1"/>
  <c r="I902" i="1"/>
  <c r="P904" i="1"/>
  <c r="Q903" i="1"/>
  <c r="Q909" i="2" l="1"/>
  <c r="P910" i="2"/>
  <c r="H909" i="2"/>
  <c r="M904" i="2"/>
  <c r="N904" i="2"/>
  <c r="L905" i="2"/>
  <c r="K906" i="2"/>
  <c r="N901" i="1"/>
  <c r="M901" i="1"/>
  <c r="M900" i="1"/>
  <c r="N900" i="1"/>
  <c r="K902" i="1"/>
  <c r="P905" i="1"/>
  <c r="H905" i="1" s="1"/>
  <c r="H906" i="1" s="1"/>
  <c r="Q904" i="1"/>
  <c r="I903" i="1"/>
  <c r="K907" i="2" l="1"/>
  <c r="L906" i="2"/>
  <c r="H910" i="2"/>
  <c r="I910" i="2" s="1"/>
  <c r="I909" i="2"/>
  <c r="P911" i="2"/>
  <c r="Q910" i="2"/>
  <c r="M905" i="2"/>
  <c r="N905" i="2"/>
  <c r="K903" i="1"/>
  <c r="L903" i="1" s="1"/>
  <c r="N903" i="1" s="1"/>
  <c r="L902" i="1"/>
  <c r="I904" i="1"/>
  <c r="P906" i="1"/>
  <c r="Q905" i="1"/>
  <c r="M906" i="2" l="1"/>
  <c r="N906" i="2"/>
  <c r="Q911" i="2"/>
  <c r="P912" i="2"/>
  <c r="H911" i="2"/>
  <c r="K908" i="2"/>
  <c r="L907" i="2"/>
  <c r="M903" i="1"/>
  <c r="M902" i="1"/>
  <c r="N902" i="1"/>
  <c r="K904" i="1"/>
  <c r="P907" i="1"/>
  <c r="H907" i="1" s="1"/>
  <c r="H908" i="1" s="1"/>
  <c r="Q906" i="1"/>
  <c r="I905" i="1"/>
  <c r="N907" i="2" l="1"/>
  <c r="M907" i="2"/>
  <c r="P913" i="2"/>
  <c r="Q912" i="2"/>
  <c r="K909" i="2"/>
  <c r="L908" i="2"/>
  <c r="H912" i="2"/>
  <c r="I912" i="2" s="1"/>
  <c r="I911" i="2"/>
  <c r="K905" i="1"/>
  <c r="L905" i="1" s="1"/>
  <c r="L904" i="1"/>
  <c r="I906" i="1"/>
  <c r="P908" i="1"/>
  <c r="Q907" i="1"/>
  <c r="P914" i="2" l="1"/>
  <c r="Q913" i="2"/>
  <c r="H913" i="2"/>
  <c r="M908" i="2"/>
  <c r="N908" i="2"/>
  <c r="L909" i="2"/>
  <c r="K910" i="2"/>
  <c r="N905" i="1"/>
  <c r="M905" i="1"/>
  <c r="M904" i="1"/>
  <c r="N904" i="1"/>
  <c r="K906" i="1"/>
  <c r="Q908" i="1"/>
  <c r="P909" i="1"/>
  <c r="H909" i="1" s="1"/>
  <c r="H910" i="1" s="1"/>
  <c r="I907" i="1"/>
  <c r="H914" i="2" l="1"/>
  <c r="I914" i="2" s="1"/>
  <c r="I913" i="2"/>
  <c r="K911" i="2"/>
  <c r="L910" i="2"/>
  <c r="M909" i="2"/>
  <c r="N909" i="2"/>
  <c r="P915" i="2"/>
  <c r="Q914" i="2"/>
  <c r="K907" i="1"/>
  <c r="L907" i="1" s="1"/>
  <c r="N907" i="1" s="1"/>
  <c r="L906" i="1"/>
  <c r="I908" i="1"/>
  <c r="P910" i="1"/>
  <c r="Q909" i="1"/>
  <c r="M910" i="2" l="1"/>
  <c r="N910" i="2"/>
  <c r="K912" i="2"/>
  <c r="L911" i="2"/>
  <c r="P916" i="2"/>
  <c r="Q915" i="2"/>
  <c r="H915" i="2"/>
  <c r="M907" i="1"/>
  <c r="N906" i="1"/>
  <c r="M906" i="1"/>
  <c r="K908" i="1"/>
  <c r="I909" i="1"/>
  <c r="P911" i="1"/>
  <c r="H911" i="1" s="1"/>
  <c r="H912" i="1" s="1"/>
  <c r="Q910" i="1"/>
  <c r="N911" i="2" l="1"/>
  <c r="M911" i="2"/>
  <c r="L912" i="2"/>
  <c r="K913" i="2"/>
  <c r="H916" i="2"/>
  <c r="I916" i="2" s="1"/>
  <c r="I915" i="2"/>
  <c r="P917" i="2"/>
  <c r="Q916" i="2"/>
  <c r="K909" i="1"/>
  <c r="L909" i="1" s="1"/>
  <c r="L908" i="1"/>
  <c r="P912" i="1"/>
  <c r="Q911" i="1"/>
  <c r="I910" i="1"/>
  <c r="L913" i="2" l="1"/>
  <c r="K914" i="2"/>
  <c r="N912" i="2"/>
  <c r="M912" i="2"/>
  <c r="Q917" i="2"/>
  <c r="P918" i="2"/>
  <c r="H917" i="2"/>
  <c r="N909" i="1"/>
  <c r="M909" i="1"/>
  <c r="M908" i="1"/>
  <c r="N908" i="1"/>
  <c r="K910" i="1"/>
  <c r="I911" i="1"/>
  <c r="Q912" i="1"/>
  <c r="P913" i="1"/>
  <c r="H913" i="1" s="1"/>
  <c r="H914" i="1" s="1"/>
  <c r="H918" i="2" l="1"/>
  <c r="I918" i="2" s="1"/>
  <c r="I917" i="2"/>
  <c r="K915" i="2"/>
  <c r="L914" i="2"/>
  <c r="P919" i="2"/>
  <c r="Q918" i="2"/>
  <c r="M913" i="2"/>
  <c r="N913" i="2"/>
  <c r="K911" i="1"/>
  <c r="L911" i="1" s="1"/>
  <c r="N911" i="1" s="1"/>
  <c r="L910" i="1"/>
  <c r="P914" i="1"/>
  <c r="Q913" i="1"/>
  <c r="I912" i="1"/>
  <c r="N914" i="2" l="1"/>
  <c r="M914" i="2"/>
  <c r="L915" i="2"/>
  <c r="K916" i="2"/>
  <c r="P920" i="2"/>
  <c r="Q919" i="2"/>
  <c r="H919" i="2"/>
  <c r="M911" i="1"/>
  <c r="M910" i="1"/>
  <c r="N910" i="1"/>
  <c r="K912" i="1"/>
  <c r="I913" i="1"/>
  <c r="P915" i="1"/>
  <c r="H915" i="1" s="1"/>
  <c r="H916" i="1" s="1"/>
  <c r="Q914" i="1"/>
  <c r="L916" i="2" l="1"/>
  <c r="K917" i="2"/>
  <c r="I919" i="2"/>
  <c r="H920" i="2"/>
  <c r="I920" i="2" s="1"/>
  <c r="N915" i="2"/>
  <c r="M915" i="2"/>
  <c r="P921" i="2"/>
  <c r="Q920" i="2"/>
  <c r="K913" i="1"/>
  <c r="L913" i="1" s="1"/>
  <c r="L912" i="1"/>
  <c r="P916" i="1"/>
  <c r="Q915" i="1"/>
  <c r="I914" i="1"/>
  <c r="L917" i="2" l="1"/>
  <c r="K918" i="2"/>
  <c r="Q921" i="2"/>
  <c r="P922" i="2"/>
  <c r="H921" i="2"/>
  <c r="N916" i="2"/>
  <c r="M916" i="2"/>
  <c r="N913" i="1"/>
  <c r="M913" i="1"/>
  <c r="N912" i="1"/>
  <c r="M912" i="1"/>
  <c r="K914" i="1"/>
  <c r="I915" i="1"/>
  <c r="Q916" i="1"/>
  <c r="P917" i="1"/>
  <c r="H917" i="1" s="1"/>
  <c r="H918" i="1" s="1"/>
  <c r="P923" i="2" l="1"/>
  <c r="Q922" i="2"/>
  <c r="K919" i="2"/>
  <c r="L918" i="2"/>
  <c r="H922" i="2"/>
  <c r="I922" i="2" s="1"/>
  <c r="I921" i="2"/>
  <c r="M917" i="2"/>
  <c r="N917" i="2"/>
  <c r="K915" i="1"/>
  <c r="L915" i="1" s="1"/>
  <c r="N915" i="1" s="1"/>
  <c r="L914" i="1"/>
  <c r="P918" i="1"/>
  <c r="Q917" i="1"/>
  <c r="I916" i="1"/>
  <c r="I917" i="1"/>
  <c r="N918" i="2" l="1"/>
  <c r="M918" i="2"/>
  <c r="L919" i="2"/>
  <c r="K920" i="2"/>
  <c r="P924" i="2"/>
  <c r="Q923" i="2"/>
  <c r="H923" i="2"/>
  <c r="M915" i="1"/>
  <c r="M914" i="1"/>
  <c r="N914" i="1"/>
  <c r="K916" i="1"/>
  <c r="K917" i="1" s="1"/>
  <c r="P919" i="1"/>
  <c r="H919" i="1" s="1"/>
  <c r="H920" i="1" s="1"/>
  <c r="Q918" i="1"/>
  <c r="K921" i="2" l="1"/>
  <c r="L920" i="2"/>
  <c r="N919" i="2"/>
  <c r="M919" i="2"/>
  <c r="I923" i="2"/>
  <c r="H924" i="2"/>
  <c r="I924" i="2" s="1"/>
  <c r="P925" i="2"/>
  <c r="Q924" i="2"/>
  <c r="L917" i="1"/>
  <c r="L916" i="1"/>
  <c r="N917" i="1"/>
  <c r="P920" i="1"/>
  <c r="Q919" i="1"/>
  <c r="I918" i="1"/>
  <c r="Q925" i="2" l="1"/>
  <c r="P926" i="2"/>
  <c r="H925" i="2"/>
  <c r="N920" i="2"/>
  <c r="M920" i="2"/>
  <c r="L921" i="2"/>
  <c r="K922" i="2"/>
  <c r="M917" i="1"/>
  <c r="M916" i="1"/>
  <c r="N916" i="1"/>
  <c r="K918" i="1"/>
  <c r="L918" i="1" s="1"/>
  <c r="I919" i="1"/>
  <c r="Q920" i="1"/>
  <c r="P921" i="1"/>
  <c r="H921" i="1" s="1"/>
  <c r="H922" i="1" s="1"/>
  <c r="H926" i="2" l="1"/>
  <c r="I926" i="2" s="1"/>
  <c r="I925" i="2"/>
  <c r="L922" i="2"/>
  <c r="K923" i="2"/>
  <c r="P927" i="2"/>
  <c r="Q926" i="2"/>
  <c r="M921" i="2"/>
  <c r="N921" i="2"/>
  <c r="N918" i="1"/>
  <c r="M918" i="1"/>
  <c r="K919" i="1"/>
  <c r="L919" i="1" s="1"/>
  <c r="P922" i="1"/>
  <c r="Q921" i="1"/>
  <c r="I920" i="1"/>
  <c r="L923" i="2" l="1"/>
  <c r="K924" i="2"/>
  <c r="N922" i="2"/>
  <c r="M922" i="2"/>
  <c r="Q927" i="2"/>
  <c r="P928" i="2"/>
  <c r="H927" i="2"/>
  <c r="N919" i="1"/>
  <c r="M919" i="1"/>
  <c r="K920" i="1"/>
  <c r="L920" i="1" s="1"/>
  <c r="I921" i="1"/>
  <c r="P923" i="1"/>
  <c r="H923" i="1" s="1"/>
  <c r="H924" i="1" s="1"/>
  <c r="Q922" i="1"/>
  <c r="K925" i="2" l="1"/>
  <c r="L924" i="2"/>
  <c r="I927" i="2"/>
  <c r="H928" i="2"/>
  <c r="I928" i="2" s="1"/>
  <c r="Q928" i="2"/>
  <c r="P929" i="2"/>
  <c r="N923" i="2"/>
  <c r="M923" i="2"/>
  <c r="M920" i="1"/>
  <c r="N920" i="1"/>
  <c r="K921" i="1"/>
  <c r="L921" i="1" s="1"/>
  <c r="P924" i="1"/>
  <c r="Q923" i="1"/>
  <c r="I922" i="1"/>
  <c r="Q929" i="2" l="1"/>
  <c r="P930" i="2"/>
  <c r="H929" i="2"/>
  <c r="N924" i="2"/>
  <c r="M924" i="2"/>
  <c r="L925" i="2"/>
  <c r="K926" i="2"/>
  <c r="N921" i="1"/>
  <c r="M921" i="1"/>
  <c r="K922" i="1"/>
  <c r="L922" i="1" s="1"/>
  <c r="I923" i="1"/>
  <c r="Q924" i="1"/>
  <c r="P925" i="1"/>
  <c r="H925" i="1" s="1"/>
  <c r="H926" i="1" s="1"/>
  <c r="I929" i="2" l="1"/>
  <c r="H930" i="2"/>
  <c r="I930" i="2" s="1"/>
  <c r="K927" i="2"/>
  <c r="L926" i="2"/>
  <c r="P931" i="2"/>
  <c r="Q930" i="2"/>
  <c r="N925" i="2"/>
  <c r="M925" i="2"/>
  <c r="N922" i="1"/>
  <c r="M922" i="1"/>
  <c r="K923" i="1"/>
  <c r="L923" i="1" s="1"/>
  <c r="P926" i="1"/>
  <c r="Q925" i="1"/>
  <c r="I924" i="1"/>
  <c r="N926" i="2" l="1"/>
  <c r="M926" i="2"/>
  <c r="K928" i="2"/>
  <c r="L927" i="2"/>
  <c r="Q931" i="2"/>
  <c r="P932" i="2"/>
  <c r="H931" i="2"/>
  <c r="N923" i="1"/>
  <c r="M923" i="1"/>
  <c r="K924" i="1"/>
  <c r="L924" i="1" s="1"/>
  <c r="I925" i="1"/>
  <c r="P927" i="1"/>
  <c r="H927" i="1" s="1"/>
  <c r="H928" i="1" s="1"/>
  <c r="Q926" i="1"/>
  <c r="N927" i="2" l="1"/>
  <c r="M927" i="2"/>
  <c r="I931" i="2"/>
  <c r="H932" i="2"/>
  <c r="I932" i="2" s="1"/>
  <c r="L928" i="2"/>
  <c r="K929" i="2"/>
  <c r="Q932" i="2"/>
  <c r="P933" i="2"/>
  <c r="M924" i="1"/>
  <c r="N924" i="1"/>
  <c r="K925" i="1"/>
  <c r="L925" i="1" s="1"/>
  <c r="P928" i="1"/>
  <c r="Q927" i="1"/>
  <c r="I926" i="1"/>
  <c r="Q933" i="2" l="1"/>
  <c r="P934" i="2"/>
  <c r="H933" i="2"/>
  <c r="K930" i="2"/>
  <c r="L929" i="2"/>
  <c r="N928" i="2"/>
  <c r="M928" i="2"/>
  <c r="N925" i="1"/>
  <c r="M925" i="1"/>
  <c r="K926" i="1"/>
  <c r="L926" i="1" s="1"/>
  <c r="I927" i="1"/>
  <c r="P929" i="1"/>
  <c r="H929" i="1" s="1"/>
  <c r="H930" i="1" s="1"/>
  <c r="Q928" i="1"/>
  <c r="K931" i="2" l="1"/>
  <c r="L930" i="2"/>
  <c r="I933" i="2"/>
  <c r="H934" i="2"/>
  <c r="I934" i="2" s="1"/>
  <c r="P935" i="2"/>
  <c r="Q934" i="2"/>
  <c r="M929" i="2"/>
  <c r="N929" i="2"/>
  <c r="M926" i="1"/>
  <c r="N926" i="1"/>
  <c r="K927" i="1"/>
  <c r="L927" i="1" s="1"/>
  <c r="P930" i="1"/>
  <c r="Q929" i="1"/>
  <c r="I928" i="1"/>
  <c r="N930" i="2" l="1"/>
  <c r="M930" i="2"/>
  <c r="Q935" i="2"/>
  <c r="P936" i="2"/>
  <c r="H935" i="2"/>
  <c r="K932" i="2"/>
  <c r="L931" i="2"/>
  <c r="M927" i="1"/>
  <c r="N927" i="1"/>
  <c r="K928" i="1"/>
  <c r="L928" i="1" s="1"/>
  <c r="I929" i="1"/>
  <c r="P931" i="1"/>
  <c r="H931" i="1" s="1"/>
  <c r="H932" i="1" s="1"/>
  <c r="Q930" i="1"/>
  <c r="M931" i="2" l="1"/>
  <c r="N931" i="2"/>
  <c r="Q936" i="2"/>
  <c r="P937" i="2"/>
  <c r="L932" i="2"/>
  <c r="K933" i="2"/>
  <c r="I935" i="2"/>
  <c r="H936" i="2"/>
  <c r="I936" i="2" s="1"/>
  <c r="M928" i="1"/>
  <c r="N928" i="1"/>
  <c r="K929" i="1"/>
  <c r="L929" i="1" s="1"/>
  <c r="P932" i="1"/>
  <c r="Q931" i="1"/>
  <c r="I930" i="1"/>
  <c r="Q937" i="2" l="1"/>
  <c r="P938" i="2"/>
  <c r="H937" i="2"/>
  <c r="K934" i="2"/>
  <c r="L933" i="2"/>
  <c r="N932" i="2"/>
  <c r="M932" i="2"/>
  <c r="M929" i="1"/>
  <c r="N929" i="1"/>
  <c r="K930" i="1"/>
  <c r="L930" i="1" s="1"/>
  <c r="I931" i="1"/>
  <c r="P933" i="1"/>
  <c r="H933" i="1" s="1"/>
  <c r="H934" i="1" s="1"/>
  <c r="Q932" i="1"/>
  <c r="K935" i="2" l="1"/>
  <c r="L934" i="2"/>
  <c r="I937" i="2"/>
  <c r="H938" i="2"/>
  <c r="I938" i="2" s="1"/>
  <c r="P939" i="2"/>
  <c r="Q938" i="2"/>
  <c r="M933" i="2"/>
  <c r="N933" i="2"/>
  <c r="M930" i="1"/>
  <c r="N930" i="1"/>
  <c r="K931" i="1"/>
  <c r="L931" i="1" s="1"/>
  <c r="P934" i="1"/>
  <c r="Q933" i="1"/>
  <c r="I932" i="1"/>
  <c r="N934" i="2" l="1"/>
  <c r="M934" i="2"/>
  <c r="Q939" i="2"/>
  <c r="P940" i="2"/>
  <c r="H939" i="2"/>
  <c r="K936" i="2"/>
  <c r="L935" i="2"/>
  <c r="M931" i="1"/>
  <c r="N931" i="1"/>
  <c r="K932" i="1"/>
  <c r="L932" i="1" s="1"/>
  <c r="I933" i="1"/>
  <c r="P935" i="1"/>
  <c r="H935" i="1" s="1"/>
  <c r="H936" i="1" s="1"/>
  <c r="Q934" i="1"/>
  <c r="M935" i="2" l="1"/>
  <c r="N935" i="2"/>
  <c r="Q940" i="2"/>
  <c r="P941" i="2"/>
  <c r="L936" i="2"/>
  <c r="K937" i="2"/>
  <c r="I939" i="2"/>
  <c r="H940" i="2"/>
  <c r="I940" i="2" s="1"/>
  <c r="M932" i="1"/>
  <c r="N932" i="1"/>
  <c r="K933" i="1"/>
  <c r="L933" i="1" s="1"/>
  <c r="P936" i="1"/>
  <c r="Q935" i="1"/>
  <c r="I934" i="1"/>
  <c r="Q941" i="2" l="1"/>
  <c r="P942" i="2"/>
  <c r="H941" i="2"/>
  <c r="K938" i="2"/>
  <c r="L937" i="2"/>
  <c r="N936" i="2"/>
  <c r="M936" i="2"/>
  <c r="M933" i="1"/>
  <c r="N933" i="1"/>
  <c r="K934" i="1"/>
  <c r="L934" i="1" s="1"/>
  <c r="I935" i="1"/>
  <c r="P937" i="1"/>
  <c r="H937" i="1" s="1"/>
  <c r="H938" i="1" s="1"/>
  <c r="Q936" i="1"/>
  <c r="K939" i="2" l="1"/>
  <c r="L938" i="2"/>
  <c r="I941" i="2"/>
  <c r="H942" i="2"/>
  <c r="I942" i="2" s="1"/>
  <c r="P943" i="2"/>
  <c r="Q942" i="2"/>
  <c r="M937" i="2"/>
  <c r="N937" i="2"/>
  <c r="M934" i="1"/>
  <c r="N934" i="1"/>
  <c r="K935" i="1"/>
  <c r="L935" i="1" s="1"/>
  <c r="P938" i="1"/>
  <c r="Q937" i="1"/>
  <c r="I936" i="1"/>
  <c r="N938" i="2" l="1"/>
  <c r="M938" i="2"/>
  <c r="Q943" i="2"/>
  <c r="P944" i="2"/>
  <c r="H943" i="2"/>
  <c r="K940" i="2"/>
  <c r="L939" i="2"/>
  <c r="M935" i="1"/>
  <c r="N935" i="1"/>
  <c r="K936" i="1"/>
  <c r="L936" i="1" s="1"/>
  <c r="I937" i="1"/>
  <c r="P939" i="1"/>
  <c r="H939" i="1" s="1"/>
  <c r="H940" i="1" s="1"/>
  <c r="Q938" i="1"/>
  <c r="M939" i="2" l="1"/>
  <c r="N939" i="2"/>
  <c r="Q944" i="2"/>
  <c r="P945" i="2"/>
  <c r="L940" i="2"/>
  <c r="K941" i="2"/>
  <c r="I943" i="2"/>
  <c r="H944" i="2"/>
  <c r="I944" i="2" s="1"/>
  <c r="M936" i="1"/>
  <c r="N936" i="1"/>
  <c r="K937" i="1"/>
  <c r="L937" i="1" s="1"/>
  <c r="P940" i="1"/>
  <c r="Q939" i="1"/>
  <c r="I938" i="1"/>
  <c r="Q945" i="2" l="1"/>
  <c r="P946" i="2"/>
  <c r="H945" i="2"/>
  <c r="K942" i="2"/>
  <c r="L941" i="2"/>
  <c r="N940" i="2"/>
  <c r="M940" i="2"/>
  <c r="M937" i="1"/>
  <c r="N937" i="1"/>
  <c r="K938" i="1"/>
  <c r="L938" i="1" s="1"/>
  <c r="I939" i="1"/>
  <c r="P941" i="1"/>
  <c r="H941" i="1" s="1"/>
  <c r="H942" i="1" s="1"/>
  <c r="Q940" i="1"/>
  <c r="K943" i="2" l="1"/>
  <c r="L942" i="2"/>
  <c r="I945" i="2"/>
  <c r="H946" i="2"/>
  <c r="I946" i="2" s="1"/>
  <c r="P947" i="2"/>
  <c r="Q946" i="2"/>
  <c r="M941" i="2"/>
  <c r="N941" i="2"/>
  <c r="M938" i="1"/>
  <c r="N938" i="1"/>
  <c r="K939" i="1"/>
  <c r="L939" i="1" s="1"/>
  <c r="P942" i="1"/>
  <c r="Q941" i="1"/>
  <c r="I940" i="1"/>
  <c r="N942" i="2" l="1"/>
  <c r="M942" i="2"/>
  <c r="Q947" i="2"/>
  <c r="P948" i="2"/>
  <c r="H947" i="2"/>
  <c r="K944" i="2"/>
  <c r="L943" i="2"/>
  <c r="M939" i="1"/>
  <c r="N939" i="1"/>
  <c r="K940" i="1"/>
  <c r="L940" i="1" s="1"/>
  <c r="I941" i="1"/>
  <c r="P943" i="1"/>
  <c r="H943" i="1" s="1"/>
  <c r="H944" i="1" s="1"/>
  <c r="Q942" i="1"/>
  <c r="M943" i="2" l="1"/>
  <c r="N943" i="2"/>
  <c r="Q948" i="2"/>
  <c r="P949" i="2"/>
  <c r="L944" i="2"/>
  <c r="K945" i="2"/>
  <c r="I947" i="2"/>
  <c r="H948" i="2"/>
  <c r="I948" i="2" s="1"/>
  <c r="M940" i="1"/>
  <c r="N940" i="1"/>
  <c r="K941" i="1"/>
  <c r="L941" i="1" s="1"/>
  <c r="P944" i="1"/>
  <c r="Q943" i="1"/>
  <c r="I942" i="1"/>
  <c r="Q949" i="2" l="1"/>
  <c r="P950" i="2"/>
  <c r="H949" i="2"/>
  <c r="K946" i="2"/>
  <c r="L945" i="2"/>
  <c r="N944" i="2"/>
  <c r="M944" i="2"/>
  <c r="M941" i="1"/>
  <c r="N941" i="1"/>
  <c r="K942" i="1"/>
  <c r="L942" i="1" s="1"/>
  <c r="I943" i="1"/>
  <c r="P945" i="1"/>
  <c r="H945" i="1" s="1"/>
  <c r="H946" i="1" s="1"/>
  <c r="Q944" i="1"/>
  <c r="K947" i="2" l="1"/>
  <c r="L946" i="2"/>
  <c r="I949" i="2"/>
  <c r="H950" i="2"/>
  <c r="I950" i="2" s="1"/>
  <c r="P951" i="2"/>
  <c r="Q950" i="2"/>
  <c r="M945" i="2"/>
  <c r="N945" i="2"/>
  <c r="M942" i="1"/>
  <c r="N942" i="1"/>
  <c r="K943" i="1"/>
  <c r="L943" i="1" s="1"/>
  <c r="P946" i="1"/>
  <c r="Q945" i="1"/>
  <c r="I944" i="1"/>
  <c r="N946" i="2" l="1"/>
  <c r="M946" i="2"/>
  <c r="Q951" i="2"/>
  <c r="P952" i="2"/>
  <c r="H951" i="2"/>
  <c r="K948" i="2"/>
  <c r="L947" i="2"/>
  <c r="M943" i="1"/>
  <c r="N943" i="1"/>
  <c r="K944" i="1"/>
  <c r="L944" i="1" s="1"/>
  <c r="I945" i="1"/>
  <c r="P947" i="1"/>
  <c r="H947" i="1" s="1"/>
  <c r="H948" i="1" s="1"/>
  <c r="Q946" i="1"/>
  <c r="M947" i="2" l="1"/>
  <c r="N947" i="2"/>
  <c r="Q952" i="2"/>
  <c r="P953" i="2"/>
  <c r="L948" i="2"/>
  <c r="K949" i="2"/>
  <c r="I951" i="2"/>
  <c r="H952" i="2"/>
  <c r="I952" i="2" s="1"/>
  <c r="M944" i="1"/>
  <c r="N944" i="1"/>
  <c r="K945" i="1"/>
  <c r="L945" i="1" s="1"/>
  <c r="P948" i="1"/>
  <c r="Q947" i="1"/>
  <c r="I946" i="1"/>
  <c r="Q953" i="2" l="1"/>
  <c r="P954" i="2"/>
  <c r="H953" i="2"/>
  <c r="K950" i="2"/>
  <c r="L949" i="2"/>
  <c r="N948" i="2"/>
  <c r="M948" i="2"/>
  <c r="M945" i="1"/>
  <c r="N945" i="1"/>
  <c r="K946" i="1"/>
  <c r="L946" i="1" s="1"/>
  <c r="I947" i="1"/>
  <c r="P949" i="1"/>
  <c r="H949" i="1" s="1"/>
  <c r="H950" i="1" s="1"/>
  <c r="Q948" i="1"/>
  <c r="K951" i="2" l="1"/>
  <c r="L950" i="2"/>
  <c r="I953" i="2"/>
  <c r="H954" i="2"/>
  <c r="I954" i="2" s="1"/>
  <c r="P955" i="2"/>
  <c r="Q954" i="2"/>
  <c r="M949" i="2"/>
  <c r="N949" i="2"/>
  <c r="M946" i="1"/>
  <c r="N946" i="1"/>
  <c r="K947" i="1"/>
  <c r="L947" i="1" s="1"/>
  <c r="P950" i="1"/>
  <c r="Q949" i="1"/>
  <c r="I948" i="1"/>
  <c r="M950" i="2" l="1"/>
  <c r="N950" i="2"/>
  <c r="Q955" i="2"/>
  <c r="P956" i="2"/>
  <c r="H955" i="2"/>
  <c r="K952" i="2"/>
  <c r="L951" i="2"/>
  <c r="M947" i="1"/>
  <c r="N947" i="1"/>
  <c r="K948" i="1"/>
  <c r="L948" i="1" s="1"/>
  <c r="I949" i="1"/>
  <c r="P951" i="1"/>
  <c r="H951" i="1" s="1"/>
  <c r="H952" i="1" s="1"/>
  <c r="Q950" i="1"/>
  <c r="Q956" i="2" l="1"/>
  <c r="P957" i="2"/>
  <c r="M951" i="2"/>
  <c r="N951" i="2"/>
  <c r="L952" i="2"/>
  <c r="K953" i="2"/>
  <c r="I955" i="2"/>
  <c r="H956" i="2"/>
  <c r="I956" i="2" s="1"/>
  <c r="M948" i="1"/>
  <c r="N948" i="1"/>
  <c r="K949" i="1"/>
  <c r="L949" i="1" s="1"/>
  <c r="P952" i="1"/>
  <c r="Q951" i="1"/>
  <c r="I950" i="1"/>
  <c r="Q957" i="2" l="1"/>
  <c r="P958" i="2"/>
  <c r="H957" i="2"/>
  <c r="K954" i="2"/>
  <c r="L953" i="2"/>
  <c r="M952" i="2"/>
  <c r="N952" i="2"/>
  <c r="M949" i="1"/>
  <c r="N949" i="1"/>
  <c r="K950" i="1"/>
  <c r="L950" i="1" s="1"/>
  <c r="I951" i="1"/>
  <c r="P953" i="1"/>
  <c r="H953" i="1" s="1"/>
  <c r="H954" i="1" s="1"/>
  <c r="Q952" i="1"/>
  <c r="K955" i="2" l="1"/>
  <c r="L954" i="2"/>
  <c r="I957" i="2"/>
  <c r="H958" i="2"/>
  <c r="I958" i="2" s="1"/>
  <c r="P959" i="2"/>
  <c r="Q958" i="2"/>
  <c r="M953" i="2"/>
  <c r="N953" i="2"/>
  <c r="M950" i="1"/>
  <c r="N950" i="1"/>
  <c r="K951" i="1"/>
  <c r="L951" i="1" s="1"/>
  <c r="P954" i="1"/>
  <c r="Q953" i="1"/>
  <c r="I952" i="1"/>
  <c r="M954" i="2" l="1"/>
  <c r="N954" i="2"/>
  <c r="Q959" i="2"/>
  <c r="P960" i="2"/>
  <c r="H959" i="2"/>
  <c r="K956" i="2"/>
  <c r="L955" i="2"/>
  <c r="M951" i="1"/>
  <c r="N951" i="1"/>
  <c r="K952" i="1"/>
  <c r="L952" i="1" s="1"/>
  <c r="I953" i="1"/>
  <c r="P955" i="1"/>
  <c r="H955" i="1" s="1"/>
  <c r="H956" i="1" s="1"/>
  <c r="Q954" i="1"/>
  <c r="Q960" i="2" l="1"/>
  <c r="P961" i="2"/>
  <c r="M955" i="2"/>
  <c r="N955" i="2"/>
  <c r="L956" i="2"/>
  <c r="K957" i="2"/>
  <c r="I959" i="2"/>
  <c r="H960" i="2"/>
  <c r="I960" i="2" s="1"/>
  <c r="M952" i="1"/>
  <c r="N952" i="1"/>
  <c r="K953" i="1"/>
  <c r="L953" i="1" s="1"/>
  <c r="P956" i="1"/>
  <c r="Q955" i="1"/>
  <c r="I954" i="1"/>
  <c r="K958" i="2" l="1"/>
  <c r="L957" i="2"/>
  <c r="Q961" i="2"/>
  <c r="P962" i="2"/>
  <c r="H961" i="2"/>
  <c r="M956" i="2"/>
  <c r="N956" i="2"/>
  <c r="M953" i="1"/>
  <c r="N953" i="1"/>
  <c r="K954" i="1"/>
  <c r="L954" i="1" s="1"/>
  <c r="I955" i="1"/>
  <c r="P957" i="1"/>
  <c r="H957" i="1" s="1"/>
  <c r="H958" i="1" s="1"/>
  <c r="Q956" i="1"/>
  <c r="P963" i="2" l="1"/>
  <c r="Q962" i="2"/>
  <c r="M957" i="2"/>
  <c r="N957" i="2"/>
  <c r="I961" i="2"/>
  <c r="H962" i="2"/>
  <c r="I962" i="2" s="1"/>
  <c r="K959" i="2"/>
  <c r="L958" i="2"/>
  <c r="M954" i="1"/>
  <c r="N954" i="1"/>
  <c r="K955" i="1"/>
  <c r="L955" i="1" s="1"/>
  <c r="P958" i="1"/>
  <c r="Q957" i="1"/>
  <c r="I956" i="1"/>
  <c r="M958" i="2" l="1"/>
  <c r="N958" i="2"/>
  <c r="K960" i="2"/>
  <c r="L959" i="2"/>
  <c r="Q963" i="2"/>
  <c r="P964" i="2"/>
  <c r="H963" i="2"/>
  <c r="M955" i="1"/>
  <c r="N955" i="1"/>
  <c r="K956" i="1"/>
  <c r="L956" i="1" s="1"/>
  <c r="I957" i="1"/>
  <c r="P959" i="1"/>
  <c r="H959" i="1" s="1"/>
  <c r="H960" i="1" s="1"/>
  <c r="Q958" i="1"/>
  <c r="M959" i="2" l="1"/>
  <c r="N959" i="2"/>
  <c r="I963" i="2"/>
  <c r="H964" i="2"/>
  <c r="I964" i="2" s="1"/>
  <c r="L960" i="2"/>
  <c r="K961" i="2"/>
  <c r="Q964" i="2"/>
  <c r="P965" i="2"/>
  <c r="M956" i="1"/>
  <c r="N956" i="1"/>
  <c r="K957" i="1"/>
  <c r="L957" i="1" s="1"/>
  <c r="P960" i="1"/>
  <c r="Q959" i="1"/>
  <c r="I958" i="1"/>
  <c r="Q965" i="2" l="1"/>
  <c r="P966" i="2"/>
  <c r="H965" i="2"/>
  <c r="K962" i="2"/>
  <c r="L961" i="2"/>
  <c r="M960" i="2"/>
  <c r="N960" i="2"/>
  <c r="M957" i="1"/>
  <c r="N957" i="1"/>
  <c r="K958" i="1"/>
  <c r="L958" i="1" s="1"/>
  <c r="I959" i="1"/>
  <c r="P961" i="1"/>
  <c r="H961" i="1" s="1"/>
  <c r="H962" i="1" s="1"/>
  <c r="Q960" i="1"/>
  <c r="K963" i="2" l="1"/>
  <c r="L962" i="2"/>
  <c r="I965" i="2"/>
  <c r="H966" i="2"/>
  <c r="I966" i="2" s="1"/>
  <c r="P967" i="2"/>
  <c r="Q966" i="2"/>
  <c r="M961" i="2"/>
  <c r="N961" i="2"/>
  <c r="M958" i="1"/>
  <c r="N958" i="1"/>
  <c r="K959" i="1"/>
  <c r="L959" i="1" s="1"/>
  <c r="P962" i="1"/>
  <c r="Q961" i="1"/>
  <c r="I960" i="1"/>
  <c r="M962" i="2" l="1"/>
  <c r="N962" i="2"/>
  <c r="Q967" i="2"/>
  <c r="P968" i="2"/>
  <c r="H967" i="2"/>
  <c r="K964" i="2"/>
  <c r="L963" i="2"/>
  <c r="M959" i="1"/>
  <c r="N959" i="1"/>
  <c r="K960" i="1"/>
  <c r="L960" i="1" s="1"/>
  <c r="I961" i="1"/>
  <c r="P963" i="1"/>
  <c r="H963" i="1" s="1"/>
  <c r="H964" i="1" s="1"/>
  <c r="Q962" i="1"/>
  <c r="M963" i="2" l="1"/>
  <c r="N963" i="2"/>
  <c r="Q968" i="2"/>
  <c r="P969" i="2"/>
  <c r="L964" i="2"/>
  <c r="K965" i="2"/>
  <c r="I967" i="2"/>
  <c r="H968" i="2"/>
  <c r="I968" i="2" s="1"/>
  <c r="M960" i="1"/>
  <c r="N960" i="1"/>
  <c r="K961" i="1"/>
  <c r="L961" i="1" s="1"/>
  <c r="P964" i="1"/>
  <c r="Q963" i="1"/>
  <c r="I962" i="1"/>
  <c r="Q969" i="2" l="1"/>
  <c r="P970" i="2"/>
  <c r="H969" i="2"/>
  <c r="K966" i="2"/>
  <c r="L965" i="2"/>
  <c r="M964" i="2"/>
  <c r="N964" i="2"/>
  <c r="M961" i="1"/>
  <c r="N961" i="1"/>
  <c r="K962" i="1"/>
  <c r="L962" i="1" s="1"/>
  <c r="I963" i="1"/>
  <c r="P965" i="1"/>
  <c r="H965" i="1" s="1"/>
  <c r="H966" i="1" s="1"/>
  <c r="Q964" i="1"/>
  <c r="K967" i="2" l="1"/>
  <c r="L966" i="2"/>
  <c r="I969" i="2"/>
  <c r="H970" i="2"/>
  <c r="I970" i="2" s="1"/>
  <c r="P971" i="2"/>
  <c r="Q970" i="2"/>
  <c r="M965" i="2"/>
  <c r="N965" i="2"/>
  <c r="M962" i="1"/>
  <c r="N962" i="1"/>
  <c r="K963" i="1"/>
  <c r="L963" i="1" s="1"/>
  <c r="P966" i="1"/>
  <c r="Q965" i="1"/>
  <c r="I965" i="1"/>
  <c r="I964" i="1"/>
  <c r="M966" i="2" l="1"/>
  <c r="N966" i="2"/>
  <c r="Q971" i="2"/>
  <c r="P972" i="2"/>
  <c r="H971" i="2"/>
  <c r="K968" i="2"/>
  <c r="L967" i="2"/>
  <c r="M963" i="1"/>
  <c r="N963" i="1"/>
  <c r="K964" i="1"/>
  <c r="K965" i="1" s="1"/>
  <c r="L965" i="1" s="1"/>
  <c r="N965" i="1" s="1"/>
  <c r="P967" i="1"/>
  <c r="H967" i="1" s="1"/>
  <c r="H968" i="1" s="1"/>
  <c r="Q966" i="1"/>
  <c r="M967" i="2" l="1"/>
  <c r="N967" i="2"/>
  <c r="Q972" i="2"/>
  <c r="P973" i="2"/>
  <c r="L968" i="2"/>
  <c r="K969" i="2"/>
  <c r="I971" i="2"/>
  <c r="H972" i="2"/>
  <c r="I972" i="2" s="1"/>
  <c r="L964" i="1"/>
  <c r="M965" i="1" s="1"/>
  <c r="I966" i="1"/>
  <c r="P968" i="1"/>
  <c r="Q967" i="1"/>
  <c r="Q973" i="2" l="1"/>
  <c r="P974" i="2"/>
  <c r="H973" i="2"/>
  <c r="K970" i="2"/>
  <c r="L969" i="2"/>
  <c r="M968" i="2"/>
  <c r="N968" i="2"/>
  <c r="M964" i="1"/>
  <c r="N964" i="1"/>
  <c r="K966" i="1"/>
  <c r="P969" i="1"/>
  <c r="H969" i="1" s="1"/>
  <c r="H970" i="1" s="1"/>
  <c r="Q968" i="1"/>
  <c r="I967" i="1"/>
  <c r="K971" i="2" l="1"/>
  <c r="L970" i="2"/>
  <c r="I973" i="2"/>
  <c r="H974" i="2"/>
  <c r="I974" i="2" s="1"/>
  <c r="P975" i="2"/>
  <c r="Q974" i="2"/>
  <c r="M969" i="2"/>
  <c r="N969" i="2"/>
  <c r="K967" i="1"/>
  <c r="L967" i="1" s="1"/>
  <c r="N967" i="1" s="1"/>
  <c r="L966" i="1"/>
  <c r="I968" i="1"/>
  <c r="P970" i="1"/>
  <c r="Q969" i="1"/>
  <c r="M970" i="2" l="1"/>
  <c r="N970" i="2"/>
  <c r="Q975" i="2"/>
  <c r="P976" i="2"/>
  <c r="H975" i="2"/>
  <c r="K972" i="2"/>
  <c r="L971" i="2"/>
  <c r="M967" i="1"/>
  <c r="M966" i="1"/>
  <c r="N966" i="1"/>
  <c r="K968" i="1"/>
  <c r="P971" i="1"/>
  <c r="H971" i="1" s="1"/>
  <c r="H972" i="1" s="1"/>
  <c r="Q970" i="1"/>
  <c r="I969" i="1"/>
  <c r="M971" i="2" l="1"/>
  <c r="N971" i="2"/>
  <c r="Q976" i="2"/>
  <c r="P977" i="2"/>
  <c r="L972" i="2"/>
  <c r="K973" i="2"/>
  <c r="I975" i="2"/>
  <c r="H976" i="2"/>
  <c r="I976" i="2" s="1"/>
  <c r="K969" i="1"/>
  <c r="L969" i="1" s="1"/>
  <c r="L968" i="1"/>
  <c r="I970" i="1"/>
  <c r="P972" i="1"/>
  <c r="Q971" i="1"/>
  <c r="Q977" i="2" l="1"/>
  <c r="P978" i="2"/>
  <c r="H977" i="2"/>
  <c r="K974" i="2"/>
  <c r="L973" i="2"/>
  <c r="M972" i="2"/>
  <c r="N972" i="2"/>
  <c r="N969" i="1"/>
  <c r="M969" i="1"/>
  <c r="M968" i="1"/>
  <c r="N968" i="1"/>
  <c r="K970" i="1"/>
  <c r="P973" i="1"/>
  <c r="H973" i="1" s="1"/>
  <c r="H974" i="1" s="1"/>
  <c r="Q972" i="1"/>
  <c r="I971" i="1"/>
  <c r="K975" i="2" l="1"/>
  <c r="L974" i="2"/>
  <c r="I977" i="2"/>
  <c r="H978" i="2"/>
  <c r="I978" i="2" s="1"/>
  <c r="P979" i="2"/>
  <c r="Q978" i="2"/>
  <c r="M973" i="2"/>
  <c r="N973" i="2"/>
  <c r="K971" i="1"/>
  <c r="L971" i="1" s="1"/>
  <c r="N971" i="1" s="1"/>
  <c r="L970" i="1"/>
  <c r="I972" i="1"/>
  <c r="P974" i="1"/>
  <c r="Q973" i="1"/>
  <c r="M974" i="2" l="1"/>
  <c r="N974" i="2"/>
  <c r="Q979" i="2"/>
  <c r="P980" i="2"/>
  <c r="H979" i="2"/>
  <c r="K976" i="2"/>
  <c r="L975" i="2"/>
  <c r="M971" i="1"/>
  <c r="M970" i="1"/>
  <c r="N970" i="1"/>
  <c r="K972" i="1"/>
  <c r="P975" i="1"/>
  <c r="H975" i="1" s="1"/>
  <c r="H976" i="1" s="1"/>
  <c r="Q974" i="1"/>
  <c r="I973" i="1"/>
  <c r="M975" i="2" l="1"/>
  <c r="N975" i="2"/>
  <c r="Q980" i="2"/>
  <c r="P981" i="2"/>
  <c r="L976" i="2"/>
  <c r="K977" i="2"/>
  <c r="I979" i="2"/>
  <c r="H980" i="2"/>
  <c r="I980" i="2" s="1"/>
  <c r="K973" i="1"/>
  <c r="L973" i="1" s="1"/>
  <c r="L972" i="1"/>
  <c r="I974" i="1"/>
  <c r="P976" i="1"/>
  <c r="Q975" i="1"/>
  <c r="Q981" i="2" l="1"/>
  <c r="P982" i="2"/>
  <c r="H981" i="2"/>
  <c r="K978" i="2"/>
  <c r="L977" i="2"/>
  <c r="M976" i="2"/>
  <c r="N976" i="2"/>
  <c r="N973" i="1"/>
  <c r="M973" i="1"/>
  <c r="M972" i="1"/>
  <c r="N972" i="1"/>
  <c r="K974" i="1"/>
  <c r="P977" i="1"/>
  <c r="H977" i="1" s="1"/>
  <c r="H978" i="1" s="1"/>
  <c r="Q976" i="1"/>
  <c r="I975" i="1"/>
  <c r="K979" i="2" l="1"/>
  <c r="L978" i="2"/>
  <c r="P983" i="2"/>
  <c r="Q982" i="2"/>
  <c r="I981" i="2"/>
  <c r="H982" i="2"/>
  <c r="I982" i="2" s="1"/>
  <c r="M977" i="2"/>
  <c r="N977" i="2"/>
  <c r="K975" i="1"/>
  <c r="L975" i="1" s="1"/>
  <c r="N975" i="1" s="1"/>
  <c r="L974" i="1"/>
  <c r="I976" i="1"/>
  <c r="P978" i="1"/>
  <c r="Q977" i="1"/>
  <c r="Q983" i="2" l="1"/>
  <c r="P984" i="2"/>
  <c r="H983" i="2"/>
  <c r="M978" i="2"/>
  <c r="N978" i="2"/>
  <c r="K980" i="2"/>
  <c r="L979" i="2"/>
  <c r="M975" i="1"/>
  <c r="M974" i="1"/>
  <c r="N974" i="1"/>
  <c r="K976" i="1"/>
  <c r="P979" i="1"/>
  <c r="H979" i="1" s="1"/>
  <c r="H980" i="1" s="1"/>
  <c r="Q978" i="1"/>
  <c r="I977" i="1"/>
  <c r="M979" i="2" l="1"/>
  <c r="N979" i="2"/>
  <c r="I983" i="2"/>
  <c r="H984" i="2"/>
  <c r="I984" i="2" s="1"/>
  <c r="Q984" i="2"/>
  <c r="P985" i="2"/>
  <c r="L980" i="2"/>
  <c r="K981" i="2"/>
  <c r="K977" i="1"/>
  <c r="L977" i="1" s="1"/>
  <c r="L976" i="1"/>
  <c r="I978" i="1"/>
  <c r="P980" i="1"/>
  <c r="Q979" i="1"/>
  <c r="M980" i="2" l="1"/>
  <c r="N980" i="2"/>
  <c r="K982" i="2"/>
  <c r="L981" i="2"/>
  <c r="Q985" i="2"/>
  <c r="P986" i="2"/>
  <c r="H985" i="2"/>
  <c r="N977" i="1"/>
  <c r="M977" i="1"/>
  <c r="M976" i="1"/>
  <c r="N976" i="1"/>
  <c r="K978" i="1"/>
  <c r="P981" i="1"/>
  <c r="H981" i="1" s="1"/>
  <c r="H982" i="1" s="1"/>
  <c r="Q980" i="1"/>
  <c r="I979" i="1"/>
  <c r="M981" i="2" l="1"/>
  <c r="N981" i="2"/>
  <c r="K983" i="2"/>
  <c r="L982" i="2"/>
  <c r="I985" i="2"/>
  <c r="H986" i="2"/>
  <c r="I986" i="2" s="1"/>
  <c r="Q986" i="2"/>
  <c r="P987" i="2"/>
  <c r="K979" i="1"/>
  <c r="L979" i="1" s="1"/>
  <c r="N979" i="1" s="1"/>
  <c r="L978" i="1"/>
  <c r="I980" i="1"/>
  <c r="P982" i="1"/>
  <c r="Q981" i="1"/>
  <c r="Q987" i="2" l="1"/>
  <c r="P988" i="2"/>
  <c r="H987" i="2"/>
  <c r="M982" i="2"/>
  <c r="N982" i="2"/>
  <c r="K984" i="2"/>
  <c r="L983" i="2"/>
  <c r="M979" i="1"/>
  <c r="M978" i="1"/>
  <c r="N978" i="1"/>
  <c r="K980" i="1"/>
  <c r="P983" i="1"/>
  <c r="H983" i="1" s="1"/>
  <c r="H984" i="1" s="1"/>
  <c r="Q982" i="1"/>
  <c r="I981" i="1"/>
  <c r="M983" i="2" l="1"/>
  <c r="N983" i="2"/>
  <c r="I987" i="2"/>
  <c r="H988" i="2"/>
  <c r="I988" i="2" s="1"/>
  <c r="Q988" i="2"/>
  <c r="P989" i="2"/>
  <c r="K985" i="2"/>
  <c r="L984" i="2"/>
  <c r="K981" i="1"/>
  <c r="L981" i="1" s="1"/>
  <c r="L980" i="1"/>
  <c r="I982" i="1"/>
  <c r="P984" i="1"/>
  <c r="Q983" i="1"/>
  <c r="K986" i="2" l="1"/>
  <c r="L985" i="2"/>
  <c r="N984" i="2"/>
  <c r="M984" i="2"/>
  <c r="Q989" i="2"/>
  <c r="P990" i="2"/>
  <c r="H989" i="2"/>
  <c r="N981" i="1"/>
  <c r="M981" i="1"/>
  <c r="M980" i="1"/>
  <c r="N980" i="1"/>
  <c r="K982" i="1"/>
  <c r="P985" i="1"/>
  <c r="H985" i="1" s="1"/>
  <c r="H986" i="1" s="1"/>
  <c r="Q984" i="1"/>
  <c r="I983" i="1"/>
  <c r="I989" i="2" l="1"/>
  <c r="H990" i="2"/>
  <c r="I990" i="2" s="1"/>
  <c r="Q990" i="2"/>
  <c r="P991" i="2"/>
  <c r="M985" i="2"/>
  <c r="N985" i="2"/>
  <c r="K987" i="2"/>
  <c r="L986" i="2"/>
  <c r="K983" i="1"/>
  <c r="L983" i="1" s="1"/>
  <c r="N983" i="1" s="1"/>
  <c r="L982" i="1"/>
  <c r="I984" i="1"/>
  <c r="P986" i="1"/>
  <c r="Q985" i="1"/>
  <c r="M986" i="2" l="1"/>
  <c r="N986" i="2"/>
  <c r="Q991" i="2"/>
  <c r="P992" i="2"/>
  <c r="H991" i="2"/>
  <c r="K988" i="2"/>
  <c r="L987" i="2"/>
  <c r="M983" i="1"/>
  <c r="M982" i="1"/>
  <c r="N982" i="1"/>
  <c r="K984" i="1"/>
  <c r="P987" i="1"/>
  <c r="H987" i="1" s="1"/>
  <c r="H988" i="1" s="1"/>
  <c r="Q986" i="1"/>
  <c r="I985" i="1"/>
  <c r="K989" i="2" l="1"/>
  <c r="L988" i="2"/>
  <c r="Q992" i="2"/>
  <c r="P993" i="2"/>
  <c r="M987" i="2"/>
  <c r="N987" i="2"/>
  <c r="I991" i="2"/>
  <c r="H992" i="2"/>
  <c r="I992" i="2" s="1"/>
  <c r="K985" i="1"/>
  <c r="L985" i="1" s="1"/>
  <c r="L984" i="1"/>
  <c r="I986" i="1"/>
  <c r="P988" i="1"/>
  <c r="Q987" i="1"/>
  <c r="Q993" i="2" l="1"/>
  <c r="P994" i="2"/>
  <c r="H993" i="2"/>
  <c r="M988" i="2"/>
  <c r="N988" i="2"/>
  <c r="K990" i="2"/>
  <c r="L989" i="2"/>
  <c r="N985" i="1"/>
  <c r="M985" i="1"/>
  <c r="M984" i="1"/>
  <c r="N984" i="1"/>
  <c r="K986" i="1"/>
  <c r="P989" i="1"/>
  <c r="H989" i="1" s="1"/>
  <c r="H990" i="1" s="1"/>
  <c r="Q988" i="1"/>
  <c r="I987" i="1"/>
  <c r="I993" i="2" l="1"/>
  <c r="H994" i="2"/>
  <c r="I994" i="2" s="1"/>
  <c r="M989" i="2"/>
  <c r="N989" i="2"/>
  <c r="Q994" i="2"/>
  <c r="P995" i="2"/>
  <c r="K991" i="2"/>
  <c r="L990" i="2"/>
  <c r="K987" i="1"/>
  <c r="L987" i="1" s="1"/>
  <c r="N987" i="1" s="1"/>
  <c r="L986" i="1"/>
  <c r="I988" i="1"/>
  <c r="P990" i="1"/>
  <c r="Q989" i="1"/>
  <c r="M990" i="2" l="1"/>
  <c r="N990" i="2"/>
  <c r="K992" i="2"/>
  <c r="L991" i="2"/>
  <c r="Q995" i="2"/>
  <c r="P996" i="2"/>
  <c r="H995" i="2"/>
  <c r="M987" i="1"/>
  <c r="M986" i="1"/>
  <c r="N986" i="1"/>
  <c r="K988" i="1"/>
  <c r="P991" i="1"/>
  <c r="H991" i="1" s="1"/>
  <c r="H992" i="1" s="1"/>
  <c r="Q990" i="1"/>
  <c r="I989" i="1"/>
  <c r="M991" i="2" l="1"/>
  <c r="N991" i="2"/>
  <c r="I995" i="2"/>
  <c r="H996" i="2"/>
  <c r="I996" i="2" s="1"/>
  <c r="K993" i="2"/>
  <c r="L992" i="2"/>
  <c r="Q996" i="2"/>
  <c r="P997" i="2"/>
  <c r="K989" i="1"/>
  <c r="L989" i="1" s="1"/>
  <c r="L988" i="1"/>
  <c r="I990" i="1"/>
  <c r="P992" i="1"/>
  <c r="Q991" i="1"/>
  <c r="Q997" i="2" l="1"/>
  <c r="P998" i="2"/>
  <c r="H997" i="2"/>
  <c r="M992" i="2"/>
  <c r="N992" i="2"/>
  <c r="K994" i="2"/>
  <c r="L993" i="2"/>
  <c r="N989" i="1"/>
  <c r="M989" i="1"/>
  <c r="M988" i="1"/>
  <c r="N988" i="1"/>
  <c r="K990" i="1"/>
  <c r="P993" i="1"/>
  <c r="H993" i="1" s="1"/>
  <c r="H994" i="1" s="1"/>
  <c r="Q992" i="1"/>
  <c r="I991" i="1"/>
  <c r="I997" i="2" l="1"/>
  <c r="H998" i="2"/>
  <c r="I998" i="2" s="1"/>
  <c r="M993" i="2"/>
  <c r="N993" i="2"/>
  <c r="Q998" i="2"/>
  <c r="P999" i="2"/>
  <c r="K995" i="2"/>
  <c r="L994" i="2"/>
  <c r="K991" i="1"/>
  <c r="L991" i="1" s="1"/>
  <c r="N991" i="1" s="1"/>
  <c r="L990" i="1"/>
  <c r="I992" i="1"/>
  <c r="P994" i="1"/>
  <c r="Q993" i="1"/>
  <c r="M994" i="2" l="1"/>
  <c r="N994" i="2"/>
  <c r="K996" i="2"/>
  <c r="L995" i="2"/>
  <c r="Q999" i="2"/>
  <c r="P1000" i="2"/>
  <c r="H999" i="2"/>
  <c r="M991" i="1"/>
  <c r="M990" i="1"/>
  <c r="N990" i="1"/>
  <c r="K992" i="1"/>
  <c r="P995" i="1"/>
  <c r="H995" i="1" s="1"/>
  <c r="H996" i="1" s="1"/>
  <c r="Q994" i="1"/>
  <c r="I993" i="1"/>
  <c r="M995" i="2" l="1"/>
  <c r="N995" i="2"/>
  <c r="I999" i="2"/>
  <c r="H1000" i="2"/>
  <c r="I1000" i="2" s="1"/>
  <c r="K997" i="2"/>
  <c r="L996" i="2"/>
  <c r="Q1000" i="2"/>
  <c r="P1001" i="2"/>
  <c r="K993" i="1"/>
  <c r="L993" i="1" s="1"/>
  <c r="L992" i="1"/>
  <c r="I994" i="1"/>
  <c r="Q995" i="1"/>
  <c r="P996" i="1"/>
  <c r="Q1001" i="2" l="1"/>
  <c r="P1002" i="2"/>
  <c r="H1001" i="2"/>
  <c r="M996" i="2"/>
  <c r="N996" i="2"/>
  <c r="K998" i="2"/>
  <c r="L997" i="2"/>
  <c r="N993" i="1"/>
  <c r="M993" i="1"/>
  <c r="M992" i="1"/>
  <c r="N992" i="1"/>
  <c r="K994" i="1"/>
  <c r="P997" i="1"/>
  <c r="H997" i="1" s="1"/>
  <c r="H998" i="1" s="1"/>
  <c r="Q996" i="1"/>
  <c r="I995" i="1"/>
  <c r="I1001" i="2" l="1"/>
  <c r="H1002" i="2"/>
  <c r="I1002" i="2" s="1"/>
  <c r="M997" i="2"/>
  <c r="N997" i="2"/>
  <c r="Q1002" i="2"/>
  <c r="P1003" i="2"/>
  <c r="K999" i="2"/>
  <c r="L998" i="2"/>
  <c r="K995" i="1"/>
  <c r="L995" i="1" s="1"/>
  <c r="N995" i="1" s="1"/>
  <c r="L994" i="1"/>
  <c r="I996" i="1"/>
  <c r="P998" i="1"/>
  <c r="Q997" i="1"/>
  <c r="M998" i="2" l="1"/>
  <c r="N998" i="2"/>
  <c r="K1000" i="2"/>
  <c r="L999" i="2"/>
  <c r="Q1003" i="2"/>
  <c r="P1004" i="2"/>
  <c r="H1003" i="2"/>
  <c r="M995" i="1"/>
  <c r="M994" i="1"/>
  <c r="N994" i="1"/>
  <c r="K996" i="1"/>
  <c r="P999" i="1"/>
  <c r="H999" i="1" s="1"/>
  <c r="H1000" i="1" s="1"/>
  <c r="Q998" i="1"/>
  <c r="I997" i="1"/>
  <c r="M999" i="2" l="1"/>
  <c r="N999" i="2"/>
  <c r="I1003" i="2"/>
  <c r="H1004" i="2"/>
  <c r="I1004" i="2" s="1"/>
  <c r="K1001" i="2"/>
  <c r="L1000" i="2"/>
  <c r="Q1004" i="2"/>
  <c r="P1005" i="2"/>
  <c r="K997" i="1"/>
  <c r="L997" i="1" s="1"/>
  <c r="L996" i="1"/>
  <c r="I998" i="1"/>
  <c r="Q999" i="1"/>
  <c r="P1000" i="1"/>
  <c r="Q1005" i="2" l="1"/>
  <c r="P1006" i="2"/>
  <c r="H1005" i="2"/>
  <c r="M1000" i="2"/>
  <c r="N1000" i="2"/>
  <c r="K1002" i="2"/>
  <c r="L1001" i="2"/>
  <c r="N997" i="1"/>
  <c r="M997" i="1"/>
  <c r="M996" i="1"/>
  <c r="N996" i="1"/>
  <c r="K998" i="1"/>
  <c r="P1001" i="1"/>
  <c r="H1001" i="1" s="1"/>
  <c r="H1002" i="1" s="1"/>
  <c r="Q1000" i="1"/>
  <c r="I999" i="1"/>
  <c r="I1005" i="2" l="1"/>
  <c r="H1006" i="2"/>
  <c r="I1006" i="2" s="1"/>
  <c r="M1001" i="2"/>
  <c r="N1001" i="2"/>
  <c r="Q1006" i="2"/>
  <c r="P1007" i="2"/>
  <c r="K1003" i="2"/>
  <c r="L1002" i="2"/>
  <c r="K999" i="1"/>
  <c r="L999" i="1" s="1"/>
  <c r="N999" i="1" s="1"/>
  <c r="L998" i="1"/>
  <c r="I1000" i="1"/>
  <c r="P1002" i="1"/>
  <c r="Q1001" i="1"/>
  <c r="M1002" i="2" l="1"/>
  <c r="N1002" i="2"/>
  <c r="K1004" i="2"/>
  <c r="L1003" i="2"/>
  <c r="Q1007" i="2"/>
  <c r="P1008" i="2"/>
  <c r="H1007" i="2"/>
  <c r="M999" i="1"/>
  <c r="M998" i="1"/>
  <c r="N998" i="1"/>
  <c r="K1000" i="1"/>
  <c r="P1003" i="1"/>
  <c r="H1003" i="1" s="1"/>
  <c r="H1004" i="1" s="1"/>
  <c r="Q1002" i="1"/>
  <c r="I1001" i="1"/>
  <c r="M1003" i="2" l="1"/>
  <c r="N1003" i="2"/>
  <c r="I1007" i="2"/>
  <c r="H1008" i="2"/>
  <c r="I1008" i="2" s="1"/>
  <c r="Q1008" i="2"/>
  <c r="P1009" i="2"/>
  <c r="K1005" i="2"/>
  <c r="L1004" i="2"/>
  <c r="K1001" i="1"/>
  <c r="L1001" i="1" s="1"/>
  <c r="N1001" i="1" s="1"/>
  <c r="L1000" i="1"/>
  <c r="I1002" i="1"/>
  <c r="P1004" i="1"/>
  <c r="Q1003" i="1"/>
  <c r="M1004" i="2" l="1"/>
  <c r="N1004" i="2"/>
  <c r="K1006" i="2"/>
  <c r="L1005" i="2"/>
  <c r="Q1009" i="2"/>
  <c r="P1010" i="2"/>
  <c r="H1009" i="2"/>
  <c r="M1001" i="1"/>
  <c r="M1000" i="1"/>
  <c r="N1000" i="1"/>
  <c r="K1002" i="1"/>
  <c r="P1005" i="1"/>
  <c r="H1005" i="1" s="1"/>
  <c r="H1006" i="1" s="1"/>
  <c r="Q1004" i="1"/>
  <c r="I1003" i="1"/>
  <c r="M1005" i="2" l="1"/>
  <c r="N1005" i="2"/>
  <c r="K1007" i="2"/>
  <c r="L1006" i="2"/>
  <c r="I1009" i="2"/>
  <c r="H1010" i="2"/>
  <c r="I1010" i="2" s="1"/>
  <c r="Q1010" i="2"/>
  <c r="P1011" i="2"/>
  <c r="K1003" i="1"/>
  <c r="L1003" i="1" s="1"/>
  <c r="N1003" i="1" s="1"/>
  <c r="L1002" i="1"/>
  <c r="I1004" i="1"/>
  <c r="P1006" i="1"/>
  <c r="Q1005" i="1"/>
  <c r="Q1011" i="2" l="1"/>
  <c r="P1012" i="2"/>
  <c r="H1011" i="2"/>
  <c r="M1006" i="2"/>
  <c r="N1006" i="2"/>
  <c r="K1008" i="2"/>
  <c r="L1007" i="2"/>
  <c r="M1003" i="1"/>
  <c r="M1002" i="1"/>
  <c r="N1002" i="1"/>
  <c r="K1004" i="1"/>
  <c r="P1007" i="1"/>
  <c r="H1007" i="1" s="1"/>
  <c r="H1008" i="1" s="1"/>
  <c r="Q1006" i="1"/>
  <c r="I1005" i="1"/>
  <c r="M1007" i="2" l="1"/>
  <c r="N1007" i="2"/>
  <c r="I1011" i="2"/>
  <c r="H1012" i="2"/>
  <c r="I1012" i="2" s="1"/>
  <c r="Q1012" i="2"/>
  <c r="P1013" i="2"/>
  <c r="K1009" i="2"/>
  <c r="L1008" i="2"/>
  <c r="K1005" i="1"/>
  <c r="L1005" i="1" s="1"/>
  <c r="L1004" i="1"/>
  <c r="I1006" i="1"/>
  <c r="P1008" i="1"/>
  <c r="Q1007" i="1"/>
  <c r="K1010" i="2" l="1"/>
  <c r="L1009" i="2"/>
  <c r="M1008" i="2"/>
  <c r="N1008" i="2"/>
  <c r="Q1013" i="2"/>
  <c r="P1014" i="2"/>
  <c r="H1013" i="2"/>
  <c r="M1005" i="1"/>
  <c r="N1005" i="1"/>
  <c r="N1004" i="1"/>
  <c r="M1004" i="1"/>
  <c r="K1006" i="1"/>
  <c r="P1009" i="1"/>
  <c r="H1009" i="1" s="1"/>
  <c r="H1010" i="1" s="1"/>
  <c r="Q1008" i="1"/>
  <c r="I1007" i="1"/>
  <c r="Q1014" i="2" l="1"/>
  <c r="P1015" i="2"/>
  <c r="M1009" i="2"/>
  <c r="N1009" i="2"/>
  <c r="I1013" i="2"/>
  <c r="H1014" i="2"/>
  <c r="I1014" i="2" s="1"/>
  <c r="K1011" i="2"/>
  <c r="L1010" i="2"/>
  <c r="K1007" i="1"/>
  <c r="L1007" i="1" s="1"/>
  <c r="L1006" i="1"/>
  <c r="I1008" i="1"/>
  <c r="P1010" i="1"/>
  <c r="Q1009" i="1"/>
  <c r="M1010" i="2" l="1"/>
  <c r="N1010" i="2"/>
  <c r="Q1015" i="2"/>
  <c r="P1016" i="2"/>
  <c r="H1015" i="2"/>
  <c r="K1012" i="2"/>
  <c r="L1011" i="2"/>
  <c r="M1007" i="1"/>
  <c r="N1007" i="1"/>
  <c r="N1006" i="1"/>
  <c r="M1006" i="1"/>
  <c r="K1008" i="1"/>
  <c r="P1011" i="1"/>
  <c r="H1011" i="1" s="1"/>
  <c r="H1012" i="1" s="1"/>
  <c r="Q1010" i="1"/>
  <c r="I1009" i="1"/>
  <c r="M1011" i="2" l="1"/>
  <c r="N1011" i="2"/>
  <c r="Q1016" i="2"/>
  <c r="P1017" i="2"/>
  <c r="K1013" i="2"/>
  <c r="L1012" i="2"/>
  <c r="I1015" i="2"/>
  <c r="H1016" i="2"/>
  <c r="I1016" i="2" s="1"/>
  <c r="K1009" i="1"/>
  <c r="L1009" i="1" s="1"/>
  <c r="L1008" i="1"/>
  <c r="I1010" i="1"/>
  <c r="P1012" i="1"/>
  <c r="Q1011" i="1"/>
  <c r="Q1017" i="2" l="1"/>
  <c r="P1018" i="2"/>
  <c r="H1017" i="2"/>
  <c r="M1012" i="2"/>
  <c r="N1012" i="2"/>
  <c r="K1014" i="2"/>
  <c r="L1013" i="2"/>
  <c r="M1009" i="1"/>
  <c r="N1009" i="1"/>
  <c r="N1008" i="1"/>
  <c r="M1008" i="1"/>
  <c r="K1010" i="1"/>
  <c r="P1013" i="1"/>
  <c r="H1013" i="1" s="1"/>
  <c r="H1014" i="1" s="1"/>
  <c r="Q1012" i="1"/>
  <c r="I1011" i="1"/>
  <c r="I1017" i="2" l="1"/>
  <c r="H1018" i="2"/>
  <c r="I1018" i="2" s="1"/>
  <c r="K1015" i="2"/>
  <c r="L1014" i="2"/>
  <c r="Q1018" i="2"/>
  <c r="P1019" i="2"/>
  <c r="M1013" i="2"/>
  <c r="N1013" i="2"/>
  <c r="K1011" i="1"/>
  <c r="L1011" i="1" s="1"/>
  <c r="L1010" i="1"/>
  <c r="I1013" i="1"/>
  <c r="I1012" i="1"/>
  <c r="P1014" i="1"/>
  <c r="Q1013" i="1"/>
  <c r="M1014" i="2" l="1"/>
  <c r="N1014" i="2"/>
  <c r="K1016" i="2"/>
  <c r="L1015" i="2"/>
  <c r="Q1019" i="2"/>
  <c r="P1020" i="2"/>
  <c r="H1019" i="2"/>
  <c r="N1011" i="1"/>
  <c r="M1011" i="1"/>
  <c r="N1010" i="1"/>
  <c r="M1010" i="1"/>
  <c r="K1012" i="1"/>
  <c r="K1013" i="1" s="1"/>
  <c r="P1015" i="1"/>
  <c r="H1015" i="1" s="1"/>
  <c r="H1016" i="1" s="1"/>
  <c r="Q1014" i="1"/>
  <c r="M1015" i="2" l="1"/>
  <c r="N1015" i="2"/>
  <c r="I1019" i="2"/>
  <c r="H1020" i="2"/>
  <c r="I1020" i="2" s="1"/>
  <c r="K1017" i="2"/>
  <c r="L1016" i="2"/>
  <c r="Q1020" i="2"/>
  <c r="P1021" i="2"/>
  <c r="L1013" i="1"/>
  <c r="N1013" i="1" s="1"/>
  <c r="L1012" i="1"/>
  <c r="P1016" i="1"/>
  <c r="Q1015" i="1"/>
  <c r="I1014" i="1"/>
  <c r="Q1021" i="2" l="1"/>
  <c r="P1022" i="2"/>
  <c r="H1021" i="2"/>
  <c r="M1016" i="2"/>
  <c r="N1016" i="2"/>
  <c r="K1018" i="2"/>
  <c r="L1017" i="2"/>
  <c r="M1013" i="1"/>
  <c r="M1012" i="1"/>
  <c r="N1012" i="1"/>
  <c r="K1014" i="1"/>
  <c r="L1014" i="1" s="1"/>
  <c r="I1015" i="1"/>
  <c r="P1017" i="1"/>
  <c r="H1017" i="1" s="1"/>
  <c r="H1018" i="1" s="1"/>
  <c r="Q1016" i="1"/>
  <c r="I1021" i="2" l="1"/>
  <c r="H1022" i="2"/>
  <c r="I1022" i="2" s="1"/>
  <c r="M1017" i="2"/>
  <c r="N1017" i="2"/>
  <c r="Q1022" i="2"/>
  <c r="P1023" i="2"/>
  <c r="K1019" i="2"/>
  <c r="L1018" i="2"/>
  <c r="N1014" i="1"/>
  <c r="M1014" i="1"/>
  <c r="K1015" i="1"/>
  <c r="L1015" i="1" s="1"/>
  <c r="P1018" i="1"/>
  <c r="Q1017" i="1"/>
  <c r="I1016" i="1"/>
  <c r="M1018" i="2" l="1"/>
  <c r="N1018" i="2"/>
  <c r="K1020" i="2"/>
  <c r="L1019" i="2"/>
  <c r="Q1023" i="2"/>
  <c r="P1024" i="2"/>
  <c r="H1023" i="2"/>
  <c r="N1015" i="1"/>
  <c r="M1015" i="1"/>
  <c r="K1016" i="1"/>
  <c r="L1016" i="1" s="1"/>
  <c r="I1017" i="1"/>
  <c r="P1019" i="1"/>
  <c r="H1019" i="1" s="1"/>
  <c r="H1020" i="1" s="1"/>
  <c r="Q1018" i="1"/>
  <c r="M1019" i="2" l="1"/>
  <c r="N1019" i="2"/>
  <c r="I1023" i="2"/>
  <c r="H1024" i="2"/>
  <c r="I1024" i="2" s="1"/>
  <c r="K1021" i="2"/>
  <c r="L1020" i="2"/>
  <c r="Q1024" i="2"/>
  <c r="P1025" i="2"/>
  <c r="N1016" i="1"/>
  <c r="M1016" i="1"/>
  <c r="K1017" i="1"/>
  <c r="L1017" i="1" s="1"/>
  <c r="P1020" i="1"/>
  <c r="Q1019" i="1"/>
  <c r="I1018" i="1"/>
  <c r="Q1025" i="2" l="1"/>
  <c r="P1026" i="2"/>
  <c r="H1025" i="2"/>
  <c r="M1020" i="2"/>
  <c r="N1020" i="2"/>
  <c r="K1022" i="2"/>
  <c r="L1021" i="2"/>
  <c r="N1017" i="1"/>
  <c r="M1017" i="1"/>
  <c r="K1018" i="1"/>
  <c r="L1018" i="1" s="1"/>
  <c r="I1019" i="1"/>
  <c r="P1021" i="1"/>
  <c r="H1021" i="1" s="1"/>
  <c r="H1022" i="1" s="1"/>
  <c r="Q1020" i="1"/>
  <c r="I1025" i="2" l="1"/>
  <c r="H1026" i="2"/>
  <c r="I1026" i="2" s="1"/>
  <c r="M1021" i="2"/>
  <c r="N1021" i="2"/>
  <c r="Q1026" i="2"/>
  <c r="P1027" i="2"/>
  <c r="K1023" i="2"/>
  <c r="L1022" i="2"/>
  <c r="N1018" i="1"/>
  <c r="M1018" i="1"/>
  <c r="K1019" i="1"/>
  <c r="L1019" i="1" s="1"/>
  <c r="P1022" i="1"/>
  <c r="Q1021" i="1"/>
  <c r="I1020" i="1"/>
  <c r="M1022" i="2" l="1"/>
  <c r="N1022" i="2"/>
  <c r="K1024" i="2"/>
  <c r="L1023" i="2"/>
  <c r="Q1027" i="2"/>
  <c r="P1028" i="2"/>
  <c r="H1027" i="2"/>
  <c r="N1019" i="1"/>
  <c r="M1019" i="1"/>
  <c r="K1020" i="1"/>
  <c r="L1020" i="1" s="1"/>
  <c r="I1021" i="1"/>
  <c r="P1023" i="1"/>
  <c r="H1023" i="1" s="1"/>
  <c r="H1024" i="1" s="1"/>
  <c r="Q1022" i="1"/>
  <c r="M1023" i="2" l="1"/>
  <c r="N1023" i="2"/>
  <c r="I1027" i="2"/>
  <c r="H1028" i="2"/>
  <c r="I1028" i="2" s="1"/>
  <c r="K1025" i="2"/>
  <c r="L1024" i="2"/>
  <c r="Q1028" i="2"/>
  <c r="P1029" i="2"/>
  <c r="N1020" i="1"/>
  <c r="M1020" i="1"/>
  <c r="K1021" i="1"/>
  <c r="L1021" i="1" s="1"/>
  <c r="P1024" i="1"/>
  <c r="Q1023" i="1"/>
  <c r="I1022" i="1"/>
  <c r="Q1029" i="2" l="1"/>
  <c r="P1030" i="2"/>
  <c r="H1029" i="2"/>
  <c r="M1024" i="2"/>
  <c r="N1024" i="2"/>
  <c r="K1026" i="2"/>
  <c r="L1025" i="2"/>
  <c r="N1021" i="1"/>
  <c r="M1021" i="1"/>
  <c r="K1022" i="1"/>
  <c r="L1022" i="1" s="1"/>
  <c r="I1023" i="1"/>
  <c r="P1025" i="1"/>
  <c r="H1025" i="1" s="1"/>
  <c r="H1026" i="1" s="1"/>
  <c r="Q1024" i="1"/>
  <c r="I1029" i="2" l="1"/>
  <c r="H1030" i="2"/>
  <c r="I1030" i="2" s="1"/>
  <c r="M1025" i="2"/>
  <c r="N1025" i="2"/>
  <c r="Q1030" i="2"/>
  <c r="P1031" i="2"/>
  <c r="K1027" i="2"/>
  <c r="L1026" i="2"/>
  <c r="N1022" i="1"/>
  <c r="M1022" i="1"/>
  <c r="K1023" i="1"/>
  <c r="L1023" i="1" s="1"/>
  <c r="P1026" i="1"/>
  <c r="Q1025" i="1"/>
  <c r="I1024" i="1"/>
  <c r="M1026" i="2" l="1"/>
  <c r="N1026" i="2"/>
  <c r="K1028" i="2"/>
  <c r="L1027" i="2"/>
  <c r="Q1031" i="2"/>
  <c r="P1032" i="2"/>
  <c r="H1031" i="2"/>
  <c r="N1023" i="1"/>
  <c r="M1023" i="1"/>
  <c r="K1024" i="1"/>
  <c r="L1024" i="1" s="1"/>
  <c r="I1025" i="1"/>
  <c r="P1027" i="1"/>
  <c r="H1027" i="1" s="1"/>
  <c r="H1028" i="1" s="1"/>
  <c r="Q1026" i="1"/>
  <c r="M1027" i="2" l="1"/>
  <c r="N1027" i="2"/>
  <c r="I1031" i="2"/>
  <c r="H1032" i="2"/>
  <c r="I1032" i="2" s="1"/>
  <c r="K1029" i="2"/>
  <c r="L1028" i="2"/>
  <c r="Q1032" i="2"/>
  <c r="P1033" i="2"/>
  <c r="N1024" i="1"/>
  <c r="M1024" i="1"/>
  <c r="K1025" i="1"/>
  <c r="L1025" i="1" s="1"/>
  <c r="P1028" i="1"/>
  <c r="Q1027" i="1"/>
  <c r="I1026" i="1"/>
  <c r="P1034" i="2" l="1"/>
  <c r="Q1033" i="2"/>
  <c r="H1033" i="2"/>
  <c r="M1028" i="2"/>
  <c r="N1028" i="2"/>
  <c r="K1030" i="2"/>
  <c r="L1029" i="2"/>
  <c r="N1025" i="1"/>
  <c r="M1025" i="1"/>
  <c r="K1026" i="1"/>
  <c r="L1026" i="1" s="1"/>
  <c r="I1027" i="1"/>
  <c r="P1029" i="1"/>
  <c r="H1029" i="1" s="1"/>
  <c r="H1030" i="1" s="1"/>
  <c r="Q1028" i="1"/>
  <c r="H1034" i="2" l="1"/>
  <c r="I1034" i="2" s="1"/>
  <c r="I1033" i="2"/>
  <c r="M1029" i="2"/>
  <c r="N1029" i="2"/>
  <c r="K1031" i="2"/>
  <c r="L1030" i="2"/>
  <c r="Q1034" i="2"/>
  <c r="P1035" i="2"/>
  <c r="N1026" i="1"/>
  <c r="M1026" i="1"/>
  <c r="K1027" i="1"/>
  <c r="L1027" i="1" s="1"/>
  <c r="P1030" i="1"/>
  <c r="Q1029" i="1"/>
  <c r="I1028" i="1"/>
  <c r="K1032" i="2" l="1"/>
  <c r="L1031" i="2"/>
  <c r="P1036" i="2"/>
  <c r="Q1035" i="2"/>
  <c r="H1035" i="2"/>
  <c r="M1030" i="2"/>
  <c r="N1030" i="2"/>
  <c r="N1027" i="1"/>
  <c r="M1027" i="1"/>
  <c r="K1028" i="1"/>
  <c r="L1028" i="1" s="1"/>
  <c r="I1029" i="1"/>
  <c r="P1031" i="1"/>
  <c r="H1031" i="1" s="1"/>
  <c r="H1032" i="1" s="1"/>
  <c r="Q1030" i="1"/>
  <c r="P1037" i="2" l="1"/>
  <c r="Q1036" i="2"/>
  <c r="M1031" i="2"/>
  <c r="N1031" i="2"/>
  <c r="H1036" i="2"/>
  <c r="I1036" i="2" s="1"/>
  <c r="I1035" i="2"/>
  <c r="K1033" i="2"/>
  <c r="L1032" i="2"/>
  <c r="N1028" i="1"/>
  <c r="M1028" i="1"/>
  <c r="K1029" i="1"/>
  <c r="L1029" i="1" s="1"/>
  <c r="P1032" i="1"/>
  <c r="Q1031" i="1"/>
  <c r="I1030" i="1"/>
  <c r="M1032" i="2" l="1"/>
  <c r="N1032" i="2"/>
  <c r="K1034" i="2"/>
  <c r="L1033" i="2"/>
  <c r="Q1037" i="2"/>
  <c r="P1038" i="2"/>
  <c r="H1037" i="2"/>
  <c r="N1029" i="1"/>
  <c r="M1029" i="1"/>
  <c r="K1030" i="1"/>
  <c r="L1030" i="1" s="1"/>
  <c r="I1031" i="1"/>
  <c r="P1033" i="1"/>
  <c r="H1033" i="1" s="1"/>
  <c r="H1034" i="1" s="1"/>
  <c r="Q1032" i="1"/>
  <c r="M1033" i="2" l="1"/>
  <c r="N1033" i="2"/>
  <c r="H1038" i="2"/>
  <c r="I1038" i="2" s="1"/>
  <c r="I1037" i="2"/>
  <c r="K1035" i="2"/>
  <c r="L1034" i="2"/>
  <c r="P1039" i="2"/>
  <c r="Q1038" i="2"/>
  <c r="N1030" i="1"/>
  <c r="M1030" i="1"/>
  <c r="K1031" i="1"/>
  <c r="L1031" i="1" s="1"/>
  <c r="P1034" i="1"/>
  <c r="Q1033" i="1"/>
  <c r="I1032" i="1"/>
  <c r="M1034" i="2" l="1"/>
  <c r="N1034" i="2"/>
  <c r="P1040" i="2"/>
  <c r="Q1039" i="2"/>
  <c r="H1039" i="2"/>
  <c r="K1036" i="2"/>
  <c r="L1035" i="2"/>
  <c r="N1031" i="1"/>
  <c r="M1031" i="1"/>
  <c r="K1032" i="1"/>
  <c r="L1032" i="1" s="1"/>
  <c r="I1033" i="1"/>
  <c r="P1035" i="1"/>
  <c r="H1035" i="1" s="1"/>
  <c r="H1036" i="1" s="1"/>
  <c r="Q1034" i="1"/>
  <c r="P1041" i="2" l="1"/>
  <c r="Q1040" i="2"/>
  <c r="N1035" i="2"/>
  <c r="M1035" i="2"/>
  <c r="K1037" i="2"/>
  <c r="L1036" i="2"/>
  <c r="H1040" i="2"/>
  <c r="I1040" i="2" s="1"/>
  <c r="I1039" i="2"/>
  <c r="N1032" i="1"/>
  <c r="M1032" i="1"/>
  <c r="K1033" i="1"/>
  <c r="L1033" i="1" s="1"/>
  <c r="P1036" i="1"/>
  <c r="Q1035" i="1"/>
  <c r="I1034" i="1"/>
  <c r="M1036" i="2" l="1"/>
  <c r="N1036" i="2"/>
  <c r="L1037" i="2"/>
  <c r="K1038" i="2"/>
  <c r="P1042" i="2"/>
  <c r="Q1041" i="2"/>
  <c r="H1041" i="2"/>
  <c r="N1033" i="1"/>
  <c r="M1033" i="1"/>
  <c r="K1034" i="1"/>
  <c r="L1034" i="1" s="1"/>
  <c r="I1035" i="1"/>
  <c r="P1037" i="1"/>
  <c r="H1037" i="1" s="1"/>
  <c r="H1038" i="1" s="1"/>
  <c r="Q1036" i="1"/>
  <c r="L1038" i="2" l="1"/>
  <c r="K1039" i="2"/>
  <c r="I1041" i="2"/>
  <c r="H1042" i="2"/>
  <c r="I1042" i="2" s="1"/>
  <c r="M1037" i="2"/>
  <c r="N1037" i="2"/>
  <c r="P1043" i="2"/>
  <c r="Q1042" i="2"/>
  <c r="N1034" i="1"/>
  <c r="M1034" i="1"/>
  <c r="K1035" i="1"/>
  <c r="L1035" i="1" s="1"/>
  <c r="Q1037" i="1"/>
  <c r="P1038" i="1"/>
  <c r="I1036" i="1"/>
  <c r="Q1043" i="2" l="1"/>
  <c r="P1044" i="2"/>
  <c r="H1043" i="2"/>
  <c r="L1039" i="2"/>
  <c r="K1040" i="2"/>
  <c r="N1038" i="2"/>
  <c r="M1038" i="2"/>
  <c r="N1035" i="1"/>
  <c r="M1035" i="1"/>
  <c r="K1036" i="1"/>
  <c r="L1036" i="1" s="1"/>
  <c r="I1037" i="1"/>
  <c r="P1039" i="1"/>
  <c r="H1039" i="1" s="1"/>
  <c r="H1040" i="1" s="1"/>
  <c r="Q1038" i="1"/>
  <c r="N1039" i="2" l="1"/>
  <c r="M1039" i="2"/>
  <c r="I1043" i="2"/>
  <c r="H1044" i="2"/>
  <c r="I1044" i="2" s="1"/>
  <c r="P1045" i="2"/>
  <c r="Q1044" i="2"/>
  <c r="L1040" i="2"/>
  <c r="K1041" i="2"/>
  <c r="M1036" i="1"/>
  <c r="N1036" i="1"/>
  <c r="K1037" i="1"/>
  <c r="L1037" i="1" s="1"/>
  <c r="I1038" i="1"/>
  <c r="P1040" i="1"/>
  <c r="Q1039" i="1"/>
  <c r="K1042" i="2" l="1"/>
  <c r="L1041" i="2"/>
  <c r="N1040" i="2"/>
  <c r="M1040" i="2"/>
  <c r="Q1045" i="2"/>
  <c r="P1046" i="2"/>
  <c r="H1045" i="2"/>
  <c r="N1037" i="1"/>
  <c r="M1037" i="1"/>
  <c r="K1038" i="1"/>
  <c r="L1038" i="1" s="1"/>
  <c r="P1041" i="1"/>
  <c r="H1041" i="1" s="1"/>
  <c r="H1042" i="1" s="1"/>
  <c r="Q1040" i="1"/>
  <c r="I1039" i="1"/>
  <c r="P1047" i="2" l="1"/>
  <c r="Q1046" i="2"/>
  <c r="N1041" i="2"/>
  <c r="M1041" i="2"/>
  <c r="I1045" i="2"/>
  <c r="H1046" i="2"/>
  <c r="I1046" i="2" s="1"/>
  <c r="L1042" i="2"/>
  <c r="K1043" i="2"/>
  <c r="N1038" i="1"/>
  <c r="M1038" i="1"/>
  <c r="K1039" i="1"/>
  <c r="L1039" i="1" s="1"/>
  <c r="I1040" i="1"/>
  <c r="Q1041" i="1"/>
  <c r="P1042" i="1"/>
  <c r="K1044" i="2" l="1"/>
  <c r="L1043" i="2"/>
  <c r="N1042" i="2"/>
  <c r="M1042" i="2"/>
  <c r="Q1047" i="2"/>
  <c r="P1048" i="2"/>
  <c r="H1047" i="2"/>
  <c r="N1039" i="1"/>
  <c r="M1039" i="1"/>
  <c r="K1040" i="1"/>
  <c r="L1040" i="1" s="1"/>
  <c r="P1043" i="1"/>
  <c r="H1043" i="1" s="1"/>
  <c r="H1044" i="1" s="1"/>
  <c r="Q1042" i="1"/>
  <c r="I1041" i="1"/>
  <c r="I1047" i="2" l="1"/>
  <c r="H1048" i="2"/>
  <c r="I1048" i="2" s="1"/>
  <c r="P1049" i="2"/>
  <c r="Q1048" i="2"/>
  <c r="M1043" i="2"/>
  <c r="N1043" i="2"/>
  <c r="K1045" i="2"/>
  <c r="L1044" i="2"/>
  <c r="N1040" i="1"/>
  <c r="M1040" i="1"/>
  <c r="K1041" i="1"/>
  <c r="L1041" i="1" s="1"/>
  <c r="I1042" i="1"/>
  <c r="P1044" i="1"/>
  <c r="Q1043" i="1"/>
  <c r="M1044" i="2" l="1"/>
  <c r="N1044" i="2"/>
  <c r="Q1049" i="2"/>
  <c r="P1050" i="2"/>
  <c r="H1049" i="2"/>
  <c r="K1046" i="2"/>
  <c r="L1045" i="2"/>
  <c r="M1041" i="1"/>
  <c r="N1041" i="1"/>
  <c r="K1042" i="1"/>
  <c r="L1042" i="1" s="1"/>
  <c r="P1045" i="1"/>
  <c r="H1045" i="1" s="1"/>
  <c r="H1046" i="1" s="1"/>
  <c r="Q1044" i="1"/>
  <c r="I1043" i="1"/>
  <c r="M1045" i="2" l="1"/>
  <c r="N1045" i="2"/>
  <c r="P1051" i="2"/>
  <c r="Q1050" i="2"/>
  <c r="L1046" i="2"/>
  <c r="K1047" i="2"/>
  <c r="I1049" i="2"/>
  <c r="H1050" i="2"/>
  <c r="I1050" i="2" s="1"/>
  <c r="N1042" i="1"/>
  <c r="M1042" i="1"/>
  <c r="K1043" i="1"/>
  <c r="L1043" i="1" s="1"/>
  <c r="I1044" i="1"/>
  <c r="Q1045" i="1"/>
  <c r="P1046" i="1"/>
  <c r="Q1051" i="2" l="1"/>
  <c r="P1052" i="2"/>
  <c r="H1051" i="2"/>
  <c r="K1048" i="2"/>
  <c r="L1047" i="2"/>
  <c r="N1046" i="2"/>
  <c r="M1046" i="2"/>
  <c r="N1043" i="1"/>
  <c r="M1043" i="1"/>
  <c r="K1044" i="1"/>
  <c r="L1044" i="1" s="1"/>
  <c r="P1047" i="1"/>
  <c r="H1047" i="1" s="1"/>
  <c r="H1048" i="1" s="1"/>
  <c r="Q1046" i="1"/>
  <c r="I1045" i="1"/>
  <c r="K1049" i="2" l="1"/>
  <c r="L1048" i="2"/>
  <c r="I1051" i="2"/>
  <c r="H1052" i="2"/>
  <c r="I1052" i="2" s="1"/>
  <c r="P1053" i="2"/>
  <c r="Q1052" i="2"/>
  <c r="M1047" i="2"/>
  <c r="N1047" i="2"/>
  <c r="N1044" i="1"/>
  <c r="M1044" i="1"/>
  <c r="K1045" i="1"/>
  <c r="L1045" i="1" s="1"/>
  <c r="I1046" i="1"/>
  <c r="P1048" i="1"/>
  <c r="Q1047" i="1"/>
  <c r="M1048" i="2" l="1"/>
  <c r="N1048" i="2"/>
  <c r="Q1053" i="2"/>
  <c r="H1053" i="2"/>
  <c r="P1054" i="2"/>
  <c r="K1050" i="2"/>
  <c r="L1049" i="2"/>
  <c r="M1045" i="1"/>
  <c r="N1045" i="1"/>
  <c r="K1046" i="1"/>
  <c r="L1046" i="1" s="1"/>
  <c r="P1049" i="1"/>
  <c r="H1049" i="1" s="1"/>
  <c r="H1050" i="1" s="1"/>
  <c r="Q1048" i="1"/>
  <c r="I1047" i="1"/>
  <c r="I1053" i="2" l="1"/>
  <c r="H1054" i="2"/>
  <c r="I1054" i="2" s="1"/>
  <c r="M1049" i="2"/>
  <c r="N1049" i="2"/>
  <c r="L1050" i="2"/>
  <c r="K1051" i="2"/>
  <c r="P1055" i="2"/>
  <c r="Q1054" i="2"/>
  <c r="N1046" i="1"/>
  <c r="M1046" i="1"/>
  <c r="K1047" i="1"/>
  <c r="L1047" i="1" s="1"/>
  <c r="I1048" i="1"/>
  <c r="P1050" i="1"/>
  <c r="Q1049" i="1"/>
  <c r="Q1055" i="2" l="1"/>
  <c r="P1056" i="2"/>
  <c r="H1055" i="2"/>
  <c r="K1052" i="2"/>
  <c r="L1051" i="2"/>
  <c r="N1050" i="2"/>
  <c r="M1050" i="2"/>
  <c r="N1047" i="1"/>
  <c r="M1047" i="1"/>
  <c r="K1048" i="1"/>
  <c r="L1048" i="1" s="1"/>
  <c r="P1051" i="1"/>
  <c r="H1051" i="1" s="1"/>
  <c r="H1052" i="1" s="1"/>
  <c r="Q1050" i="1"/>
  <c r="I1049" i="1"/>
  <c r="K1053" i="2" l="1"/>
  <c r="L1052" i="2"/>
  <c r="I1055" i="2"/>
  <c r="H1056" i="2"/>
  <c r="I1056" i="2" s="1"/>
  <c r="Q1056" i="2"/>
  <c r="P1057" i="2"/>
  <c r="M1051" i="2"/>
  <c r="N1051" i="2"/>
  <c r="N1048" i="1"/>
  <c r="M1048" i="1"/>
  <c r="K1049" i="1"/>
  <c r="L1049" i="1" s="1"/>
  <c r="I1050" i="1"/>
  <c r="P1052" i="1"/>
  <c r="Q1051" i="1"/>
  <c r="Q1057" i="2" l="1"/>
  <c r="H1057" i="2"/>
  <c r="P1058" i="2"/>
  <c r="N1052" i="2"/>
  <c r="M1052" i="2"/>
  <c r="K1054" i="2"/>
  <c r="L1053" i="2"/>
  <c r="N1049" i="1"/>
  <c r="M1049" i="1"/>
  <c r="K1050" i="1"/>
  <c r="L1050" i="1" s="1"/>
  <c r="P1053" i="1"/>
  <c r="H1053" i="1" s="1"/>
  <c r="H1054" i="1" s="1"/>
  <c r="Q1052" i="1"/>
  <c r="I1051" i="1"/>
  <c r="M1053" i="2" l="1"/>
  <c r="N1053" i="2"/>
  <c r="P1059" i="2"/>
  <c r="Q1058" i="2"/>
  <c r="I1057" i="2"/>
  <c r="H1058" i="2"/>
  <c r="I1058" i="2" s="1"/>
  <c r="K1055" i="2"/>
  <c r="L1054" i="2"/>
  <c r="N1050" i="1"/>
  <c r="M1050" i="1"/>
  <c r="K1051" i="1"/>
  <c r="L1051" i="1" s="1"/>
  <c r="I1052" i="1"/>
  <c r="P1054" i="1"/>
  <c r="Q1053" i="1"/>
  <c r="N1054" i="2" l="1"/>
  <c r="M1054" i="2"/>
  <c r="Q1059" i="2"/>
  <c r="P1060" i="2"/>
  <c r="H1059" i="2"/>
  <c r="K1056" i="2"/>
  <c r="L1055" i="2"/>
  <c r="N1051" i="1"/>
  <c r="M1051" i="1"/>
  <c r="K1052" i="1"/>
  <c r="L1052" i="1" s="1"/>
  <c r="P1055" i="1"/>
  <c r="H1055" i="1" s="1"/>
  <c r="H1056" i="1" s="1"/>
  <c r="Q1054" i="1"/>
  <c r="I1053" i="1"/>
  <c r="M1055" i="2" l="1"/>
  <c r="N1055" i="2"/>
  <c r="Q1060" i="2"/>
  <c r="P1061" i="2"/>
  <c r="L1056" i="2"/>
  <c r="K1057" i="2"/>
  <c r="I1059" i="2"/>
  <c r="H1060" i="2"/>
  <c r="I1060" i="2" s="1"/>
  <c r="N1052" i="1"/>
  <c r="M1052" i="1"/>
  <c r="K1053" i="1"/>
  <c r="L1053" i="1" s="1"/>
  <c r="I1054" i="1"/>
  <c r="P1056" i="1"/>
  <c r="Q1055" i="1"/>
  <c r="Q1061" i="2" l="1"/>
  <c r="H1061" i="2"/>
  <c r="P1062" i="2"/>
  <c r="K1058" i="2"/>
  <c r="L1057" i="2"/>
  <c r="N1056" i="2"/>
  <c r="M1056" i="2"/>
  <c r="N1053" i="1"/>
  <c r="M1053" i="1"/>
  <c r="K1054" i="1"/>
  <c r="L1054" i="1" s="1"/>
  <c r="P1057" i="1"/>
  <c r="H1057" i="1" s="1"/>
  <c r="H1058" i="1" s="1"/>
  <c r="Q1056" i="1"/>
  <c r="I1055" i="1"/>
  <c r="K1059" i="2" l="1"/>
  <c r="L1058" i="2"/>
  <c r="P1063" i="2"/>
  <c r="Q1062" i="2"/>
  <c r="I1061" i="2"/>
  <c r="H1062" i="2"/>
  <c r="I1062" i="2" s="1"/>
  <c r="M1057" i="2"/>
  <c r="N1057" i="2"/>
  <c r="N1054" i="1"/>
  <c r="M1054" i="1"/>
  <c r="K1055" i="1"/>
  <c r="L1055" i="1" s="1"/>
  <c r="I1056" i="1"/>
  <c r="P1058" i="1"/>
  <c r="Q1057" i="1"/>
  <c r="Q1063" i="2" l="1"/>
  <c r="P1064" i="2"/>
  <c r="H1063" i="2"/>
  <c r="N1058" i="2"/>
  <c r="M1058" i="2"/>
  <c r="K1060" i="2"/>
  <c r="L1059" i="2"/>
  <c r="N1055" i="1"/>
  <c r="M1055" i="1"/>
  <c r="K1056" i="1"/>
  <c r="L1056" i="1" s="1"/>
  <c r="P1059" i="1"/>
  <c r="H1059" i="1" s="1"/>
  <c r="H1060" i="1" s="1"/>
  <c r="Q1058" i="1"/>
  <c r="I1057" i="1"/>
  <c r="M1059" i="2" l="1"/>
  <c r="N1059" i="2"/>
  <c r="I1063" i="2"/>
  <c r="H1064" i="2"/>
  <c r="I1064" i="2" s="1"/>
  <c r="Q1064" i="2"/>
  <c r="P1065" i="2"/>
  <c r="L1060" i="2"/>
  <c r="K1061" i="2"/>
  <c r="N1056" i="1"/>
  <c r="M1056" i="1"/>
  <c r="K1057" i="1"/>
  <c r="L1057" i="1" s="1"/>
  <c r="I1058" i="1"/>
  <c r="P1060" i="1"/>
  <c r="Q1059" i="1"/>
  <c r="N1060" i="2" l="1"/>
  <c r="M1060" i="2"/>
  <c r="K1062" i="2"/>
  <c r="L1061" i="2"/>
  <c r="Q1065" i="2"/>
  <c r="H1065" i="2"/>
  <c r="P1066" i="2"/>
  <c r="N1057" i="1"/>
  <c r="M1057" i="1"/>
  <c r="K1058" i="1"/>
  <c r="L1058" i="1" s="1"/>
  <c r="P1061" i="1"/>
  <c r="H1061" i="1" s="1"/>
  <c r="H1062" i="1" s="1"/>
  <c r="Q1060" i="1"/>
  <c r="I1059" i="1"/>
  <c r="M1061" i="2" l="1"/>
  <c r="N1061" i="2"/>
  <c r="K1063" i="2"/>
  <c r="L1062" i="2"/>
  <c r="P1067" i="2"/>
  <c r="Q1066" i="2"/>
  <c r="I1065" i="2"/>
  <c r="H1066" i="2"/>
  <c r="I1066" i="2" s="1"/>
  <c r="N1058" i="1"/>
  <c r="M1058" i="1"/>
  <c r="K1059" i="1"/>
  <c r="L1059" i="1" s="1"/>
  <c r="I1061" i="1"/>
  <c r="I1060" i="1"/>
  <c r="P1062" i="1"/>
  <c r="Q1061" i="1"/>
  <c r="N1062" i="2" l="1"/>
  <c r="M1062" i="2"/>
  <c r="K1064" i="2"/>
  <c r="L1063" i="2"/>
  <c r="Q1067" i="2"/>
  <c r="P1068" i="2"/>
  <c r="H1067" i="2"/>
  <c r="M1059" i="1"/>
  <c r="N1059" i="1"/>
  <c r="K1060" i="1"/>
  <c r="K1061" i="1" s="1"/>
  <c r="L1061" i="1" s="1"/>
  <c r="N1061" i="1" s="1"/>
  <c r="P1063" i="1"/>
  <c r="H1063" i="1" s="1"/>
  <c r="H1064" i="1" s="1"/>
  <c r="Q1062" i="1"/>
  <c r="M1063" i="2" l="1"/>
  <c r="N1063" i="2"/>
  <c r="L1064" i="2"/>
  <c r="K1065" i="2"/>
  <c r="I1067" i="2"/>
  <c r="H1068" i="2"/>
  <c r="I1068" i="2" s="1"/>
  <c r="Q1068" i="2"/>
  <c r="P1069" i="2"/>
  <c r="L1060" i="1"/>
  <c r="M1061" i="1" s="1"/>
  <c r="I1062" i="1"/>
  <c r="P1064" i="1"/>
  <c r="Q1063" i="1"/>
  <c r="Q1069" i="2" l="1"/>
  <c r="H1069" i="2"/>
  <c r="P1070" i="2"/>
  <c r="K1066" i="2"/>
  <c r="L1065" i="2"/>
  <c r="N1064" i="2"/>
  <c r="M1064" i="2"/>
  <c r="M1060" i="1"/>
  <c r="N1060" i="1"/>
  <c r="K1062" i="1"/>
  <c r="P1065" i="1"/>
  <c r="H1065" i="1" s="1"/>
  <c r="H1066" i="1" s="1"/>
  <c r="Q1064" i="1"/>
  <c r="I1063" i="1"/>
  <c r="K1067" i="2" l="1"/>
  <c r="L1066" i="2"/>
  <c r="P1071" i="2"/>
  <c r="Q1070" i="2"/>
  <c r="I1069" i="2"/>
  <c r="H1070" i="2"/>
  <c r="I1070" i="2" s="1"/>
  <c r="M1065" i="2"/>
  <c r="N1065" i="2"/>
  <c r="K1063" i="1"/>
  <c r="L1063" i="1" s="1"/>
  <c r="N1063" i="1" s="1"/>
  <c r="L1062" i="1"/>
  <c r="I1064" i="1"/>
  <c r="P1066" i="1"/>
  <c r="Q1065" i="1"/>
  <c r="Q1071" i="2" l="1"/>
  <c r="P1072" i="2"/>
  <c r="H1071" i="2"/>
  <c r="N1066" i="2"/>
  <c r="M1066" i="2"/>
  <c r="K1068" i="2"/>
  <c r="L1067" i="2"/>
  <c r="M1063" i="1"/>
  <c r="M1062" i="1"/>
  <c r="N1062" i="1"/>
  <c r="K1064" i="1"/>
  <c r="P1067" i="1"/>
  <c r="H1067" i="1" s="1"/>
  <c r="H1068" i="1" s="1"/>
  <c r="Q1066" i="1"/>
  <c r="I1065" i="1"/>
  <c r="M1067" i="2" l="1"/>
  <c r="N1067" i="2"/>
  <c r="I1071" i="2"/>
  <c r="H1072" i="2"/>
  <c r="I1072" i="2" s="1"/>
  <c r="Q1072" i="2"/>
  <c r="P1073" i="2"/>
  <c r="L1068" i="2"/>
  <c r="K1069" i="2"/>
  <c r="K1065" i="1"/>
  <c r="L1065" i="1" s="1"/>
  <c r="L1064" i="1"/>
  <c r="I1066" i="1"/>
  <c r="P1068" i="1"/>
  <c r="Q1067" i="1"/>
  <c r="K1070" i="2" l="1"/>
  <c r="L1069" i="2"/>
  <c r="N1068" i="2"/>
  <c r="M1068" i="2"/>
  <c r="Q1073" i="2"/>
  <c r="H1073" i="2"/>
  <c r="P1074" i="2"/>
  <c r="N1065" i="1"/>
  <c r="M1065" i="1"/>
  <c r="M1064" i="1"/>
  <c r="N1064" i="1"/>
  <c r="K1066" i="1"/>
  <c r="P1069" i="1"/>
  <c r="H1069" i="1" s="1"/>
  <c r="H1070" i="1" s="1"/>
  <c r="Q1068" i="1"/>
  <c r="I1067" i="1"/>
  <c r="I1073" i="2" l="1"/>
  <c r="H1074" i="2"/>
  <c r="I1074" i="2" s="1"/>
  <c r="M1069" i="2"/>
  <c r="N1069" i="2"/>
  <c r="P1075" i="2"/>
  <c r="Q1074" i="2"/>
  <c r="K1071" i="2"/>
  <c r="L1070" i="2"/>
  <c r="K1067" i="1"/>
  <c r="L1067" i="1" s="1"/>
  <c r="N1067" i="1" s="1"/>
  <c r="L1066" i="1"/>
  <c r="I1068" i="1"/>
  <c r="P1070" i="1"/>
  <c r="Q1069" i="1"/>
  <c r="N1070" i="2" l="1"/>
  <c r="M1070" i="2"/>
  <c r="K1072" i="2"/>
  <c r="L1071" i="2"/>
  <c r="Q1075" i="2"/>
  <c r="P1076" i="2"/>
  <c r="H1075" i="2"/>
  <c r="M1067" i="1"/>
  <c r="M1066" i="1"/>
  <c r="N1066" i="1"/>
  <c r="K1068" i="1"/>
  <c r="P1071" i="1"/>
  <c r="H1071" i="1" s="1"/>
  <c r="H1072" i="1" s="1"/>
  <c r="Q1070" i="1"/>
  <c r="I1069" i="1"/>
  <c r="M1071" i="2" l="1"/>
  <c r="N1071" i="2"/>
  <c r="L1072" i="2"/>
  <c r="K1073" i="2"/>
  <c r="I1075" i="2"/>
  <c r="H1076" i="2"/>
  <c r="I1076" i="2" s="1"/>
  <c r="Q1076" i="2"/>
  <c r="P1077" i="2"/>
  <c r="K1069" i="1"/>
  <c r="L1069" i="1" s="1"/>
  <c r="L1068" i="1"/>
  <c r="I1070" i="1"/>
  <c r="P1072" i="1"/>
  <c r="Q1071" i="1"/>
  <c r="Q1077" i="2" l="1"/>
  <c r="H1077" i="2"/>
  <c r="P1078" i="2"/>
  <c r="K1074" i="2"/>
  <c r="L1073" i="2"/>
  <c r="N1072" i="2"/>
  <c r="M1072" i="2"/>
  <c r="N1069" i="1"/>
  <c r="M1069" i="1"/>
  <c r="M1068" i="1"/>
  <c r="N1068" i="1"/>
  <c r="K1070" i="1"/>
  <c r="P1073" i="1"/>
  <c r="H1073" i="1" s="1"/>
  <c r="H1074" i="1" s="1"/>
  <c r="Q1072" i="1"/>
  <c r="I1071" i="1"/>
  <c r="K1075" i="2" l="1"/>
  <c r="L1074" i="2"/>
  <c r="P1079" i="2"/>
  <c r="Q1078" i="2"/>
  <c r="I1077" i="2"/>
  <c r="H1078" i="2"/>
  <c r="I1078" i="2" s="1"/>
  <c r="M1073" i="2"/>
  <c r="N1073" i="2"/>
  <c r="K1071" i="1"/>
  <c r="L1071" i="1" s="1"/>
  <c r="N1071" i="1" s="1"/>
  <c r="L1070" i="1"/>
  <c r="I1072" i="1"/>
  <c r="P1074" i="1"/>
  <c r="Q1073" i="1"/>
  <c r="Q1079" i="2" l="1"/>
  <c r="P1080" i="2"/>
  <c r="H1079" i="2"/>
  <c r="N1074" i="2"/>
  <c r="M1074" i="2"/>
  <c r="K1076" i="2"/>
  <c r="L1075" i="2"/>
  <c r="M1071" i="1"/>
  <c r="M1070" i="1"/>
  <c r="N1070" i="1"/>
  <c r="K1072" i="1"/>
  <c r="P1075" i="1"/>
  <c r="H1075" i="1" s="1"/>
  <c r="H1076" i="1" s="1"/>
  <c r="Q1074" i="1"/>
  <c r="I1073" i="1"/>
  <c r="M1075" i="2" l="1"/>
  <c r="N1075" i="2"/>
  <c r="I1079" i="2"/>
  <c r="H1080" i="2"/>
  <c r="I1080" i="2" s="1"/>
  <c r="Q1080" i="2"/>
  <c r="P1081" i="2"/>
  <c r="L1076" i="2"/>
  <c r="K1077" i="2"/>
  <c r="K1073" i="1"/>
  <c r="L1073" i="1" s="1"/>
  <c r="L1072" i="1"/>
  <c r="I1074" i="1"/>
  <c r="P1076" i="1"/>
  <c r="Q1075" i="1"/>
  <c r="K1078" i="2" l="1"/>
  <c r="L1077" i="2"/>
  <c r="N1076" i="2"/>
  <c r="M1076" i="2"/>
  <c r="Q1081" i="2"/>
  <c r="H1081" i="2"/>
  <c r="P1082" i="2"/>
  <c r="N1073" i="1"/>
  <c r="M1073" i="1"/>
  <c r="M1072" i="1"/>
  <c r="N1072" i="1"/>
  <c r="K1074" i="1"/>
  <c r="P1077" i="1"/>
  <c r="H1077" i="1" s="1"/>
  <c r="H1078" i="1" s="1"/>
  <c r="Q1076" i="1"/>
  <c r="I1075" i="1"/>
  <c r="I1081" i="2" l="1"/>
  <c r="H1082" i="2"/>
  <c r="I1082" i="2" s="1"/>
  <c r="M1077" i="2"/>
  <c r="N1077" i="2"/>
  <c r="P1083" i="2"/>
  <c r="Q1082" i="2"/>
  <c r="K1079" i="2"/>
  <c r="L1078" i="2"/>
  <c r="K1075" i="1"/>
  <c r="L1075" i="1" s="1"/>
  <c r="N1075" i="1" s="1"/>
  <c r="L1074" i="1"/>
  <c r="I1076" i="1"/>
  <c r="P1078" i="1"/>
  <c r="Q1077" i="1"/>
  <c r="N1078" i="2" l="1"/>
  <c r="M1078" i="2"/>
  <c r="K1080" i="2"/>
  <c r="L1079" i="2"/>
  <c r="Q1083" i="2"/>
  <c r="P1084" i="2"/>
  <c r="H1083" i="2"/>
  <c r="M1075" i="1"/>
  <c r="M1074" i="1"/>
  <c r="N1074" i="1"/>
  <c r="K1076" i="1"/>
  <c r="P1079" i="1"/>
  <c r="H1079" i="1" s="1"/>
  <c r="H1080" i="1" s="1"/>
  <c r="Q1078" i="1"/>
  <c r="I1077" i="1"/>
  <c r="M1079" i="2" l="1"/>
  <c r="N1079" i="2"/>
  <c r="L1080" i="2"/>
  <c r="K1081" i="2"/>
  <c r="I1083" i="2"/>
  <c r="H1084" i="2"/>
  <c r="I1084" i="2" s="1"/>
  <c r="Q1084" i="2"/>
  <c r="P1085" i="2"/>
  <c r="K1077" i="1"/>
  <c r="L1077" i="1" s="1"/>
  <c r="L1076" i="1"/>
  <c r="I1078" i="1"/>
  <c r="P1080" i="1"/>
  <c r="Q1079" i="1"/>
  <c r="Q1085" i="2" l="1"/>
  <c r="H1085" i="2"/>
  <c r="P1086" i="2"/>
  <c r="K1082" i="2"/>
  <c r="L1081" i="2"/>
  <c r="N1080" i="2"/>
  <c r="M1080" i="2"/>
  <c r="N1077" i="1"/>
  <c r="M1077" i="1"/>
  <c r="M1076" i="1"/>
  <c r="N1076" i="1"/>
  <c r="K1078" i="1"/>
  <c r="Q1080" i="1"/>
  <c r="P1081" i="1"/>
  <c r="H1081" i="1" s="1"/>
  <c r="H1082" i="1" s="1"/>
  <c r="I1079" i="1"/>
  <c r="K1083" i="2" l="1"/>
  <c r="L1082" i="2"/>
  <c r="P1087" i="2"/>
  <c r="Q1086" i="2"/>
  <c r="I1085" i="2"/>
  <c r="H1086" i="2"/>
  <c r="I1086" i="2" s="1"/>
  <c r="M1081" i="2"/>
  <c r="N1081" i="2"/>
  <c r="K1079" i="1"/>
  <c r="L1079" i="1" s="1"/>
  <c r="N1079" i="1" s="1"/>
  <c r="L1078" i="1"/>
  <c r="I1080" i="1"/>
  <c r="P1082" i="1"/>
  <c r="Q1081" i="1"/>
  <c r="Q1087" i="2" l="1"/>
  <c r="P1088" i="2"/>
  <c r="H1087" i="2"/>
  <c r="N1082" i="2"/>
  <c r="M1082" i="2"/>
  <c r="K1084" i="2"/>
  <c r="L1083" i="2"/>
  <c r="M1079" i="1"/>
  <c r="M1078" i="1"/>
  <c r="N1078" i="1"/>
  <c r="K1080" i="1"/>
  <c r="I1081" i="1"/>
  <c r="P1083" i="1"/>
  <c r="H1083" i="1" s="1"/>
  <c r="H1084" i="1" s="1"/>
  <c r="Q1082" i="1"/>
  <c r="I1087" i="2" l="1"/>
  <c r="H1088" i="2"/>
  <c r="I1088" i="2" s="1"/>
  <c r="M1083" i="2"/>
  <c r="N1083" i="2"/>
  <c r="Q1088" i="2"/>
  <c r="P1089" i="2"/>
  <c r="L1084" i="2"/>
  <c r="K1085" i="2"/>
  <c r="K1081" i="1"/>
  <c r="L1081" i="1" s="1"/>
  <c r="N1081" i="1" s="1"/>
  <c r="L1080" i="1"/>
  <c r="P1084" i="1"/>
  <c r="Q1083" i="1"/>
  <c r="I1082" i="1"/>
  <c r="K1086" i="2" l="1"/>
  <c r="L1085" i="2"/>
  <c r="N1084" i="2"/>
  <c r="M1084" i="2"/>
  <c r="Q1089" i="2"/>
  <c r="H1089" i="2"/>
  <c r="P1090" i="2"/>
  <c r="M1081" i="1"/>
  <c r="M1080" i="1"/>
  <c r="N1080" i="1"/>
  <c r="K1082" i="1"/>
  <c r="I1083" i="1"/>
  <c r="Q1084" i="1"/>
  <c r="P1085" i="1"/>
  <c r="H1085" i="1" s="1"/>
  <c r="H1086" i="1" s="1"/>
  <c r="I1089" i="2" l="1"/>
  <c r="H1090" i="2"/>
  <c r="I1090" i="2" s="1"/>
  <c r="P1091" i="2"/>
  <c r="Q1090" i="2"/>
  <c r="M1085" i="2"/>
  <c r="N1085" i="2"/>
  <c r="K1087" i="2"/>
  <c r="L1086" i="2"/>
  <c r="K1083" i="1"/>
  <c r="L1083" i="1" s="1"/>
  <c r="L1082" i="1"/>
  <c r="P1086" i="1"/>
  <c r="Q1085" i="1"/>
  <c r="I1084" i="1"/>
  <c r="N1086" i="2" l="1"/>
  <c r="M1086" i="2"/>
  <c r="P1092" i="2"/>
  <c r="Q1091" i="2"/>
  <c r="H1091" i="2"/>
  <c r="K1088" i="2"/>
  <c r="L1087" i="2"/>
  <c r="N1083" i="1"/>
  <c r="M1083" i="1"/>
  <c r="M1082" i="1"/>
  <c r="N1082" i="1"/>
  <c r="K1084" i="1"/>
  <c r="I1085" i="1"/>
  <c r="P1087" i="1"/>
  <c r="H1087" i="1" s="1"/>
  <c r="H1088" i="1" s="1"/>
  <c r="Q1086" i="1"/>
  <c r="M1087" i="2" l="1"/>
  <c r="N1087" i="2"/>
  <c r="Q1092" i="2"/>
  <c r="P1093" i="2"/>
  <c r="L1088" i="2"/>
  <c r="K1089" i="2"/>
  <c r="I1091" i="2"/>
  <c r="H1092" i="2"/>
  <c r="I1092" i="2" s="1"/>
  <c r="K1085" i="1"/>
  <c r="L1085" i="1" s="1"/>
  <c r="N1085" i="1" s="1"/>
  <c r="L1084" i="1"/>
  <c r="P1088" i="1"/>
  <c r="Q1087" i="1"/>
  <c r="I1086" i="1"/>
  <c r="Q1093" i="2" l="1"/>
  <c r="P1094" i="2"/>
  <c r="H1093" i="2"/>
  <c r="K1090" i="2"/>
  <c r="L1089" i="2"/>
  <c r="N1088" i="2"/>
  <c r="M1088" i="2"/>
  <c r="M1085" i="1"/>
  <c r="N1084" i="1"/>
  <c r="M1084" i="1"/>
  <c r="K1086" i="1"/>
  <c r="I1087" i="1"/>
  <c r="P1089" i="1"/>
  <c r="H1089" i="1" s="1"/>
  <c r="H1090" i="1" s="1"/>
  <c r="Q1088" i="1"/>
  <c r="K1091" i="2" l="1"/>
  <c r="L1090" i="2"/>
  <c r="H1094" i="2"/>
  <c r="I1094" i="2" s="1"/>
  <c r="I1093" i="2"/>
  <c r="Q1094" i="2"/>
  <c r="P1095" i="2"/>
  <c r="M1089" i="2"/>
  <c r="N1089" i="2"/>
  <c r="K1087" i="1"/>
  <c r="L1087" i="1" s="1"/>
  <c r="L1086" i="1"/>
  <c r="P1090" i="1"/>
  <c r="Q1089" i="1"/>
  <c r="I1088" i="1"/>
  <c r="P1096" i="2" l="1"/>
  <c r="Q1095" i="2"/>
  <c r="H1095" i="2"/>
  <c r="N1090" i="2"/>
  <c r="M1090" i="2"/>
  <c r="K1092" i="2"/>
  <c r="L1091" i="2"/>
  <c r="M1087" i="1"/>
  <c r="N1087" i="1"/>
  <c r="M1086" i="1"/>
  <c r="N1086" i="1"/>
  <c r="K1088" i="1"/>
  <c r="I1089" i="1"/>
  <c r="P1091" i="1"/>
  <c r="H1091" i="1" s="1"/>
  <c r="H1092" i="1" s="1"/>
  <c r="Q1090" i="1"/>
  <c r="I1095" i="2" l="1"/>
  <c r="H1096" i="2"/>
  <c r="I1096" i="2" s="1"/>
  <c r="M1091" i="2"/>
  <c r="N1091" i="2"/>
  <c r="K1093" i="2"/>
  <c r="L1092" i="2"/>
  <c r="Q1096" i="2"/>
  <c r="P1097" i="2"/>
  <c r="K1089" i="1"/>
  <c r="L1089" i="1" s="1"/>
  <c r="N1089" i="1" s="1"/>
  <c r="L1088" i="1"/>
  <c r="P1092" i="1"/>
  <c r="Q1091" i="1"/>
  <c r="I1090" i="1"/>
  <c r="Q1097" i="2" l="1"/>
  <c r="P1098" i="2"/>
  <c r="H1097" i="2"/>
  <c r="M1092" i="2"/>
  <c r="N1092" i="2"/>
  <c r="L1093" i="2"/>
  <c r="K1094" i="2"/>
  <c r="M1089" i="1"/>
  <c r="N1088" i="1"/>
  <c r="M1088" i="1"/>
  <c r="K1090" i="1"/>
  <c r="I1091" i="1"/>
  <c r="P1093" i="1"/>
  <c r="H1093" i="1" s="1"/>
  <c r="H1094" i="1" s="1"/>
  <c r="Q1092" i="1"/>
  <c r="H1098" i="2" l="1"/>
  <c r="I1098" i="2" s="1"/>
  <c r="I1097" i="2"/>
  <c r="Q1098" i="2"/>
  <c r="P1099" i="2"/>
  <c r="K1095" i="2"/>
  <c r="L1094" i="2"/>
  <c r="M1093" i="2"/>
  <c r="N1093" i="2"/>
  <c r="K1091" i="1"/>
  <c r="L1091" i="1" s="1"/>
  <c r="L1090" i="1"/>
  <c r="P1094" i="1"/>
  <c r="Q1093" i="1"/>
  <c r="I1092" i="1"/>
  <c r="K1096" i="2" l="1"/>
  <c r="L1095" i="2"/>
  <c r="P1100" i="2"/>
  <c r="Q1099" i="2"/>
  <c r="H1099" i="2"/>
  <c r="M1094" i="2"/>
  <c r="N1094" i="2"/>
  <c r="M1091" i="1"/>
  <c r="N1091" i="1"/>
  <c r="N1090" i="1"/>
  <c r="M1090" i="1"/>
  <c r="K1092" i="1"/>
  <c r="I1093" i="1"/>
  <c r="P1095" i="1"/>
  <c r="H1095" i="1" s="1"/>
  <c r="H1096" i="1" s="1"/>
  <c r="Q1094" i="1"/>
  <c r="Q1100" i="2" l="1"/>
  <c r="P1101" i="2"/>
  <c r="N1095" i="2"/>
  <c r="M1095" i="2"/>
  <c r="I1099" i="2"/>
  <c r="H1100" i="2"/>
  <c r="I1100" i="2" s="1"/>
  <c r="K1097" i="2"/>
  <c r="L1096" i="2"/>
  <c r="K1093" i="1"/>
  <c r="L1093" i="1" s="1"/>
  <c r="N1093" i="1" s="1"/>
  <c r="L1092" i="1"/>
  <c r="P1096" i="1"/>
  <c r="Q1095" i="1"/>
  <c r="I1094" i="1"/>
  <c r="M1096" i="2" l="1"/>
  <c r="N1096" i="2"/>
  <c r="L1097" i="2"/>
  <c r="K1098" i="2"/>
  <c r="Q1101" i="2"/>
  <c r="P1102" i="2"/>
  <c r="H1101" i="2"/>
  <c r="M1093" i="1"/>
  <c r="N1092" i="1"/>
  <c r="M1092" i="1"/>
  <c r="K1094" i="1"/>
  <c r="I1095" i="1"/>
  <c r="P1097" i="1"/>
  <c r="H1097" i="1" s="1"/>
  <c r="H1098" i="1" s="1"/>
  <c r="Q1096" i="1"/>
  <c r="K1099" i="2" l="1"/>
  <c r="L1098" i="2"/>
  <c r="I1101" i="2"/>
  <c r="H1102" i="2"/>
  <c r="I1102" i="2" s="1"/>
  <c r="M1097" i="2"/>
  <c r="N1097" i="2"/>
  <c r="Q1102" i="2"/>
  <c r="P1103" i="2"/>
  <c r="K1095" i="1"/>
  <c r="L1095" i="1" s="1"/>
  <c r="L1094" i="1"/>
  <c r="P1098" i="1"/>
  <c r="Q1097" i="1"/>
  <c r="I1096" i="1"/>
  <c r="M1098" i="2" l="1"/>
  <c r="N1098" i="2"/>
  <c r="Q1103" i="2"/>
  <c r="P1104" i="2"/>
  <c r="H1103" i="2"/>
  <c r="K1100" i="2"/>
  <c r="L1099" i="2"/>
  <c r="M1095" i="1"/>
  <c r="N1095" i="1"/>
  <c r="N1094" i="1"/>
  <c r="M1094" i="1"/>
  <c r="K1096" i="1"/>
  <c r="I1097" i="1"/>
  <c r="P1099" i="1"/>
  <c r="H1099" i="1" s="1"/>
  <c r="H1100" i="1" s="1"/>
  <c r="Q1098" i="1"/>
  <c r="Q1104" i="2" l="1"/>
  <c r="P1105" i="2"/>
  <c r="N1099" i="2"/>
  <c r="M1099" i="2"/>
  <c r="K1101" i="2"/>
  <c r="L1100" i="2"/>
  <c r="I1103" i="2"/>
  <c r="H1104" i="2"/>
  <c r="I1104" i="2" s="1"/>
  <c r="K1097" i="1"/>
  <c r="L1097" i="1" s="1"/>
  <c r="N1097" i="1" s="1"/>
  <c r="L1096" i="1"/>
  <c r="P1100" i="1"/>
  <c r="Q1099" i="1"/>
  <c r="I1098" i="1"/>
  <c r="M1100" i="2" l="1"/>
  <c r="N1100" i="2"/>
  <c r="Q1105" i="2"/>
  <c r="P1106" i="2"/>
  <c r="H1105" i="2"/>
  <c r="L1101" i="2"/>
  <c r="K1102" i="2"/>
  <c r="M1097" i="1"/>
  <c r="N1096" i="1"/>
  <c r="M1096" i="1"/>
  <c r="K1098" i="1"/>
  <c r="I1099" i="1"/>
  <c r="P1101" i="1"/>
  <c r="H1101" i="1" s="1"/>
  <c r="H1102" i="1" s="1"/>
  <c r="Q1100" i="1"/>
  <c r="Q1106" i="2" l="1"/>
  <c r="P1107" i="2"/>
  <c r="K1103" i="2"/>
  <c r="L1102" i="2"/>
  <c r="N1101" i="2"/>
  <c r="M1101" i="2"/>
  <c r="I1105" i="2"/>
  <c r="H1106" i="2"/>
  <c r="I1106" i="2" s="1"/>
  <c r="K1099" i="1"/>
  <c r="L1099" i="1" s="1"/>
  <c r="L1098" i="1"/>
  <c r="P1102" i="1"/>
  <c r="Q1101" i="1"/>
  <c r="I1100" i="1"/>
  <c r="M1102" i="2" l="1"/>
  <c r="N1102" i="2"/>
  <c r="L1103" i="2"/>
  <c r="K1104" i="2"/>
  <c r="Q1107" i="2"/>
  <c r="P1108" i="2"/>
  <c r="H1107" i="2"/>
  <c r="M1099" i="1"/>
  <c r="N1099" i="1"/>
  <c r="N1098" i="1"/>
  <c r="M1098" i="1"/>
  <c r="K1100" i="1"/>
  <c r="I1101" i="1"/>
  <c r="P1103" i="1"/>
  <c r="H1103" i="1" s="1"/>
  <c r="H1104" i="1" s="1"/>
  <c r="Q1102" i="1"/>
  <c r="K1105" i="2" l="1"/>
  <c r="L1104" i="2"/>
  <c r="N1103" i="2"/>
  <c r="M1103" i="2"/>
  <c r="I1107" i="2"/>
  <c r="H1108" i="2"/>
  <c r="I1108" i="2" s="1"/>
  <c r="Q1108" i="2"/>
  <c r="P1109" i="2"/>
  <c r="K1101" i="1"/>
  <c r="L1101" i="1" s="1"/>
  <c r="N1101" i="1" s="1"/>
  <c r="L1100" i="1"/>
  <c r="P1104" i="1"/>
  <c r="Q1103" i="1"/>
  <c r="I1102" i="1"/>
  <c r="Q1109" i="2" l="1"/>
  <c r="P1110" i="2"/>
  <c r="H1109" i="2"/>
  <c r="M1104" i="2"/>
  <c r="N1104" i="2"/>
  <c r="K1106" i="2"/>
  <c r="L1105" i="2"/>
  <c r="M1101" i="1"/>
  <c r="N1100" i="1"/>
  <c r="M1100" i="1"/>
  <c r="K1102" i="1"/>
  <c r="I1103" i="1"/>
  <c r="P1105" i="1"/>
  <c r="H1105" i="1" s="1"/>
  <c r="H1106" i="1" s="1"/>
  <c r="Q1104" i="1"/>
  <c r="I1109" i="2" l="1"/>
  <c r="H1110" i="2"/>
  <c r="I1110" i="2" s="1"/>
  <c r="M1105" i="2"/>
  <c r="N1105" i="2"/>
  <c r="Q1110" i="2"/>
  <c r="P1111" i="2"/>
  <c r="K1107" i="2"/>
  <c r="L1106" i="2"/>
  <c r="K1103" i="1"/>
  <c r="L1103" i="1" s="1"/>
  <c r="L1102" i="1"/>
  <c r="P1106" i="1"/>
  <c r="Q1105" i="1"/>
  <c r="I1104" i="1"/>
  <c r="M1106" i="2" l="1"/>
  <c r="N1106" i="2"/>
  <c r="K1108" i="2"/>
  <c r="L1107" i="2"/>
  <c r="Q1111" i="2"/>
  <c r="P1112" i="2"/>
  <c r="H1111" i="2"/>
  <c r="M1103" i="1"/>
  <c r="N1103" i="1"/>
  <c r="N1102" i="1"/>
  <c r="M1102" i="1"/>
  <c r="K1104" i="1"/>
  <c r="I1105" i="1"/>
  <c r="P1107" i="1"/>
  <c r="H1107" i="1" s="1"/>
  <c r="H1108" i="1" s="1"/>
  <c r="Q1106" i="1"/>
  <c r="M1107" i="2" l="1"/>
  <c r="N1107" i="2"/>
  <c r="I1111" i="2"/>
  <c r="H1112" i="2"/>
  <c r="I1112" i="2" s="1"/>
  <c r="Q1112" i="2"/>
  <c r="P1113" i="2"/>
  <c r="K1109" i="2"/>
  <c r="L1108" i="2"/>
  <c r="K1105" i="1"/>
  <c r="L1105" i="1" s="1"/>
  <c r="N1105" i="1" s="1"/>
  <c r="L1104" i="1"/>
  <c r="P1108" i="1"/>
  <c r="Q1107" i="1"/>
  <c r="I1106" i="1"/>
  <c r="K1110" i="2" l="1"/>
  <c r="L1109" i="2"/>
  <c r="M1108" i="2"/>
  <c r="N1108" i="2"/>
  <c r="Q1113" i="2"/>
  <c r="P1114" i="2"/>
  <c r="H1113" i="2"/>
  <c r="M1105" i="1"/>
  <c r="N1104" i="1"/>
  <c r="M1104" i="1"/>
  <c r="K1106" i="1"/>
  <c r="I1107" i="1"/>
  <c r="P1109" i="1"/>
  <c r="H1109" i="1" s="1"/>
  <c r="H1110" i="1" s="1"/>
  <c r="Q1108" i="1"/>
  <c r="Q1114" i="2" l="1"/>
  <c r="P1115" i="2"/>
  <c r="M1109" i="2"/>
  <c r="N1109" i="2"/>
  <c r="I1113" i="2"/>
  <c r="H1114" i="2"/>
  <c r="I1114" i="2" s="1"/>
  <c r="K1111" i="2"/>
  <c r="L1110" i="2"/>
  <c r="K1107" i="1"/>
  <c r="L1107" i="1" s="1"/>
  <c r="L1106" i="1"/>
  <c r="Q1109" i="1"/>
  <c r="P1110" i="1"/>
  <c r="I1109" i="1"/>
  <c r="I1108" i="1"/>
  <c r="K1112" i="2" l="1"/>
  <c r="L1111" i="2"/>
  <c r="P1116" i="2"/>
  <c r="Q1115" i="2"/>
  <c r="H1115" i="2"/>
  <c r="M1110" i="2"/>
  <c r="N1110" i="2"/>
  <c r="M1107" i="1"/>
  <c r="N1107" i="1"/>
  <c r="N1106" i="1"/>
  <c r="M1106" i="1"/>
  <c r="K1108" i="1"/>
  <c r="K1109" i="1" s="1"/>
  <c r="P1111" i="1"/>
  <c r="H1111" i="1" s="1"/>
  <c r="H1112" i="1" s="1"/>
  <c r="Q1110" i="1"/>
  <c r="Q1116" i="2" l="1"/>
  <c r="P1117" i="2"/>
  <c r="M1111" i="2"/>
  <c r="N1111" i="2"/>
  <c r="H1116" i="2"/>
  <c r="I1116" i="2" s="1"/>
  <c r="I1115" i="2"/>
  <c r="K1113" i="2"/>
  <c r="L1112" i="2"/>
  <c r="L1109" i="1"/>
  <c r="N1109" i="1" s="1"/>
  <c r="L1108" i="1"/>
  <c r="I1110" i="1"/>
  <c r="P1112" i="1"/>
  <c r="Q1111" i="1"/>
  <c r="M1112" i="2" l="1"/>
  <c r="N1112" i="2"/>
  <c r="K1114" i="2"/>
  <c r="L1113" i="2"/>
  <c r="P1118" i="2"/>
  <c r="Q1117" i="2"/>
  <c r="H1117" i="2"/>
  <c r="M1109" i="1"/>
  <c r="N1108" i="1"/>
  <c r="M1108" i="1"/>
  <c r="K1110" i="1"/>
  <c r="L1110" i="1" s="1"/>
  <c r="P1113" i="1"/>
  <c r="H1113" i="1" s="1"/>
  <c r="H1114" i="1" s="1"/>
  <c r="Q1112" i="1"/>
  <c r="I1111" i="1"/>
  <c r="M1113" i="2" l="1"/>
  <c r="N1113" i="2"/>
  <c r="H1118" i="2"/>
  <c r="I1118" i="2" s="1"/>
  <c r="I1117" i="2"/>
  <c r="K1115" i="2"/>
  <c r="L1114" i="2"/>
  <c r="Q1118" i="2"/>
  <c r="P1119" i="2"/>
  <c r="N1110" i="1"/>
  <c r="M1110" i="1"/>
  <c r="K1111" i="1"/>
  <c r="L1111" i="1" s="1"/>
  <c r="I1112" i="1"/>
  <c r="Q1113" i="1"/>
  <c r="P1114" i="1"/>
  <c r="P1120" i="2" l="1"/>
  <c r="Q1119" i="2"/>
  <c r="H1119" i="2"/>
  <c r="M1114" i="2"/>
  <c r="N1114" i="2"/>
  <c r="K1116" i="2"/>
  <c r="L1115" i="2"/>
  <c r="N1111" i="1"/>
  <c r="M1111" i="1"/>
  <c r="K1112" i="1"/>
  <c r="L1112" i="1" s="1"/>
  <c r="P1115" i="1"/>
  <c r="H1115" i="1" s="1"/>
  <c r="H1116" i="1" s="1"/>
  <c r="Q1114" i="1"/>
  <c r="I1113" i="1"/>
  <c r="M1115" i="2" l="1"/>
  <c r="N1115" i="2"/>
  <c r="H1120" i="2"/>
  <c r="I1120" i="2" s="1"/>
  <c r="I1119" i="2"/>
  <c r="K1117" i="2"/>
  <c r="L1116" i="2"/>
  <c r="P1121" i="2"/>
  <c r="Q1120" i="2"/>
  <c r="N1112" i="1"/>
  <c r="M1112" i="1"/>
  <c r="K1113" i="1"/>
  <c r="L1113" i="1" s="1"/>
  <c r="I1114" i="1"/>
  <c r="P1116" i="1"/>
  <c r="Q1115" i="1"/>
  <c r="P1122" i="2" l="1"/>
  <c r="Q1121" i="2"/>
  <c r="H1121" i="2"/>
  <c r="M1116" i="2"/>
  <c r="N1116" i="2"/>
  <c r="K1118" i="2"/>
  <c r="L1117" i="2"/>
  <c r="M1113" i="1"/>
  <c r="N1113" i="1"/>
  <c r="K1114" i="1"/>
  <c r="L1114" i="1" s="1"/>
  <c r="P1117" i="1"/>
  <c r="H1117" i="1" s="1"/>
  <c r="H1118" i="1" s="1"/>
  <c r="Q1116" i="1"/>
  <c r="I1115" i="1"/>
  <c r="H1122" i="2" l="1"/>
  <c r="I1122" i="2" s="1"/>
  <c r="I1121" i="2"/>
  <c r="N1117" i="2"/>
  <c r="M1117" i="2"/>
  <c r="K1119" i="2"/>
  <c r="L1118" i="2"/>
  <c r="P1123" i="2"/>
  <c r="Q1122" i="2"/>
  <c r="N1114" i="1"/>
  <c r="M1114" i="1"/>
  <c r="K1115" i="1"/>
  <c r="L1115" i="1" s="1"/>
  <c r="I1116" i="1"/>
  <c r="P1118" i="1"/>
  <c r="Q1117" i="1"/>
  <c r="K1120" i="2" l="1"/>
  <c r="L1119" i="2"/>
  <c r="Q1123" i="2"/>
  <c r="P1124" i="2"/>
  <c r="H1123" i="2"/>
  <c r="M1118" i="2"/>
  <c r="N1118" i="2"/>
  <c r="M1115" i="1"/>
  <c r="N1115" i="1"/>
  <c r="K1116" i="1"/>
  <c r="L1116" i="1" s="1"/>
  <c r="P1119" i="1"/>
  <c r="H1119" i="1" s="1"/>
  <c r="H1120" i="1" s="1"/>
  <c r="Q1118" i="1"/>
  <c r="I1117" i="1"/>
  <c r="Q1124" i="2" l="1"/>
  <c r="P1125" i="2"/>
  <c r="N1119" i="2"/>
  <c r="M1119" i="2"/>
  <c r="I1123" i="2"/>
  <c r="H1124" i="2"/>
  <c r="I1124" i="2" s="1"/>
  <c r="L1120" i="2"/>
  <c r="K1121" i="2"/>
  <c r="M1116" i="1"/>
  <c r="N1116" i="1"/>
  <c r="K1117" i="1"/>
  <c r="L1117" i="1" s="1"/>
  <c r="I1118" i="1"/>
  <c r="P1120" i="1"/>
  <c r="Q1119" i="1"/>
  <c r="L1121" i="2" l="1"/>
  <c r="K1122" i="2"/>
  <c r="N1120" i="2"/>
  <c r="M1120" i="2"/>
  <c r="Q1125" i="2"/>
  <c r="P1126" i="2"/>
  <c r="H1125" i="2"/>
  <c r="M1117" i="1"/>
  <c r="N1117" i="1"/>
  <c r="K1118" i="1"/>
  <c r="L1118" i="1" s="1"/>
  <c r="P1121" i="1"/>
  <c r="H1121" i="1" s="1"/>
  <c r="H1122" i="1" s="1"/>
  <c r="Q1120" i="1"/>
  <c r="I1119" i="1"/>
  <c r="L1122" i="2" l="1"/>
  <c r="K1123" i="2"/>
  <c r="I1125" i="2"/>
  <c r="H1126" i="2"/>
  <c r="I1126" i="2" s="1"/>
  <c r="Q1126" i="2"/>
  <c r="P1127" i="2"/>
  <c r="N1121" i="2"/>
  <c r="M1121" i="2"/>
  <c r="M1118" i="1"/>
  <c r="N1118" i="1"/>
  <c r="K1119" i="1"/>
  <c r="L1119" i="1" s="1"/>
  <c r="I1120" i="1"/>
  <c r="P1122" i="1"/>
  <c r="Q1121" i="1"/>
  <c r="K1124" i="2" l="1"/>
  <c r="L1123" i="2"/>
  <c r="Q1127" i="2"/>
  <c r="P1128" i="2"/>
  <c r="H1127" i="2"/>
  <c r="M1122" i="2"/>
  <c r="N1122" i="2"/>
  <c r="M1119" i="1"/>
  <c r="N1119" i="1"/>
  <c r="K1120" i="1"/>
  <c r="L1120" i="1" s="1"/>
  <c r="P1123" i="1"/>
  <c r="H1123" i="1" s="1"/>
  <c r="H1124" i="1" s="1"/>
  <c r="Q1122" i="1"/>
  <c r="I1121" i="1"/>
  <c r="P1129" i="2" l="1"/>
  <c r="Q1128" i="2"/>
  <c r="M1123" i="2"/>
  <c r="N1123" i="2"/>
  <c r="I1127" i="2"/>
  <c r="H1128" i="2"/>
  <c r="I1128" i="2" s="1"/>
  <c r="L1124" i="2"/>
  <c r="K1125" i="2"/>
  <c r="M1120" i="1"/>
  <c r="N1120" i="1"/>
  <c r="K1121" i="1"/>
  <c r="L1121" i="1" s="1"/>
  <c r="I1122" i="1"/>
  <c r="P1124" i="1"/>
  <c r="Q1123" i="1"/>
  <c r="K1126" i="2" l="1"/>
  <c r="L1125" i="2"/>
  <c r="N1124" i="2"/>
  <c r="M1124" i="2"/>
  <c r="Q1129" i="2"/>
  <c r="H1129" i="2"/>
  <c r="P1130" i="2"/>
  <c r="M1121" i="1"/>
  <c r="N1121" i="1"/>
  <c r="K1122" i="1"/>
  <c r="L1122" i="1" s="1"/>
  <c r="P1125" i="1"/>
  <c r="H1125" i="1" s="1"/>
  <c r="H1126" i="1" s="1"/>
  <c r="Q1124" i="1"/>
  <c r="I1123" i="1"/>
  <c r="Q1130" i="2" l="1"/>
  <c r="P1131" i="2"/>
  <c r="I1129" i="2"/>
  <c r="H1130" i="2"/>
  <c r="I1130" i="2" s="1"/>
  <c r="M1125" i="2"/>
  <c r="N1125" i="2"/>
  <c r="L1126" i="2"/>
  <c r="K1127" i="2"/>
  <c r="M1122" i="1"/>
  <c r="N1122" i="1"/>
  <c r="K1123" i="1"/>
  <c r="L1123" i="1" s="1"/>
  <c r="I1124" i="1"/>
  <c r="P1126" i="1"/>
  <c r="Q1125" i="1"/>
  <c r="K1128" i="2" l="1"/>
  <c r="L1127" i="2"/>
  <c r="Q1131" i="2"/>
  <c r="P1132" i="2"/>
  <c r="H1131" i="2"/>
  <c r="N1126" i="2"/>
  <c r="M1126" i="2"/>
  <c r="M1123" i="1"/>
  <c r="N1123" i="1"/>
  <c r="K1124" i="1"/>
  <c r="L1124" i="1" s="1"/>
  <c r="P1127" i="1"/>
  <c r="H1127" i="1" s="1"/>
  <c r="H1128" i="1" s="1"/>
  <c r="Q1126" i="1"/>
  <c r="I1125" i="1"/>
  <c r="P1133" i="2" l="1"/>
  <c r="Q1132" i="2"/>
  <c r="M1127" i="2"/>
  <c r="N1127" i="2"/>
  <c r="I1131" i="2"/>
  <c r="H1132" i="2"/>
  <c r="I1132" i="2" s="1"/>
  <c r="K1129" i="2"/>
  <c r="L1128" i="2"/>
  <c r="M1124" i="1"/>
  <c r="N1124" i="1"/>
  <c r="K1125" i="1"/>
  <c r="L1125" i="1" s="1"/>
  <c r="I1126" i="1"/>
  <c r="Q1127" i="1"/>
  <c r="P1128" i="1"/>
  <c r="N1128" i="2" l="1"/>
  <c r="M1128" i="2"/>
  <c r="K1130" i="2"/>
  <c r="L1129" i="2"/>
  <c r="Q1133" i="2"/>
  <c r="P1134" i="2"/>
  <c r="H1133" i="2"/>
  <c r="M1125" i="1"/>
  <c r="N1125" i="1"/>
  <c r="K1126" i="1"/>
  <c r="L1126" i="1" s="1"/>
  <c r="P1129" i="1"/>
  <c r="H1129" i="1" s="1"/>
  <c r="H1130" i="1" s="1"/>
  <c r="Q1128" i="1"/>
  <c r="I1127" i="1"/>
  <c r="M1129" i="2" l="1"/>
  <c r="N1129" i="2"/>
  <c r="I1133" i="2"/>
  <c r="H1134" i="2"/>
  <c r="I1134" i="2" s="1"/>
  <c r="Q1134" i="2"/>
  <c r="P1135" i="2"/>
  <c r="L1130" i="2"/>
  <c r="K1131" i="2"/>
  <c r="M1126" i="1"/>
  <c r="N1126" i="1"/>
  <c r="K1127" i="1"/>
  <c r="L1127" i="1" s="1"/>
  <c r="I1128" i="1"/>
  <c r="P1130" i="1"/>
  <c r="Q1129" i="1"/>
  <c r="M1130" i="2" l="1"/>
  <c r="N1130" i="2"/>
  <c r="K1132" i="2"/>
  <c r="L1131" i="2"/>
  <c r="Q1135" i="2"/>
  <c r="P1136" i="2"/>
  <c r="H1135" i="2"/>
  <c r="M1127" i="1"/>
  <c r="N1127" i="1"/>
  <c r="K1128" i="1"/>
  <c r="L1128" i="1" s="1"/>
  <c r="P1131" i="1"/>
  <c r="H1131" i="1" s="1"/>
  <c r="H1132" i="1" s="1"/>
  <c r="Q1130" i="1"/>
  <c r="I1129" i="1"/>
  <c r="M1131" i="2" l="1"/>
  <c r="N1131" i="2"/>
  <c r="K1133" i="2"/>
  <c r="L1132" i="2"/>
  <c r="I1135" i="2"/>
  <c r="H1136" i="2"/>
  <c r="I1136" i="2" s="1"/>
  <c r="P1137" i="2"/>
  <c r="Q1136" i="2"/>
  <c r="N1128" i="1"/>
  <c r="M1128" i="1"/>
  <c r="K1129" i="1"/>
  <c r="L1129" i="1" s="1"/>
  <c r="I1130" i="1"/>
  <c r="Q1131" i="1"/>
  <c r="P1132" i="1"/>
  <c r="N1132" i="2" l="1"/>
  <c r="M1132" i="2"/>
  <c r="Q1137" i="2"/>
  <c r="H1137" i="2"/>
  <c r="P1138" i="2"/>
  <c r="K1134" i="2"/>
  <c r="L1133" i="2"/>
  <c r="N1129" i="1"/>
  <c r="M1129" i="1"/>
  <c r="K1130" i="1"/>
  <c r="L1130" i="1" s="1"/>
  <c r="P1133" i="1"/>
  <c r="H1133" i="1" s="1"/>
  <c r="H1134" i="1" s="1"/>
  <c r="Q1132" i="1"/>
  <c r="I1131" i="1"/>
  <c r="I1137" i="2" l="1"/>
  <c r="H1138" i="2"/>
  <c r="I1138" i="2" s="1"/>
  <c r="M1133" i="2"/>
  <c r="N1133" i="2"/>
  <c r="L1134" i="2"/>
  <c r="K1135" i="2"/>
  <c r="Q1138" i="2"/>
  <c r="P1139" i="2"/>
  <c r="N1130" i="1"/>
  <c r="M1130" i="1"/>
  <c r="K1131" i="1"/>
  <c r="L1131" i="1" s="1"/>
  <c r="I1132" i="1"/>
  <c r="P1134" i="1"/>
  <c r="Q1133" i="1"/>
  <c r="K1136" i="2" l="1"/>
  <c r="L1135" i="2"/>
  <c r="Q1139" i="2"/>
  <c r="P1140" i="2"/>
  <c r="H1139" i="2"/>
  <c r="M1134" i="2"/>
  <c r="N1134" i="2"/>
  <c r="M1131" i="1"/>
  <c r="N1131" i="1"/>
  <c r="K1132" i="1"/>
  <c r="L1132" i="1" s="1"/>
  <c r="P1135" i="1"/>
  <c r="H1135" i="1" s="1"/>
  <c r="H1136" i="1" s="1"/>
  <c r="Q1134" i="1"/>
  <c r="I1133" i="1"/>
  <c r="P1141" i="2" l="1"/>
  <c r="Q1140" i="2"/>
  <c r="M1135" i="2"/>
  <c r="N1135" i="2"/>
  <c r="I1139" i="2"/>
  <c r="H1140" i="2"/>
  <c r="I1140" i="2" s="1"/>
  <c r="K1137" i="2"/>
  <c r="L1136" i="2"/>
  <c r="N1132" i="1"/>
  <c r="M1132" i="1"/>
  <c r="K1133" i="1"/>
  <c r="L1133" i="1" s="1"/>
  <c r="I1134" i="1"/>
  <c r="Q1135" i="1"/>
  <c r="P1136" i="1"/>
  <c r="N1136" i="2" l="1"/>
  <c r="M1136" i="2"/>
  <c r="K1138" i="2"/>
  <c r="L1137" i="2"/>
  <c r="Q1141" i="2"/>
  <c r="P1142" i="2"/>
  <c r="H1141" i="2"/>
  <c r="N1133" i="1"/>
  <c r="M1133" i="1"/>
  <c r="K1134" i="1"/>
  <c r="L1134" i="1" s="1"/>
  <c r="P1137" i="1"/>
  <c r="H1137" i="1" s="1"/>
  <c r="H1138" i="1" s="1"/>
  <c r="Q1136" i="1"/>
  <c r="I1135" i="1"/>
  <c r="M1137" i="2" l="1"/>
  <c r="N1137" i="2"/>
  <c r="L1138" i="2"/>
  <c r="K1139" i="2"/>
  <c r="Q1142" i="2"/>
  <c r="P1143" i="2"/>
  <c r="I1141" i="2"/>
  <c r="H1142" i="2"/>
  <c r="I1142" i="2" s="1"/>
  <c r="N1134" i="1"/>
  <c r="M1134" i="1"/>
  <c r="K1135" i="1"/>
  <c r="L1135" i="1" s="1"/>
  <c r="I1136" i="1"/>
  <c r="P1138" i="1"/>
  <c r="Q1137" i="1"/>
  <c r="K1140" i="2" l="1"/>
  <c r="L1139" i="2"/>
  <c r="M1138" i="2"/>
  <c r="N1138" i="2"/>
  <c r="Q1143" i="2"/>
  <c r="P1144" i="2"/>
  <c r="H1143" i="2"/>
  <c r="M1135" i="1"/>
  <c r="N1135" i="1"/>
  <c r="K1136" i="1"/>
  <c r="L1136" i="1" s="1"/>
  <c r="P1139" i="1"/>
  <c r="H1139" i="1" s="1"/>
  <c r="H1140" i="1" s="1"/>
  <c r="Q1138" i="1"/>
  <c r="I1137" i="1"/>
  <c r="P1145" i="2" l="1"/>
  <c r="Q1144" i="2"/>
  <c r="M1139" i="2"/>
  <c r="N1139" i="2"/>
  <c r="I1143" i="2"/>
  <c r="H1144" i="2"/>
  <c r="I1144" i="2" s="1"/>
  <c r="K1141" i="2"/>
  <c r="L1140" i="2"/>
  <c r="N1136" i="1"/>
  <c r="M1136" i="1"/>
  <c r="K1137" i="1"/>
  <c r="L1137" i="1" s="1"/>
  <c r="I1138" i="1"/>
  <c r="P1140" i="1"/>
  <c r="Q1139" i="1"/>
  <c r="N1140" i="2" l="1"/>
  <c r="M1140" i="2"/>
  <c r="K1142" i="2"/>
  <c r="L1141" i="2"/>
  <c r="Q1145" i="2"/>
  <c r="P1146" i="2"/>
  <c r="H1145" i="2"/>
  <c r="M1137" i="1"/>
  <c r="N1137" i="1"/>
  <c r="K1138" i="1"/>
  <c r="L1138" i="1" s="1"/>
  <c r="P1141" i="1"/>
  <c r="H1141" i="1" s="1"/>
  <c r="H1142" i="1" s="1"/>
  <c r="Q1140" i="1"/>
  <c r="I1139" i="1"/>
  <c r="M1141" i="2" l="1"/>
  <c r="N1141" i="2"/>
  <c r="L1142" i="2"/>
  <c r="K1143" i="2"/>
  <c r="Q1146" i="2"/>
  <c r="P1147" i="2"/>
  <c r="I1145" i="2"/>
  <c r="H1146" i="2"/>
  <c r="I1146" i="2" s="1"/>
  <c r="M1138" i="1"/>
  <c r="N1138" i="1"/>
  <c r="K1139" i="1"/>
  <c r="L1139" i="1" s="1"/>
  <c r="I1140" i="1"/>
  <c r="P1142" i="1"/>
  <c r="Q1141" i="1"/>
  <c r="K1144" i="2" l="1"/>
  <c r="L1143" i="2"/>
  <c r="N1142" i="2"/>
  <c r="M1142" i="2"/>
  <c r="Q1147" i="2"/>
  <c r="P1148" i="2"/>
  <c r="H1147" i="2"/>
  <c r="M1139" i="1"/>
  <c r="N1139" i="1"/>
  <c r="K1140" i="1"/>
  <c r="L1140" i="1" s="1"/>
  <c r="P1143" i="1"/>
  <c r="H1143" i="1" s="1"/>
  <c r="H1144" i="1" s="1"/>
  <c r="Q1142" i="1"/>
  <c r="I1141" i="1"/>
  <c r="P1149" i="2" l="1"/>
  <c r="Q1148" i="2"/>
  <c r="M1143" i="2"/>
  <c r="N1143" i="2"/>
  <c r="I1147" i="2"/>
  <c r="H1148" i="2"/>
  <c r="I1148" i="2" s="1"/>
  <c r="K1145" i="2"/>
  <c r="L1144" i="2"/>
  <c r="M1140" i="1"/>
  <c r="N1140" i="1"/>
  <c r="K1141" i="1"/>
  <c r="L1141" i="1" s="1"/>
  <c r="I1142" i="1"/>
  <c r="P1144" i="1"/>
  <c r="Q1143" i="1"/>
  <c r="N1144" i="2" l="1"/>
  <c r="M1144" i="2"/>
  <c r="K1146" i="2"/>
  <c r="L1145" i="2"/>
  <c r="Q1149" i="2"/>
  <c r="P1150" i="2"/>
  <c r="H1149" i="2"/>
  <c r="M1141" i="1"/>
  <c r="N1141" i="1"/>
  <c r="K1142" i="1"/>
  <c r="L1142" i="1" s="1"/>
  <c r="P1145" i="1"/>
  <c r="H1145" i="1" s="1"/>
  <c r="H1146" i="1" s="1"/>
  <c r="Q1144" i="1"/>
  <c r="I1143" i="1"/>
  <c r="M1145" i="2" l="1"/>
  <c r="N1145" i="2"/>
  <c r="L1146" i="2"/>
  <c r="K1147" i="2"/>
  <c r="Q1150" i="2"/>
  <c r="P1151" i="2"/>
  <c r="I1149" i="2"/>
  <c r="H1150" i="2"/>
  <c r="I1150" i="2" s="1"/>
  <c r="M1142" i="1"/>
  <c r="N1142" i="1"/>
  <c r="K1143" i="1"/>
  <c r="L1143" i="1" s="1"/>
  <c r="I1144" i="1"/>
  <c r="P1146" i="1"/>
  <c r="Q1145" i="1"/>
  <c r="K1148" i="2" l="1"/>
  <c r="L1147" i="2"/>
  <c r="N1146" i="2"/>
  <c r="M1146" i="2"/>
  <c r="Q1151" i="2"/>
  <c r="P1152" i="2"/>
  <c r="H1151" i="2"/>
  <c r="M1143" i="1"/>
  <c r="N1143" i="1"/>
  <c r="K1144" i="1"/>
  <c r="L1144" i="1" s="1"/>
  <c r="P1147" i="1"/>
  <c r="H1147" i="1" s="1"/>
  <c r="H1148" i="1" s="1"/>
  <c r="Q1146" i="1"/>
  <c r="I1145" i="1"/>
  <c r="I1151" i="2" l="1"/>
  <c r="H1152" i="2"/>
  <c r="I1152" i="2" s="1"/>
  <c r="P1153" i="2"/>
  <c r="Q1152" i="2"/>
  <c r="M1147" i="2"/>
  <c r="N1147" i="2"/>
  <c r="K1149" i="2"/>
  <c r="L1148" i="2"/>
  <c r="M1144" i="1"/>
  <c r="N1144" i="1"/>
  <c r="K1145" i="1"/>
  <c r="L1145" i="1" s="1"/>
  <c r="I1146" i="1"/>
  <c r="P1148" i="1"/>
  <c r="Q1147" i="1"/>
  <c r="N1148" i="2" l="1"/>
  <c r="M1148" i="2"/>
  <c r="Q1153" i="2"/>
  <c r="P1154" i="2"/>
  <c r="H1153" i="2"/>
  <c r="K1150" i="2"/>
  <c r="L1149" i="2"/>
  <c r="M1145" i="1"/>
  <c r="N1145" i="1"/>
  <c r="K1146" i="1"/>
  <c r="L1146" i="1" s="1"/>
  <c r="P1149" i="1"/>
  <c r="H1149" i="1" s="1"/>
  <c r="H1150" i="1" s="1"/>
  <c r="Q1148" i="1"/>
  <c r="I1147" i="1"/>
  <c r="M1149" i="2" l="1"/>
  <c r="N1149" i="2"/>
  <c r="P1155" i="2"/>
  <c r="Q1154" i="2"/>
  <c r="L1150" i="2"/>
  <c r="K1151" i="2"/>
  <c r="I1153" i="2"/>
  <c r="H1154" i="2"/>
  <c r="I1154" i="2" s="1"/>
  <c r="M1146" i="1"/>
  <c r="N1146" i="1"/>
  <c r="K1147" i="1"/>
  <c r="L1147" i="1" s="1"/>
  <c r="I1148" i="1"/>
  <c r="Q1149" i="1"/>
  <c r="P1150" i="1"/>
  <c r="Q1155" i="2" l="1"/>
  <c r="P1156" i="2"/>
  <c r="H1155" i="2"/>
  <c r="K1152" i="2"/>
  <c r="L1151" i="2"/>
  <c r="N1150" i="2"/>
  <c r="M1150" i="2"/>
  <c r="N1147" i="1"/>
  <c r="M1147" i="1"/>
  <c r="K1148" i="1"/>
  <c r="L1148" i="1" s="1"/>
  <c r="P1151" i="1"/>
  <c r="H1151" i="1" s="1"/>
  <c r="H1152" i="1" s="1"/>
  <c r="Q1150" i="1"/>
  <c r="I1149" i="1"/>
  <c r="K1153" i="2" l="1"/>
  <c r="L1152" i="2"/>
  <c r="I1155" i="2"/>
  <c r="H1156" i="2"/>
  <c r="I1156" i="2" s="1"/>
  <c r="P1157" i="2"/>
  <c r="Q1156" i="2"/>
  <c r="M1151" i="2"/>
  <c r="N1151" i="2"/>
  <c r="N1148" i="1"/>
  <c r="M1148" i="1"/>
  <c r="K1149" i="1"/>
  <c r="L1149" i="1" s="1"/>
  <c r="I1150" i="1"/>
  <c r="P1152" i="1"/>
  <c r="Q1151" i="1"/>
  <c r="N1152" i="2" l="1"/>
  <c r="M1152" i="2"/>
  <c r="P1158" i="2"/>
  <c r="Q1158" i="2" s="1"/>
  <c r="Q1157" i="2"/>
  <c r="H1157" i="2"/>
  <c r="K1154" i="2"/>
  <c r="L1153" i="2"/>
  <c r="M1149" i="1"/>
  <c r="N1149" i="1"/>
  <c r="K1150" i="1"/>
  <c r="L1150" i="1" s="1"/>
  <c r="P1153" i="1"/>
  <c r="H1153" i="1" s="1"/>
  <c r="H1154" i="1" s="1"/>
  <c r="Q1152" i="1"/>
  <c r="I1151" i="1"/>
  <c r="M1153" i="2" l="1"/>
  <c r="N1153" i="2"/>
  <c r="L1154" i="2"/>
  <c r="K1155" i="2"/>
  <c r="H1158" i="2"/>
  <c r="I1158" i="2" s="1"/>
  <c r="I1157" i="2"/>
  <c r="N1150" i="1"/>
  <c r="M1150" i="1"/>
  <c r="K1151" i="1"/>
  <c r="L1151" i="1" s="1"/>
  <c r="I1152" i="1"/>
  <c r="P1154" i="1"/>
  <c r="Q1153" i="1"/>
  <c r="K1156" i="2" l="1"/>
  <c r="L1155" i="2"/>
  <c r="N1154" i="2"/>
  <c r="M1154" i="2"/>
  <c r="N1151" i="1"/>
  <c r="M1151" i="1"/>
  <c r="K1152" i="1"/>
  <c r="L1152" i="1" s="1"/>
  <c r="P1155" i="1"/>
  <c r="H1155" i="1" s="1"/>
  <c r="H1156" i="1" s="1"/>
  <c r="Q1154" i="1"/>
  <c r="I1153" i="1"/>
  <c r="M1155" i="2" l="1"/>
  <c r="N1155" i="2"/>
  <c r="K1157" i="2"/>
  <c r="L1156" i="2"/>
  <c r="M1152" i="1"/>
  <c r="N1152" i="1"/>
  <c r="K1153" i="1"/>
  <c r="L1153" i="1" s="1"/>
  <c r="P1156" i="1"/>
  <c r="Q1155" i="1"/>
  <c r="I1154" i="1"/>
  <c r="N1156" i="2" l="1"/>
  <c r="M1156" i="2"/>
  <c r="K1158" i="2"/>
  <c r="L1158" i="2" s="1"/>
  <c r="K4" i="2" s="1"/>
  <c r="L1157" i="2"/>
  <c r="N1153" i="1"/>
  <c r="M1153" i="1"/>
  <c r="K1154" i="1"/>
  <c r="L1154" i="1" s="1"/>
  <c r="P1157" i="1"/>
  <c r="H1157" i="1" s="1"/>
  <c r="H1158" i="1" s="1"/>
  <c r="Q1156" i="1"/>
  <c r="I1155" i="1"/>
  <c r="M1157" i="2" l="1"/>
  <c r="N1157" i="2"/>
  <c r="M1158" i="2"/>
  <c r="N1158" i="2"/>
  <c r="M1154" i="1"/>
  <c r="N1154" i="1"/>
  <c r="K1155" i="1"/>
  <c r="L1155" i="1" s="1"/>
  <c r="P1158" i="1"/>
  <c r="Q1157" i="1"/>
  <c r="I1157" i="1"/>
  <c r="I1156" i="1"/>
  <c r="N1155" i="1" l="1"/>
  <c r="M1155" i="1"/>
  <c r="K1156" i="1"/>
  <c r="K1157" i="1" s="1"/>
  <c r="L1157" i="1" s="1"/>
  <c r="N1157" i="1" s="1"/>
  <c r="I1158" i="1"/>
  <c r="Q1158" i="1"/>
  <c r="L1156" i="1" l="1"/>
  <c r="K1158" i="1"/>
  <c r="L1158" i="1" s="1"/>
  <c r="K4" i="1" s="1"/>
  <c r="M1157" i="1"/>
  <c r="N1158" i="1" l="1"/>
  <c r="N1156" i="1"/>
  <c r="M1156" i="1"/>
  <c r="M1158" i="1"/>
</calcChain>
</file>

<file path=xl/sharedStrings.xml><?xml version="1.0" encoding="utf-8"?>
<sst xmlns="http://schemas.openxmlformats.org/spreadsheetml/2006/main" count="72" uniqueCount="36">
  <si>
    <t>r=</t>
    <phoneticPr fontId="1" type="noConversion"/>
  </si>
  <si>
    <t>hisvol=</t>
    <phoneticPr fontId="1" type="noConversion"/>
  </si>
  <si>
    <t>预测波动率</t>
    <phoneticPr fontId="1" type="noConversion"/>
  </si>
  <si>
    <t>call_bs(rfr, vol, S0, K, T_t)</t>
  </si>
  <si>
    <t>K=</t>
    <phoneticPr fontId="1" type="noConversion"/>
  </si>
  <si>
    <t>T=</t>
    <phoneticPr fontId="1" type="noConversion"/>
  </si>
  <si>
    <t>fee=</t>
    <phoneticPr fontId="1" type="noConversion"/>
  </si>
  <si>
    <t>时间</t>
    <phoneticPr fontId="1" type="noConversion"/>
  </si>
  <si>
    <t>T-t</t>
    <phoneticPr fontId="1" type="noConversion"/>
  </si>
  <si>
    <t>S</t>
    <phoneticPr fontId="1" type="noConversion"/>
  </si>
  <si>
    <t>d1</t>
    <phoneticPr fontId="1" type="noConversion"/>
  </si>
  <si>
    <t>delta</t>
    <phoneticPr fontId="1" type="noConversion"/>
  </si>
  <si>
    <t>dS</t>
    <phoneticPr fontId="1" type="noConversion"/>
  </si>
  <si>
    <t>数量</t>
    <phoneticPr fontId="1" type="noConversion"/>
  </si>
  <si>
    <t>交易量</t>
    <phoneticPr fontId="1" type="noConversion"/>
  </si>
  <si>
    <t>虚拟借贷</t>
    <phoneticPr fontId="1" type="noConversion"/>
  </si>
  <si>
    <t>cash</t>
    <phoneticPr fontId="1" type="noConversion"/>
  </si>
  <si>
    <t>Pt</t>
    <phoneticPr fontId="1" type="noConversion"/>
  </si>
  <si>
    <t>dPt</t>
    <phoneticPr fontId="1" type="noConversion"/>
  </si>
  <si>
    <t>Hedge
累积PNL</t>
    <phoneticPr fontId="1" type="noConversion"/>
  </si>
  <si>
    <t>C_tilde</t>
    <phoneticPr fontId="1" type="noConversion"/>
  </si>
  <si>
    <t>持仓M2M</t>
    <phoneticPr fontId="1" type="noConversion"/>
  </si>
  <si>
    <t>call_OptionPrice</t>
    <phoneticPr fontId="1" type="noConversion"/>
  </si>
  <si>
    <t>期权份数</t>
    <phoneticPr fontId="1" type="noConversion"/>
  </si>
  <si>
    <t>i.v.</t>
    <phoneticPr fontId="1" type="noConversion"/>
  </si>
  <si>
    <t>imvol(S0, K, T_t, rfr, MPrice, cp)</t>
  </si>
  <si>
    <t>k</t>
    <phoneticPr fontId="1" type="noConversion"/>
  </si>
  <si>
    <t>盈亏</t>
    <phoneticPr fontId="1" type="noConversion"/>
  </si>
  <si>
    <t>调整频率</t>
    <phoneticPr fontId="1" type="noConversion"/>
  </si>
  <si>
    <t>因为是5分钟数据</t>
    <phoneticPr fontId="1" type="noConversion"/>
  </si>
  <si>
    <t>盈亏</t>
    <phoneticPr fontId="1" type="noConversion"/>
  </si>
  <si>
    <t>合约</t>
    <phoneticPr fontId="1" type="noConversion"/>
  </si>
  <si>
    <t>滑点=</t>
  </si>
  <si>
    <t>选择K</t>
    <phoneticPr fontId="1" type="noConversion"/>
  </si>
  <si>
    <t>模板中选择的期权为已经到期的
合约，时间为20150918-20151028</t>
    <phoneticPr fontId="1" type="noConversion"/>
  </si>
  <si>
    <t>选用合约为10000410（k=1.85）
10000420(k=2.2)/10000426(k=2.35)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</si>
</sst>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[$-F400]h:mm:ss\ AM/PM"/>
    <numFmt numFmtId="177" formatCode="0.0000"/>
  </numFmts>
  <fonts count="2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1" xfId="0" applyBorder="1"/>
    <xf numFmtId="9" fontId="0" fillId="0" borderId="2" xfId="0" applyNumberFormat="1" applyBorder="1"/>
    <xf numFmtId="10" fontId="0" fillId="0" borderId="2" xfId="0" applyNumberForma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14" fontId="0" fillId="0" borderId="5" xfId="0" applyNumberFormat="1" applyBorder="1"/>
    <xf numFmtId="0" fontId="0" fillId="0" borderId="0" xfId="0" applyAlignment="1">
      <alignment wrapText="1"/>
    </xf>
    <xf numFmtId="176" fontId="0" fillId="0" borderId="0" xfId="0" applyNumberFormat="1"/>
    <xf numFmtId="0" fontId="0" fillId="0" borderId="0" xfId="0" applyBorder="1"/>
    <xf numFmtId="14" fontId="0" fillId="0" borderId="0" xfId="0" applyNumberFormat="1" applyBorder="1"/>
    <xf numFmtId="0" fontId="0" fillId="0" borderId="6" xfId="0" applyBorder="1"/>
    <xf numFmtId="0" fontId="0" fillId="2" borderId="0" xfId="0" applyFill="1"/>
    <xf numFmtId="0" fontId="0" fillId="0" borderId="7" xfId="0" applyBorder="1"/>
    <xf numFmtId="0" fontId="0" fillId="0" borderId="8" xfId="0" applyBorder="1"/>
    <xf numFmtId="0" fontId="0" fillId="0" borderId="9" xfId="0" applyBorder="1"/>
    <xf numFmtId="10" fontId="0" fillId="0" borderId="10" xfId="0" applyNumberFormat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1" xfId="0" applyFill="1" applyBorder="1"/>
    <xf numFmtId="0" fontId="0" fillId="0" borderId="16" xfId="0" applyBorder="1"/>
    <xf numFmtId="177" fontId="0" fillId="0" borderId="0" xfId="0" applyNumberFormat="1" applyBorder="1"/>
    <xf numFmtId="177" fontId="0" fillId="0" borderId="17" xfId="0" applyNumberFormat="1" applyBorder="1"/>
    <xf numFmtId="0" fontId="0" fillId="0" borderId="18" xfId="0" applyBorder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List" dx="16" fmlaLink="$H$4" fmlaRange="$I$3:$I$5" noThreeD="1" val="0"/>
</file>

<file path=xl/ctrlProps/ctrlProp2.xml><?xml version="1.0" encoding="utf-8"?>
<formControlPr xmlns="http://schemas.microsoft.com/office/spreadsheetml/2009/9/main" objectType="List" dx="16" fmlaLink="$H$4" fmlaRange="$I$3:$I$5" noThreeD="1" sel="2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</xdr:row>
          <xdr:rowOff>161925</xdr:rowOff>
        </xdr:from>
        <xdr:to>
          <xdr:col>7</xdr:col>
          <xdr:colOff>666750</xdr:colOff>
          <xdr:row>5</xdr:row>
          <xdr:rowOff>28575</xdr:rowOff>
        </xdr:to>
        <xdr:sp macro="" textlink="">
          <xdr:nvSpPr>
            <xdr:cNvPr id="1029" name="List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</xdr:row>
          <xdr:rowOff>161925</xdr:rowOff>
        </xdr:from>
        <xdr:to>
          <xdr:col>7</xdr:col>
          <xdr:colOff>666750</xdr:colOff>
          <xdr:row>5</xdr:row>
          <xdr:rowOff>28575</xdr:rowOff>
        </xdr:to>
        <xdr:sp macro="" textlink="">
          <xdr:nvSpPr>
            <xdr:cNvPr id="2049" name="List Box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158"/>
  <sheetViews>
    <sheetView workbookViewId="0">
      <selection activeCell="N3" sqref="N3:P3"/>
    </sheetView>
  </sheetViews>
  <sheetFormatPr defaultRowHeight="13.5" x14ac:dyDescent="0.15"/>
  <cols>
    <col min="4" max="4" width="12.75" bestFit="1" customWidth="1"/>
    <col min="6" max="6" width="9.5" bestFit="1" customWidth="1"/>
    <col min="8" max="8" width="8.875" customWidth="1"/>
    <col min="14" max="14" width="12.75" bestFit="1" customWidth="1"/>
    <col min="15" max="16" width="9.5" bestFit="1" customWidth="1"/>
  </cols>
  <sheetData>
    <row r="1" spans="1:23" x14ac:dyDescent="0.15">
      <c r="A1" s="1" t="s">
        <v>0</v>
      </c>
      <c r="B1" s="2">
        <v>0.03</v>
      </c>
      <c r="C1" s="1" t="s">
        <v>1</v>
      </c>
      <c r="D1" s="3">
        <v>0.57571045542135835</v>
      </c>
      <c r="E1" s="1" t="s">
        <v>32</v>
      </c>
      <c r="F1" s="4"/>
      <c r="G1" s="1"/>
      <c r="H1" s="15"/>
      <c r="I1" s="17" t="s">
        <v>2</v>
      </c>
      <c r="J1" s="18">
        <f>D1</f>
        <v>0.57571045542135835</v>
      </c>
      <c r="K1" s="19" t="s">
        <v>23</v>
      </c>
      <c r="L1" s="19">
        <v>1</v>
      </c>
      <c r="M1" s="17" t="s">
        <v>26</v>
      </c>
      <c r="N1" s="19">
        <v>1.85</v>
      </c>
      <c r="O1" s="23">
        <v>2.2000000000000002</v>
      </c>
      <c r="P1" s="24">
        <v>2.35</v>
      </c>
      <c r="R1" t="s">
        <v>3</v>
      </c>
    </row>
    <row r="2" spans="1:23" ht="14.25" thickBot="1" x14ac:dyDescent="0.2">
      <c r="A2" s="6" t="s">
        <v>4</v>
      </c>
      <c r="B2" s="7">
        <v>1.85</v>
      </c>
      <c r="C2" s="6" t="s">
        <v>5</v>
      </c>
      <c r="D2" s="8">
        <v>42305</v>
      </c>
      <c r="E2" s="6" t="s">
        <v>6</v>
      </c>
      <c r="F2" s="7">
        <v>4.5000000000000003E-5</v>
      </c>
      <c r="G2" s="5"/>
      <c r="H2" s="11"/>
      <c r="I2" s="20" t="s">
        <v>28</v>
      </c>
      <c r="J2" s="21">
        <v>2</v>
      </c>
      <c r="K2" s="21" t="s">
        <v>29</v>
      </c>
      <c r="L2" s="21"/>
      <c r="M2" s="25" t="s">
        <v>24</v>
      </c>
      <c r="N2" s="26">
        <f>imvol($C$7,N1,$B$7,$B$1,0.0286,2)</f>
        <v>0.57571045542135835</v>
      </c>
      <c r="O2" s="26">
        <f>imvol($C$7,O1,$B$7,$B$1,0.12,2)</f>
        <v>0.47582964831963181</v>
      </c>
      <c r="P2" s="27">
        <f>imvol($C$7,P1,$B$7,$B$1,0.2026,2)</f>
        <v>0.45067318296059966</v>
      </c>
      <c r="R2" t="s">
        <v>25</v>
      </c>
    </row>
    <row r="3" spans="1:23" ht="14.25" thickBot="1" x14ac:dyDescent="0.2">
      <c r="A3" s="11"/>
      <c r="B3" s="11"/>
      <c r="C3" s="11"/>
      <c r="D3" s="12"/>
      <c r="E3" s="11"/>
      <c r="F3" s="11"/>
      <c r="G3" s="13"/>
      <c r="H3" s="13" t="s">
        <v>33</v>
      </c>
      <c r="I3" s="16">
        <v>1.85</v>
      </c>
      <c r="M3" s="20" t="s">
        <v>31</v>
      </c>
      <c r="N3" s="21">
        <v>10000410</v>
      </c>
      <c r="O3" s="28">
        <v>10000420</v>
      </c>
      <c r="P3" s="22">
        <v>10000426</v>
      </c>
    </row>
    <row r="4" spans="1:23" x14ac:dyDescent="0.15">
      <c r="A4" s="11"/>
      <c r="B4" s="11"/>
      <c r="C4" s="11"/>
      <c r="D4" s="12"/>
      <c r="E4" s="11"/>
      <c r="F4" s="11"/>
      <c r="G4" s="13"/>
      <c r="H4" s="13">
        <v>1</v>
      </c>
      <c r="I4" s="13">
        <v>2.2000000000000002</v>
      </c>
      <c r="J4" s="14" t="s">
        <v>27</v>
      </c>
      <c r="K4" s="14">
        <f>L1158</f>
        <v>206.84352009786903</v>
      </c>
      <c r="O4" s="5"/>
    </row>
    <row r="5" spans="1:23" x14ac:dyDescent="0.15">
      <c r="A5" s="11"/>
      <c r="B5" s="11"/>
      <c r="C5" s="11"/>
      <c r="D5" s="12"/>
      <c r="E5" s="11"/>
      <c r="F5" s="11"/>
      <c r="G5" s="13"/>
      <c r="H5" s="13"/>
      <c r="I5" s="13">
        <v>2.35</v>
      </c>
      <c r="M5" t="s">
        <v>30</v>
      </c>
      <c r="O5" s="5">
        <v>850</v>
      </c>
    </row>
    <row r="6" spans="1:23" ht="27" x14ac:dyDescent="0.15">
      <c r="A6" t="s">
        <v>7</v>
      </c>
      <c r="B6" t="s">
        <v>8</v>
      </c>
      <c r="C6" t="s">
        <v>9</v>
      </c>
      <c r="D6" t="s">
        <v>22</v>
      </c>
      <c r="E6" t="s">
        <v>10</v>
      </c>
      <c r="F6" t="s">
        <v>11</v>
      </c>
      <c r="G6" t="s">
        <v>12</v>
      </c>
      <c r="H6" t="s">
        <v>13</v>
      </c>
      <c r="I6" t="s">
        <v>14</v>
      </c>
      <c r="J6" t="s">
        <v>15</v>
      </c>
      <c r="K6" t="s">
        <v>16</v>
      </c>
      <c r="L6" t="s">
        <v>17</v>
      </c>
      <c r="M6" t="s">
        <v>18</v>
      </c>
      <c r="N6" s="9" t="s">
        <v>19</v>
      </c>
      <c r="O6" s="5" t="s">
        <v>20</v>
      </c>
      <c r="P6" t="s">
        <v>13</v>
      </c>
      <c r="Q6" t="s">
        <v>21</v>
      </c>
      <c r="W6" s="9"/>
    </row>
    <row r="7" spans="1:23" x14ac:dyDescent="0.15">
      <c r="A7" s="10">
        <v>45865.399305555969</v>
      </c>
      <c r="B7">
        <f>COUNT(A7:$A$1158)/(48*252)</f>
        <v>9.5238095238095233E-2</v>
      </c>
      <c r="C7">
        <v>2.2120000000000002</v>
      </c>
      <c r="D7">
        <v>0.108</v>
      </c>
      <c r="E7">
        <f>(LN(C7/$B$2)+($B$1+0.5*$D$1*$D$1)*B7)/($D$1*SQRT(B7))</f>
        <v>1.1107878161459512</v>
      </c>
      <c r="F7">
        <f>NORMSDIST(E7)-1</f>
        <v>-0.13332984603743725</v>
      </c>
      <c r="H7">
        <f>ROUND(P7*F7,-2)</f>
        <v>-1300</v>
      </c>
      <c r="I7">
        <f>H7</f>
        <v>-1300</v>
      </c>
      <c r="J7">
        <v>0</v>
      </c>
      <c r="K7">
        <f>O7*P7-H7*C7-ABS(I7*C7*$F$2)</f>
        <v>3161.470598597869</v>
      </c>
      <c r="L7">
        <f>K7+H7*C7</f>
        <v>285.87059859786859</v>
      </c>
      <c r="N7">
        <f>L7-$F$1</f>
        <v>285.87059859786859</v>
      </c>
      <c r="O7" s="5">
        <f>put_bs($B$1,$J$1,C7,$B$2,B7)</f>
        <v>2.8600000059786856E-2</v>
      </c>
      <c r="P7">
        <v>10000</v>
      </c>
      <c r="Q7">
        <f>P7*O7</f>
        <v>286.00000059786856</v>
      </c>
    </row>
    <row r="8" spans="1:23" x14ac:dyDescent="0.15">
      <c r="A8" s="10">
        <v>45865.402777777985</v>
      </c>
      <c r="B8">
        <f>COUNT(A8:$A$1158)/(48*252)</f>
        <v>9.5155423280423285E-2</v>
      </c>
      <c r="C8">
        <v>2.2080000000000002</v>
      </c>
      <c r="D8">
        <v>0.104</v>
      </c>
      <c r="E8">
        <f t="shared" ref="E8:E71" si="0">(LN(C8/$B$2)+($B$1+0.5*$D$1*$D$1)*B8)/($D$1*SQRT(B8))</f>
        <v>1.1009874236650241</v>
      </c>
      <c r="F8">
        <f t="shared" ref="F8:F71" si="1">NORMSDIST(E8)-1</f>
        <v>-0.13545106536783424</v>
      </c>
      <c r="G8">
        <f>C8-C7</f>
        <v>-4.0000000000000036E-3</v>
      </c>
      <c r="H8">
        <f>IF(MOD(COUNTA($C$7:C8)-1,$J$2),H7,ROUND(F8*P8,-2))</f>
        <v>-1300</v>
      </c>
      <c r="I8">
        <f>H8-H7</f>
        <v>0</v>
      </c>
      <c r="J8">
        <f>J7</f>
        <v>0</v>
      </c>
      <c r="K8">
        <f>K7-I8*C8-ABS(I8*C8*$F$2)</f>
        <v>3161.470598597869</v>
      </c>
      <c r="L8">
        <f>K8+H8*C8</f>
        <v>291.07059859786887</v>
      </c>
      <c r="M8">
        <f>L8-L7</f>
        <v>5.2000000000002728</v>
      </c>
      <c r="N8">
        <f>L8-$F$1</f>
        <v>291.07059859786887</v>
      </c>
      <c r="O8" s="5">
        <f t="shared" ref="O8:O71" si="2">put_bs($B$1,$J$1,C8,$B$2,B8)</f>
        <v>2.9101466588794866E-2</v>
      </c>
      <c r="P8">
        <f>P7</f>
        <v>10000</v>
      </c>
      <c r="Q8">
        <f t="shared" ref="Q8:Q71" si="3">P8*O8</f>
        <v>291.01466588794864</v>
      </c>
    </row>
    <row r="9" spans="1:23" x14ac:dyDescent="0.15">
      <c r="A9" s="10">
        <v>45865.40625</v>
      </c>
      <c r="B9">
        <f>COUNT(A9:$A$1158)/(48*252)</f>
        <v>9.5072751322751323E-2</v>
      </c>
      <c r="C9">
        <v>2.2029999999999998</v>
      </c>
      <c r="D9">
        <v>0.106</v>
      </c>
      <c r="E9">
        <f t="shared" si="0"/>
        <v>1.0886036796153069</v>
      </c>
      <c r="F9">
        <f t="shared" si="1"/>
        <v>-0.13816434672279398</v>
      </c>
      <c r="G9">
        <f t="shared" ref="G9:G72" si="4">C9-C8</f>
        <v>-5.0000000000003375E-3</v>
      </c>
      <c r="H9">
        <f>IF(MOD(COUNTA($C$7:C9)-1,$J$2),H8,ROUND(F9*P9,-2))</f>
        <v>-1400</v>
      </c>
      <c r="I9">
        <f t="shared" ref="I9:I72" si="5">H9-H8</f>
        <v>-100</v>
      </c>
      <c r="J9">
        <f t="shared" ref="J9:J72" si="6">J8</f>
        <v>0</v>
      </c>
      <c r="K9">
        <f t="shared" ref="K9:K72" si="7">K8-I9*C9-ABS(I9*C9*$F$2)</f>
        <v>3381.7606850978691</v>
      </c>
      <c r="L9">
        <f t="shared" ref="L9:L72" si="8">K9+H9*C9</f>
        <v>297.56068509786928</v>
      </c>
      <c r="M9">
        <f t="shared" ref="M9:M72" si="9">L9-L8</f>
        <v>6.490086500000416</v>
      </c>
      <c r="N9">
        <f>L9-$F$1</f>
        <v>297.56068509786928</v>
      </c>
      <c r="O9" s="5">
        <f t="shared" si="2"/>
        <v>2.9749020482666033E-2</v>
      </c>
      <c r="P9">
        <f t="shared" ref="P9:P72" si="10">P8</f>
        <v>10000</v>
      </c>
      <c r="Q9">
        <f t="shared" si="3"/>
        <v>297.49020482666032</v>
      </c>
    </row>
    <row r="10" spans="1:23" x14ac:dyDescent="0.15">
      <c r="A10" s="10">
        <v>45865.409722222015</v>
      </c>
      <c r="B10">
        <f>COUNT(A10:$A$1158)/(48*252)</f>
        <v>9.4990079365079361E-2</v>
      </c>
      <c r="C10">
        <v>2.2040000000000002</v>
      </c>
      <c r="D10">
        <v>0.10199999999999999</v>
      </c>
      <c r="E10">
        <f t="shared" si="0"/>
        <v>1.0915437685470692</v>
      </c>
      <c r="F10">
        <f t="shared" si="1"/>
        <v>-0.13751684187440227</v>
      </c>
      <c r="G10">
        <f t="shared" si="4"/>
        <v>1.000000000000334E-3</v>
      </c>
      <c r="H10">
        <f>IF(MOD(COUNTA($C$7:C10)-1,$J$2),H9,ROUND(F10*P10,-2))</f>
        <v>-1400</v>
      </c>
      <c r="I10">
        <f t="shared" si="5"/>
        <v>0</v>
      </c>
      <c r="J10">
        <f t="shared" si="6"/>
        <v>0</v>
      </c>
      <c r="K10">
        <f t="shared" si="7"/>
        <v>3381.7606850978691</v>
      </c>
      <c r="L10">
        <f t="shared" si="8"/>
        <v>296.16068509786874</v>
      </c>
      <c r="M10">
        <f t="shared" si="9"/>
        <v>-1.4000000000005457</v>
      </c>
      <c r="N10">
        <f t="shared" ref="N10:N73" si="11">L10-$F$1</f>
        <v>296.16068509786874</v>
      </c>
      <c r="O10" s="5">
        <f t="shared" si="2"/>
        <v>2.957454460859027E-2</v>
      </c>
      <c r="P10">
        <f t="shared" si="10"/>
        <v>10000</v>
      </c>
      <c r="Q10">
        <f t="shared" si="3"/>
        <v>295.7454460859027</v>
      </c>
    </row>
    <row r="11" spans="1:23" x14ac:dyDescent="0.15">
      <c r="A11" s="10">
        <v>45865.413194444962</v>
      </c>
      <c r="B11">
        <f>COUNT(A11:$A$1158)/(48*252)</f>
        <v>9.4907407407407413E-2</v>
      </c>
      <c r="C11">
        <v>2.2090000000000001</v>
      </c>
      <c r="D11">
        <v>0.105</v>
      </c>
      <c r="E11">
        <f t="shared" si="0"/>
        <v>1.1047043507034011</v>
      </c>
      <c r="F11">
        <f t="shared" si="1"/>
        <v>-0.13464385879901897</v>
      </c>
      <c r="G11">
        <f t="shared" si="4"/>
        <v>4.9999999999998934E-3</v>
      </c>
      <c r="H11">
        <f>IF(MOD(COUNTA($C$7:C11)-1,$J$2),H10,ROUND(F11*P11,-2))</f>
        <v>-1300</v>
      </c>
      <c r="I11">
        <f t="shared" si="5"/>
        <v>100</v>
      </c>
      <c r="J11">
        <f t="shared" si="6"/>
        <v>0</v>
      </c>
      <c r="K11">
        <f t="shared" si="7"/>
        <v>3160.8507445978689</v>
      </c>
      <c r="L11">
        <f t="shared" si="8"/>
        <v>289.15074459786865</v>
      </c>
      <c r="M11">
        <f t="shared" si="9"/>
        <v>-7.0099405000000843</v>
      </c>
      <c r="N11">
        <f t="shared" si="11"/>
        <v>289.15074459786865</v>
      </c>
      <c r="O11" s="5">
        <f t="shared" si="2"/>
        <v>2.8857778460963712E-2</v>
      </c>
      <c r="P11">
        <f t="shared" si="10"/>
        <v>10000</v>
      </c>
      <c r="Q11">
        <f t="shared" si="3"/>
        <v>288.57778460963715</v>
      </c>
    </row>
    <row r="12" spans="1:23" x14ac:dyDescent="0.15">
      <c r="A12" s="10">
        <v>45865.416666666977</v>
      </c>
      <c r="B12">
        <f>COUNT(A12:$A$1158)/(48*252)</f>
        <v>9.4824735449735451E-2</v>
      </c>
      <c r="C12">
        <v>2.2120000000000002</v>
      </c>
      <c r="D12">
        <v>0.108</v>
      </c>
      <c r="E12">
        <f t="shared" si="0"/>
        <v>1.1127499019481382</v>
      </c>
      <c r="F12">
        <f t="shared" si="1"/>
        <v>-0.13290792850344768</v>
      </c>
      <c r="G12">
        <f t="shared" si="4"/>
        <v>3.0000000000001137E-3</v>
      </c>
      <c r="H12">
        <f>IF(MOD(COUNTA($C$7:C12)-1,$J$2),H11,ROUND(F12*P12,-2))</f>
        <v>-1300</v>
      </c>
      <c r="I12">
        <f t="shared" si="5"/>
        <v>0</v>
      </c>
      <c r="J12">
        <f t="shared" si="6"/>
        <v>0</v>
      </c>
      <c r="K12">
        <f t="shared" si="7"/>
        <v>3160.8507445978689</v>
      </c>
      <c r="L12">
        <f t="shared" si="8"/>
        <v>285.25074459786856</v>
      </c>
      <c r="M12">
        <f t="shared" si="9"/>
        <v>-3.9000000000000909</v>
      </c>
      <c r="N12">
        <f t="shared" si="11"/>
        <v>285.25074459786856</v>
      </c>
      <c r="O12" s="5">
        <f t="shared" si="2"/>
        <v>2.8420408768726813E-2</v>
      </c>
      <c r="P12">
        <f t="shared" si="10"/>
        <v>10000</v>
      </c>
      <c r="Q12">
        <f t="shared" si="3"/>
        <v>284.2040876872681</v>
      </c>
    </row>
    <row r="13" spans="1:23" x14ac:dyDescent="0.15">
      <c r="A13" s="10">
        <v>45865.420138888992</v>
      </c>
      <c r="B13">
        <f>COUNT(A13:$A$1158)/(48*252)</f>
        <v>9.4742063492063489E-2</v>
      </c>
      <c r="C13">
        <v>2.2090000000000001</v>
      </c>
      <c r="D13">
        <v>0.108</v>
      </c>
      <c r="E13">
        <f t="shared" si="0"/>
        <v>1.1054852749034616</v>
      </c>
      <c r="F13">
        <f t="shared" si="1"/>
        <v>-0.13447468572628241</v>
      </c>
      <c r="G13">
        <f t="shared" si="4"/>
        <v>-3.0000000000001137E-3</v>
      </c>
      <c r="H13">
        <f>IF(MOD(COUNTA($C$7:C13)-1,$J$2),H12,ROUND(F13*P13,-2))</f>
        <v>-1300</v>
      </c>
      <c r="I13">
        <f t="shared" si="5"/>
        <v>0</v>
      </c>
      <c r="J13">
        <f t="shared" si="6"/>
        <v>0</v>
      </c>
      <c r="K13">
        <f t="shared" si="7"/>
        <v>3160.8507445978689</v>
      </c>
      <c r="L13">
        <f t="shared" si="8"/>
        <v>289.15074459786865</v>
      </c>
      <c r="M13">
        <f t="shared" si="9"/>
        <v>3.9000000000000909</v>
      </c>
      <c r="N13">
        <f t="shared" si="11"/>
        <v>289.15074459786865</v>
      </c>
      <c r="O13" s="5">
        <f t="shared" si="2"/>
        <v>2.8785431956165897E-2</v>
      </c>
      <c r="P13">
        <f t="shared" si="10"/>
        <v>10000</v>
      </c>
      <c r="Q13">
        <f t="shared" si="3"/>
        <v>287.85431956165894</v>
      </c>
    </row>
    <row r="14" spans="1:23" x14ac:dyDescent="0.15">
      <c r="A14" s="10">
        <v>45865.423611111008</v>
      </c>
      <c r="B14">
        <f>COUNT(A14:$A$1158)/(48*252)</f>
        <v>9.465939153439154E-2</v>
      </c>
      <c r="C14">
        <v>2.2149999999999999</v>
      </c>
      <c r="D14">
        <v>0.109</v>
      </c>
      <c r="E14">
        <f t="shared" si="0"/>
        <v>1.1211902740098312</v>
      </c>
      <c r="F14">
        <f t="shared" si="1"/>
        <v>-0.13110343940482172</v>
      </c>
      <c r="G14">
        <f t="shared" si="4"/>
        <v>5.9999999999997833E-3</v>
      </c>
      <c r="H14">
        <f>IF(MOD(COUNTA($C$7:C14)-1,$J$2),H13,ROUND(F14*P14,-2))</f>
        <v>-1300</v>
      </c>
      <c r="I14">
        <f t="shared" si="5"/>
        <v>0</v>
      </c>
      <c r="J14">
        <f t="shared" si="6"/>
        <v>0</v>
      </c>
      <c r="K14">
        <f t="shared" si="7"/>
        <v>3160.8507445978689</v>
      </c>
      <c r="L14">
        <f t="shared" si="8"/>
        <v>281.35074459786892</v>
      </c>
      <c r="M14">
        <f t="shared" si="9"/>
        <v>-7.7999999999997272</v>
      </c>
      <c r="N14">
        <f t="shared" si="11"/>
        <v>281.35074459786892</v>
      </c>
      <c r="O14" s="5">
        <f t="shared" si="2"/>
        <v>2.7952809877771934E-2</v>
      </c>
      <c r="P14">
        <f t="shared" si="10"/>
        <v>10000</v>
      </c>
      <c r="Q14">
        <f t="shared" si="3"/>
        <v>279.52809877771932</v>
      </c>
    </row>
    <row r="15" spans="1:23" x14ac:dyDescent="0.15">
      <c r="A15" s="10">
        <v>45865.427083333023</v>
      </c>
      <c r="B15">
        <f>COUNT(A15:$A$1158)/(48*252)</f>
        <v>9.4576719576719578E-2</v>
      </c>
      <c r="C15">
        <v>2.2130000000000001</v>
      </c>
      <c r="D15">
        <v>0.109</v>
      </c>
      <c r="E15">
        <f t="shared" si="0"/>
        <v>1.1164866227922392</v>
      </c>
      <c r="F15">
        <f t="shared" si="1"/>
        <v>-0.13210694656459698</v>
      </c>
      <c r="G15">
        <f t="shared" si="4"/>
        <v>-1.9999999999997797E-3</v>
      </c>
      <c r="H15">
        <f>IF(MOD(COUNTA($C$7:C15)-1,$J$2),H14,ROUND(F15*P15,-2))</f>
        <v>-1300</v>
      </c>
      <c r="I15">
        <f t="shared" si="5"/>
        <v>0</v>
      </c>
      <c r="J15">
        <f t="shared" si="6"/>
        <v>0</v>
      </c>
      <c r="K15">
        <f t="shared" si="7"/>
        <v>3160.8507445978689</v>
      </c>
      <c r="L15">
        <f t="shared" si="8"/>
        <v>283.95074459786883</v>
      </c>
      <c r="M15">
        <f t="shared" si="9"/>
        <v>2.5999999999999091</v>
      </c>
      <c r="N15">
        <f t="shared" si="11"/>
        <v>283.95074459786883</v>
      </c>
      <c r="O15" s="5">
        <f t="shared" si="2"/>
        <v>2.8180268030493782E-2</v>
      </c>
      <c r="P15">
        <f t="shared" si="10"/>
        <v>10000</v>
      </c>
      <c r="Q15">
        <f t="shared" si="3"/>
        <v>281.80268030493784</v>
      </c>
    </row>
    <row r="16" spans="1:23" x14ac:dyDescent="0.15">
      <c r="A16" s="10">
        <v>45865.430555555969</v>
      </c>
      <c r="B16">
        <f>COUNT(A16:$A$1158)/(48*252)</f>
        <v>9.4494047619047616E-2</v>
      </c>
      <c r="C16">
        <v>2.2069999999999999</v>
      </c>
      <c r="D16">
        <v>0.106</v>
      </c>
      <c r="E16">
        <f t="shared" si="0"/>
        <v>1.1015425147896969</v>
      </c>
      <c r="F16">
        <f t="shared" si="1"/>
        <v>-0.1353303058040991</v>
      </c>
      <c r="G16">
        <f t="shared" si="4"/>
        <v>-6.0000000000002274E-3</v>
      </c>
      <c r="H16">
        <f>IF(MOD(COUNTA($C$7:C16)-1,$J$2),H15,ROUND(F16*P16,-2))</f>
        <v>-1300</v>
      </c>
      <c r="I16">
        <f t="shared" si="5"/>
        <v>0</v>
      </c>
      <c r="J16">
        <f t="shared" si="6"/>
        <v>0</v>
      </c>
      <c r="K16">
        <f t="shared" si="7"/>
        <v>3160.8507445978689</v>
      </c>
      <c r="L16">
        <f t="shared" si="8"/>
        <v>291.75074459786902</v>
      </c>
      <c r="M16">
        <f t="shared" si="9"/>
        <v>7.8000000000001819</v>
      </c>
      <c r="N16">
        <f t="shared" si="11"/>
        <v>291.75074459786902</v>
      </c>
      <c r="O16" s="5">
        <f t="shared" si="2"/>
        <v>2.8946456357769546E-2</v>
      </c>
      <c r="P16">
        <f t="shared" si="10"/>
        <v>10000</v>
      </c>
      <c r="Q16">
        <f t="shared" si="3"/>
        <v>289.46456357769546</v>
      </c>
    </row>
    <row r="17" spans="1:17" x14ac:dyDescent="0.15">
      <c r="A17" s="10">
        <v>45865.434027777985</v>
      </c>
      <c r="B17">
        <f>COUNT(A17:$A$1158)/(48*252)</f>
        <v>9.4411375661375668E-2</v>
      </c>
      <c r="C17">
        <v>2.21</v>
      </c>
      <c r="D17">
        <v>0.107</v>
      </c>
      <c r="E17">
        <f t="shared" si="0"/>
        <v>1.1096122780803854</v>
      </c>
      <c r="F17">
        <f t="shared" si="1"/>
        <v>-0.13358306907145912</v>
      </c>
      <c r="G17">
        <f t="shared" si="4"/>
        <v>3.0000000000001137E-3</v>
      </c>
      <c r="H17">
        <f>IF(MOD(COUNTA($C$7:C17)-1,$J$2),H16,ROUND(F17*P17,-2))</f>
        <v>-1300</v>
      </c>
      <c r="I17">
        <f t="shared" si="5"/>
        <v>0</v>
      </c>
      <c r="J17">
        <f t="shared" si="6"/>
        <v>0</v>
      </c>
      <c r="K17">
        <f t="shared" si="7"/>
        <v>3160.8507445978689</v>
      </c>
      <c r="L17">
        <f t="shared" si="8"/>
        <v>287.85074459786892</v>
      </c>
      <c r="M17">
        <f t="shared" si="9"/>
        <v>-3.9000000000000909</v>
      </c>
      <c r="N17">
        <f t="shared" si="11"/>
        <v>287.85074459786892</v>
      </c>
      <c r="O17" s="5">
        <f t="shared" si="2"/>
        <v>2.8506871564583869E-2</v>
      </c>
      <c r="P17">
        <f t="shared" si="10"/>
        <v>10000</v>
      </c>
      <c r="Q17">
        <f t="shared" si="3"/>
        <v>285.06871564583867</v>
      </c>
    </row>
    <row r="18" spans="1:17" x14ac:dyDescent="0.15">
      <c r="A18" s="10">
        <v>45865.4375</v>
      </c>
      <c r="B18">
        <f>COUNT(A18:$A$1158)/(48*252)</f>
        <v>9.4328703703703706E-2</v>
      </c>
      <c r="C18">
        <v>2.2090000000000001</v>
      </c>
      <c r="D18">
        <v>0.109</v>
      </c>
      <c r="E18">
        <f t="shared" si="0"/>
        <v>1.1074472604980861</v>
      </c>
      <c r="F18">
        <f t="shared" si="1"/>
        <v>-0.13405030117706618</v>
      </c>
      <c r="G18">
        <f t="shared" si="4"/>
        <v>-9.9999999999988987E-4</v>
      </c>
      <c r="H18">
        <f>IF(MOD(COUNTA($C$7:C18)-1,$J$2),H17,ROUND(F18*P18,-2))</f>
        <v>-1300</v>
      </c>
      <c r="I18">
        <f t="shared" si="5"/>
        <v>0</v>
      </c>
      <c r="J18">
        <f t="shared" si="6"/>
        <v>0</v>
      </c>
      <c r="K18">
        <f t="shared" si="7"/>
        <v>3160.8507445978689</v>
      </c>
      <c r="L18">
        <f t="shared" si="8"/>
        <v>289.15074459786865</v>
      </c>
      <c r="M18">
        <f t="shared" si="9"/>
        <v>1.2999999999997272</v>
      </c>
      <c r="N18">
        <f t="shared" si="11"/>
        <v>289.15074459786865</v>
      </c>
      <c r="O18" s="5">
        <f t="shared" si="2"/>
        <v>2.8604553631527196E-2</v>
      </c>
      <c r="P18">
        <f t="shared" si="10"/>
        <v>10000</v>
      </c>
      <c r="Q18">
        <f t="shared" si="3"/>
        <v>286.04553631527199</v>
      </c>
    </row>
    <row r="19" spans="1:17" x14ac:dyDescent="0.15">
      <c r="A19" s="10">
        <v>45865.440972222015</v>
      </c>
      <c r="B19">
        <f>COUNT(A19:$A$1158)/(48*252)</f>
        <v>9.4246031746031744E-2</v>
      </c>
      <c r="C19">
        <v>2.202</v>
      </c>
      <c r="D19">
        <v>0.104</v>
      </c>
      <c r="E19">
        <f t="shared" si="0"/>
        <v>1.0898834202353569</v>
      </c>
      <c r="F19">
        <f t="shared" si="1"/>
        <v>-0.13788225044598812</v>
      </c>
      <c r="G19">
        <f t="shared" si="4"/>
        <v>-7.0000000000001172E-3</v>
      </c>
      <c r="H19">
        <f>IF(MOD(COUNTA($C$7:C19)-1,$J$2),H18,ROUND(F19*P19,-2))</f>
        <v>-1400</v>
      </c>
      <c r="I19">
        <f t="shared" si="5"/>
        <v>-100</v>
      </c>
      <c r="J19">
        <f t="shared" si="6"/>
        <v>0</v>
      </c>
      <c r="K19">
        <f t="shared" si="7"/>
        <v>3381.0408355978689</v>
      </c>
      <c r="L19">
        <f t="shared" si="8"/>
        <v>298.24083559786914</v>
      </c>
      <c r="M19">
        <f t="shared" si="9"/>
        <v>9.0900910000004842</v>
      </c>
      <c r="N19">
        <f t="shared" si="11"/>
        <v>298.24083559786914</v>
      </c>
      <c r="O19" s="5">
        <f t="shared" si="2"/>
        <v>2.9519789655032602E-2</v>
      </c>
      <c r="P19">
        <f t="shared" si="10"/>
        <v>10000</v>
      </c>
      <c r="Q19">
        <f t="shared" si="3"/>
        <v>295.19789655032605</v>
      </c>
    </row>
    <row r="20" spans="1:17" x14ac:dyDescent="0.15">
      <c r="A20" s="10">
        <v>45865.444444444962</v>
      </c>
      <c r="B20">
        <f>COUNT(A20:$A$1158)/(48*252)</f>
        <v>9.4163359788359782E-2</v>
      </c>
      <c r="C20">
        <v>2.2050000000000001</v>
      </c>
      <c r="D20">
        <v>0.106</v>
      </c>
      <c r="E20">
        <f t="shared" si="0"/>
        <v>1.0979767697180409</v>
      </c>
      <c r="F20">
        <f t="shared" si="1"/>
        <v>-0.1361073166039326</v>
      </c>
      <c r="G20">
        <f t="shared" si="4"/>
        <v>3.0000000000001137E-3</v>
      </c>
      <c r="H20">
        <f>IF(MOD(COUNTA($C$7:C20)-1,$J$2),H19,ROUND(F20*P20,-2))</f>
        <v>-1400</v>
      </c>
      <c r="I20">
        <f t="shared" si="5"/>
        <v>0</v>
      </c>
      <c r="J20">
        <f t="shared" si="6"/>
        <v>0</v>
      </c>
      <c r="K20">
        <f t="shared" si="7"/>
        <v>3381.0408355978689</v>
      </c>
      <c r="L20">
        <f t="shared" si="8"/>
        <v>294.04083559786886</v>
      </c>
      <c r="M20">
        <f t="shared" si="9"/>
        <v>-4.2000000000002728</v>
      </c>
      <c r="N20">
        <f t="shared" si="11"/>
        <v>294.04083559786886</v>
      </c>
      <c r="O20" s="5">
        <f t="shared" si="2"/>
        <v>2.9072162580105809E-2</v>
      </c>
      <c r="P20">
        <f t="shared" si="10"/>
        <v>10000</v>
      </c>
      <c r="Q20">
        <f t="shared" si="3"/>
        <v>290.72162580105811</v>
      </c>
    </row>
    <row r="21" spans="1:17" x14ac:dyDescent="0.15">
      <c r="A21" s="10">
        <v>45865.447916666977</v>
      </c>
      <c r="B21">
        <f>COUNT(A21:$A$1158)/(48*252)</f>
        <v>9.4080687830687834E-2</v>
      </c>
      <c r="C21">
        <v>2.2109999999999999</v>
      </c>
      <c r="D21">
        <v>0.108</v>
      </c>
      <c r="E21">
        <f t="shared" si="0"/>
        <v>1.1137560118199969</v>
      </c>
      <c r="F21">
        <f t="shared" si="1"/>
        <v>-0.13269193637489385</v>
      </c>
      <c r="G21">
        <f t="shared" si="4"/>
        <v>5.9999999999997833E-3</v>
      </c>
      <c r="H21">
        <f>IF(MOD(COUNTA($C$7:C21)-1,$J$2),H20,ROUND(F21*P21,-2))</f>
        <v>-1300</v>
      </c>
      <c r="I21">
        <f t="shared" si="5"/>
        <v>100</v>
      </c>
      <c r="J21">
        <f t="shared" si="6"/>
        <v>0</v>
      </c>
      <c r="K21">
        <f t="shared" si="7"/>
        <v>3159.930886097869</v>
      </c>
      <c r="L21">
        <f t="shared" si="8"/>
        <v>285.63088609786928</v>
      </c>
      <c r="M21">
        <f t="shared" si="9"/>
        <v>-8.4099494999995841</v>
      </c>
      <c r="N21">
        <f t="shared" si="11"/>
        <v>285.63088609786928</v>
      </c>
      <c r="O21" s="5">
        <f t="shared" si="2"/>
        <v>2.8229533523673411E-2</v>
      </c>
      <c r="P21">
        <f t="shared" si="10"/>
        <v>10000</v>
      </c>
      <c r="Q21">
        <f t="shared" si="3"/>
        <v>282.2953352367341</v>
      </c>
    </row>
    <row r="22" spans="1:17" x14ac:dyDescent="0.15">
      <c r="A22" s="10">
        <v>45865.451388888992</v>
      </c>
      <c r="B22">
        <f>COUNT(A22:$A$1158)/(48*252)</f>
        <v>9.3998015873015872E-2</v>
      </c>
      <c r="C22">
        <v>2.2080000000000002</v>
      </c>
      <c r="D22">
        <v>0.106</v>
      </c>
      <c r="E22">
        <f t="shared" si="0"/>
        <v>1.106461576015048</v>
      </c>
      <c r="F22">
        <f t="shared" si="1"/>
        <v>-0.13426339312230229</v>
      </c>
      <c r="G22">
        <f t="shared" si="4"/>
        <v>-2.9999999999996696E-3</v>
      </c>
      <c r="H22">
        <f>IF(MOD(COUNTA($C$7:C22)-1,$J$2),H21,ROUND(F22*P22,-2))</f>
        <v>-1300</v>
      </c>
      <c r="I22">
        <f t="shared" si="5"/>
        <v>0</v>
      </c>
      <c r="J22">
        <f t="shared" si="6"/>
        <v>0</v>
      </c>
      <c r="K22">
        <f t="shared" si="7"/>
        <v>3159.930886097869</v>
      </c>
      <c r="L22">
        <f t="shared" si="8"/>
        <v>289.53088609786892</v>
      </c>
      <c r="M22">
        <f t="shared" si="9"/>
        <v>3.8999999999996362</v>
      </c>
      <c r="N22">
        <f t="shared" si="11"/>
        <v>289.53088609786892</v>
      </c>
      <c r="O22" s="5">
        <f t="shared" si="2"/>
        <v>2.859382566736296E-2</v>
      </c>
      <c r="P22">
        <f t="shared" si="10"/>
        <v>10000</v>
      </c>
      <c r="Q22">
        <f t="shared" si="3"/>
        <v>285.93825667362961</v>
      </c>
    </row>
    <row r="23" spans="1:17" x14ac:dyDescent="0.15">
      <c r="A23" s="10">
        <v>45865.454861111008</v>
      </c>
      <c r="B23">
        <f>COUNT(A23:$A$1158)/(48*252)</f>
        <v>9.391534391534391E-2</v>
      </c>
      <c r="C23">
        <v>2.2069999999999999</v>
      </c>
      <c r="D23">
        <v>0.105</v>
      </c>
      <c r="E23">
        <f t="shared" si="0"/>
        <v>1.1042891590619177</v>
      </c>
      <c r="F23">
        <f t="shared" si="1"/>
        <v>-0.13473386199026116</v>
      </c>
      <c r="G23">
        <f t="shared" si="4"/>
        <v>-1.000000000000334E-3</v>
      </c>
      <c r="H23">
        <f>IF(MOD(COUNTA($C$7:C23)-1,$J$2),H22,ROUND(F23*P23,-2))</f>
        <v>-1300</v>
      </c>
      <c r="I23">
        <f t="shared" si="5"/>
        <v>0</v>
      </c>
      <c r="J23">
        <f t="shared" si="6"/>
        <v>0</v>
      </c>
      <c r="K23">
        <f t="shared" si="7"/>
        <v>3159.930886097869</v>
      </c>
      <c r="L23">
        <f t="shared" si="8"/>
        <v>290.8308860978691</v>
      </c>
      <c r="M23">
        <f t="shared" si="9"/>
        <v>1.3000000000001819</v>
      </c>
      <c r="N23">
        <f t="shared" si="11"/>
        <v>290.8308860978691</v>
      </c>
      <c r="O23" s="5">
        <f t="shared" si="2"/>
        <v>2.8692015931985893E-2</v>
      </c>
      <c r="P23">
        <f t="shared" si="10"/>
        <v>10000</v>
      </c>
      <c r="Q23">
        <f t="shared" si="3"/>
        <v>286.92015931985895</v>
      </c>
    </row>
    <row r="24" spans="1:17" x14ac:dyDescent="0.15">
      <c r="A24" s="10">
        <v>45865.458333333023</v>
      </c>
      <c r="B24">
        <f>COUNT(A24:$A$1158)/(48*252)</f>
        <v>9.3832671957671962E-2</v>
      </c>
      <c r="C24">
        <v>2.2040000000000002</v>
      </c>
      <c r="D24">
        <v>0.104</v>
      </c>
      <c r="E24">
        <f t="shared" si="0"/>
        <v>1.0969705975378321</v>
      </c>
      <c r="F24">
        <f t="shared" si="1"/>
        <v>-0.13632712268799851</v>
      </c>
      <c r="G24">
        <f t="shared" si="4"/>
        <v>-2.9999999999996696E-3</v>
      </c>
      <c r="H24">
        <f>IF(MOD(COUNTA($C$7:C24)-1,$J$2),H23,ROUND(F24*P24,-2))</f>
        <v>-1300</v>
      </c>
      <c r="I24">
        <f t="shared" si="5"/>
        <v>0</v>
      </c>
      <c r="J24">
        <f t="shared" si="6"/>
        <v>0</v>
      </c>
      <c r="K24">
        <f t="shared" si="7"/>
        <v>3159.930886097869</v>
      </c>
      <c r="L24">
        <f t="shared" si="8"/>
        <v>294.73088609786873</v>
      </c>
      <c r="M24">
        <f t="shared" si="9"/>
        <v>3.8999999999996362</v>
      </c>
      <c r="N24">
        <f t="shared" si="11"/>
        <v>294.73088609786873</v>
      </c>
      <c r="O24" s="5">
        <f t="shared" si="2"/>
        <v>2.9062123287886765E-2</v>
      </c>
      <c r="P24">
        <f t="shared" si="10"/>
        <v>10000</v>
      </c>
      <c r="Q24">
        <f t="shared" si="3"/>
        <v>290.62123287886766</v>
      </c>
    </row>
    <row r="25" spans="1:17" x14ac:dyDescent="0.15">
      <c r="A25" s="10">
        <v>45865.461805555969</v>
      </c>
      <c r="B25">
        <f>COUNT(A25:$A$1158)/(48*252)</f>
        <v>9.375E-2</v>
      </c>
      <c r="C25">
        <v>2.206</v>
      </c>
      <c r="D25">
        <v>0.106</v>
      </c>
      <c r="E25">
        <f t="shared" si="0"/>
        <v>1.10250792021787</v>
      </c>
      <c r="F25">
        <f t="shared" si="1"/>
        <v>-0.13512045856544108</v>
      </c>
      <c r="G25">
        <f t="shared" si="4"/>
        <v>1.9999999999997797E-3</v>
      </c>
      <c r="H25">
        <f>IF(MOD(COUNTA($C$7:C25)-1,$J$2),H24,ROUND(F25*P25,-2))</f>
        <v>-1400</v>
      </c>
      <c r="I25">
        <f t="shared" si="5"/>
        <v>-100</v>
      </c>
      <c r="J25">
        <f t="shared" si="6"/>
        <v>0</v>
      </c>
      <c r="K25">
        <f t="shared" si="7"/>
        <v>3380.5209590978689</v>
      </c>
      <c r="L25">
        <f t="shared" si="8"/>
        <v>292.12095909786876</v>
      </c>
      <c r="M25">
        <f t="shared" si="9"/>
        <v>-2.6099269999999706</v>
      </c>
      <c r="N25">
        <f t="shared" si="11"/>
        <v>292.12095909786876</v>
      </c>
      <c r="O25" s="5">
        <f t="shared" si="2"/>
        <v>2.8754153291528639E-2</v>
      </c>
      <c r="P25">
        <f t="shared" si="10"/>
        <v>10000</v>
      </c>
      <c r="Q25">
        <f t="shared" si="3"/>
        <v>287.54153291528638</v>
      </c>
    </row>
    <row r="26" spans="1:17" x14ac:dyDescent="0.15">
      <c r="A26" s="10">
        <v>45865.465277777985</v>
      </c>
      <c r="B26">
        <f>COUNT(A26:$A$1158)/(48*252)</f>
        <v>9.3667328042328038E-2</v>
      </c>
      <c r="C26">
        <v>2.2130000000000001</v>
      </c>
      <c r="D26">
        <v>0.108</v>
      </c>
      <c r="E26">
        <f t="shared" si="0"/>
        <v>1.1208832079701871</v>
      </c>
      <c r="F26">
        <f t="shared" si="1"/>
        <v>-0.13116878974318591</v>
      </c>
      <c r="G26">
        <f t="shared" si="4"/>
        <v>7.0000000000001172E-3</v>
      </c>
      <c r="H26">
        <f>IF(MOD(COUNTA($C$7:C26)-1,$J$2),H25,ROUND(F26*P26,-2))</f>
        <v>-1400</v>
      </c>
      <c r="I26">
        <f t="shared" si="5"/>
        <v>0</v>
      </c>
      <c r="J26">
        <f t="shared" si="6"/>
        <v>0</v>
      </c>
      <c r="K26">
        <f t="shared" si="7"/>
        <v>3380.5209590978689</v>
      </c>
      <c r="L26">
        <f t="shared" si="8"/>
        <v>282.32095909786858</v>
      </c>
      <c r="M26">
        <f t="shared" si="9"/>
        <v>-9.8000000000001819</v>
      </c>
      <c r="N26">
        <f t="shared" si="11"/>
        <v>282.32095909786858</v>
      </c>
      <c r="O26" s="5">
        <f t="shared" si="2"/>
        <v>2.7786054330000975E-2</v>
      </c>
      <c r="P26">
        <f t="shared" si="10"/>
        <v>10000</v>
      </c>
      <c r="Q26">
        <f t="shared" si="3"/>
        <v>277.86054330000974</v>
      </c>
    </row>
    <row r="27" spans="1:17" x14ac:dyDescent="0.15">
      <c r="A27" s="10">
        <v>45865.46875</v>
      </c>
      <c r="B27">
        <f>COUNT(A27:$A$1158)/(48*252)</f>
        <v>9.358465608465609E-2</v>
      </c>
      <c r="C27">
        <v>2.21</v>
      </c>
      <c r="D27">
        <v>0.107</v>
      </c>
      <c r="E27">
        <f t="shared" si="0"/>
        <v>1.1135838819048605</v>
      </c>
      <c r="F27">
        <f t="shared" si="1"/>
        <v>-0.13272887215028228</v>
      </c>
      <c r="G27">
        <f t="shared" si="4"/>
        <v>-3.0000000000001137E-3</v>
      </c>
      <c r="H27">
        <f>IF(MOD(COUNTA($C$7:C27)-1,$J$2),H26,ROUND(F27*P27,-2))</f>
        <v>-1300</v>
      </c>
      <c r="I27">
        <f t="shared" si="5"/>
        <v>100</v>
      </c>
      <c r="J27">
        <f t="shared" si="6"/>
        <v>0</v>
      </c>
      <c r="K27">
        <f t="shared" si="7"/>
        <v>3159.5110140978691</v>
      </c>
      <c r="L27">
        <f t="shared" si="8"/>
        <v>286.51101409786907</v>
      </c>
      <c r="M27">
        <f t="shared" si="9"/>
        <v>4.1900550000004841</v>
      </c>
      <c r="N27">
        <f t="shared" si="11"/>
        <v>286.51101409786907</v>
      </c>
      <c r="O27" s="5">
        <f t="shared" si="2"/>
        <v>2.8145929029794292E-2</v>
      </c>
      <c r="P27">
        <f t="shared" si="10"/>
        <v>10000</v>
      </c>
      <c r="Q27">
        <f t="shared" si="3"/>
        <v>281.45929029794291</v>
      </c>
    </row>
    <row r="28" spans="1:17" x14ac:dyDescent="0.15">
      <c r="A28" s="10">
        <v>45865.472222222015</v>
      </c>
      <c r="B28">
        <f>COUNT(A28:$A$1158)/(48*252)</f>
        <v>9.3501984126984128E-2</v>
      </c>
      <c r="C28">
        <v>2.2080000000000002</v>
      </c>
      <c r="D28">
        <v>0.106</v>
      </c>
      <c r="E28">
        <f t="shared" si="0"/>
        <v>1.1088411211448934</v>
      </c>
      <c r="F28">
        <f t="shared" si="1"/>
        <v>-0.13374936375851965</v>
      </c>
      <c r="G28">
        <f t="shared" si="4"/>
        <v>-1.9999999999997797E-3</v>
      </c>
      <c r="H28">
        <f>IF(MOD(COUNTA($C$7:C28)-1,$J$2),H27,ROUND(F28*P28,-2))</f>
        <v>-1300</v>
      </c>
      <c r="I28">
        <f t="shared" si="5"/>
        <v>0</v>
      </c>
      <c r="J28">
        <f t="shared" si="6"/>
        <v>0</v>
      </c>
      <c r="K28">
        <f t="shared" si="7"/>
        <v>3159.5110140978691</v>
      </c>
      <c r="L28">
        <f t="shared" si="8"/>
        <v>289.11101409786897</v>
      </c>
      <c r="M28">
        <f t="shared" si="9"/>
        <v>2.5999999999999091</v>
      </c>
      <c r="N28">
        <f t="shared" si="11"/>
        <v>289.11101409786897</v>
      </c>
      <c r="O28" s="5">
        <f t="shared" si="2"/>
        <v>2.8376223349873886E-2</v>
      </c>
      <c r="P28">
        <f t="shared" si="10"/>
        <v>10000</v>
      </c>
      <c r="Q28">
        <f t="shared" si="3"/>
        <v>283.76223349873885</v>
      </c>
    </row>
    <row r="29" spans="1:17" x14ac:dyDescent="0.15">
      <c r="A29" s="10">
        <v>45865.475694444962</v>
      </c>
      <c r="B29">
        <f>COUNT(A29:$A$1158)/(48*252)</f>
        <v>9.3419312169312166E-2</v>
      </c>
      <c r="C29">
        <v>2.214</v>
      </c>
      <c r="D29">
        <v>0.108</v>
      </c>
      <c r="E29">
        <f t="shared" si="0"/>
        <v>1.1246616823650635</v>
      </c>
      <c r="F29">
        <f t="shared" si="1"/>
        <v>-0.13036621238414159</v>
      </c>
      <c r="G29">
        <f t="shared" si="4"/>
        <v>5.9999999999997833E-3</v>
      </c>
      <c r="H29">
        <f>IF(MOD(COUNTA($C$7:C29)-1,$J$2),H28,ROUND(F29*P29,-2))</f>
        <v>-1300</v>
      </c>
      <c r="I29">
        <f t="shared" si="5"/>
        <v>0</v>
      </c>
      <c r="J29">
        <f t="shared" si="6"/>
        <v>0</v>
      </c>
      <c r="K29">
        <f t="shared" si="7"/>
        <v>3159.5110140978691</v>
      </c>
      <c r="L29">
        <f t="shared" si="8"/>
        <v>281.31101409786925</v>
      </c>
      <c r="M29">
        <f t="shared" si="9"/>
        <v>-7.7999999999997272</v>
      </c>
      <c r="N29">
        <f t="shared" si="11"/>
        <v>281.31101409786925</v>
      </c>
      <c r="O29" s="5">
        <f t="shared" si="2"/>
        <v>2.7547898240085633E-2</v>
      </c>
      <c r="P29">
        <f t="shared" si="10"/>
        <v>10000</v>
      </c>
      <c r="Q29">
        <f t="shared" si="3"/>
        <v>275.47898240085635</v>
      </c>
    </row>
    <row r="30" spans="1:17" x14ac:dyDescent="0.15">
      <c r="A30" s="10">
        <v>45865.479166666977</v>
      </c>
      <c r="B30">
        <f>COUNT(A30:$A$1158)/(48*252)</f>
        <v>9.3336640211640218E-2</v>
      </c>
      <c r="C30">
        <v>2.2109999999999999</v>
      </c>
      <c r="D30">
        <v>0.107</v>
      </c>
      <c r="E30">
        <f t="shared" si="0"/>
        <v>1.1173584815122108</v>
      </c>
      <c r="F30">
        <f t="shared" si="1"/>
        <v>-0.13192053985947616</v>
      </c>
      <c r="G30">
        <f t="shared" si="4"/>
        <v>-3.0000000000001137E-3</v>
      </c>
      <c r="H30">
        <f>IF(MOD(COUNTA($C$7:C30)-1,$J$2),H29,ROUND(F30*P30,-2))</f>
        <v>-1300</v>
      </c>
      <c r="I30">
        <f t="shared" si="5"/>
        <v>0</v>
      </c>
      <c r="J30">
        <f t="shared" si="6"/>
        <v>0</v>
      </c>
      <c r="K30">
        <f t="shared" si="7"/>
        <v>3159.5110140978691</v>
      </c>
      <c r="L30">
        <f t="shared" si="8"/>
        <v>285.21101409786934</v>
      </c>
      <c r="M30">
        <f t="shared" si="9"/>
        <v>3.9000000000000909</v>
      </c>
      <c r="N30">
        <f t="shared" si="11"/>
        <v>285.21101409786934</v>
      </c>
      <c r="O30" s="5">
        <f t="shared" si="2"/>
        <v>2.7905441773502127E-2</v>
      </c>
      <c r="P30">
        <f t="shared" si="10"/>
        <v>10000</v>
      </c>
      <c r="Q30">
        <f t="shared" si="3"/>
        <v>279.05441773502127</v>
      </c>
    </row>
    <row r="31" spans="1:17" x14ac:dyDescent="0.15">
      <c r="A31" s="10">
        <v>45865.545138888992</v>
      </c>
      <c r="B31">
        <f>COUNT(A31:$A$1158)/(48*252)</f>
        <v>9.3253968253968256E-2</v>
      </c>
      <c r="C31">
        <v>2.2090000000000001</v>
      </c>
      <c r="D31">
        <v>0.106</v>
      </c>
      <c r="E31">
        <f t="shared" si="0"/>
        <v>1.11261407575953</v>
      </c>
      <c r="F31">
        <f t="shared" si="1"/>
        <v>-0.13293710626727007</v>
      </c>
      <c r="G31">
        <f t="shared" si="4"/>
        <v>-1.9999999999997797E-3</v>
      </c>
      <c r="H31">
        <f>IF(MOD(COUNTA($C$7:C31)-1,$J$2),H30,ROUND(F31*P31,-2))</f>
        <v>-1300</v>
      </c>
      <c r="I31">
        <f t="shared" si="5"/>
        <v>0</v>
      </c>
      <c r="J31">
        <f t="shared" si="6"/>
        <v>0</v>
      </c>
      <c r="K31">
        <f t="shared" si="7"/>
        <v>3159.5110140978691</v>
      </c>
      <c r="L31">
        <f t="shared" si="8"/>
        <v>287.81101409786879</v>
      </c>
      <c r="M31">
        <f t="shared" si="9"/>
        <v>2.5999999999994543</v>
      </c>
      <c r="N31">
        <f t="shared" si="11"/>
        <v>287.81101409786879</v>
      </c>
      <c r="O31" s="5">
        <f t="shared" si="2"/>
        <v>2.8134200206245463E-2</v>
      </c>
      <c r="P31">
        <f t="shared" si="10"/>
        <v>10000</v>
      </c>
      <c r="Q31">
        <f t="shared" si="3"/>
        <v>281.34200206245464</v>
      </c>
    </row>
    <row r="32" spans="1:17" x14ac:dyDescent="0.15">
      <c r="A32" s="10">
        <v>45865.548611111008</v>
      </c>
      <c r="B32">
        <f>COUNT(A32:$A$1158)/(48*252)</f>
        <v>9.3171296296296294E-2</v>
      </c>
      <c r="C32">
        <v>2.206</v>
      </c>
      <c r="D32">
        <v>0.106</v>
      </c>
      <c r="E32">
        <f t="shared" si="0"/>
        <v>1.1052820187992718</v>
      </c>
      <c r="F32">
        <f t="shared" si="1"/>
        <v>-0.13451870342271488</v>
      </c>
      <c r="G32">
        <f t="shared" si="4"/>
        <v>-3.0000000000001137E-3</v>
      </c>
      <c r="H32">
        <f>IF(MOD(COUNTA($C$7:C32)-1,$J$2),H31,ROUND(F32*P32,-2))</f>
        <v>-1300</v>
      </c>
      <c r="I32">
        <f t="shared" si="5"/>
        <v>0</v>
      </c>
      <c r="J32">
        <f t="shared" si="6"/>
        <v>0</v>
      </c>
      <c r="K32">
        <f t="shared" si="7"/>
        <v>3159.5110140978691</v>
      </c>
      <c r="L32">
        <f t="shared" si="8"/>
        <v>291.71101409786934</v>
      </c>
      <c r="M32">
        <f t="shared" si="9"/>
        <v>3.9000000000005457</v>
      </c>
      <c r="N32">
        <f t="shared" si="11"/>
        <v>291.71101409786934</v>
      </c>
      <c r="O32" s="5">
        <f t="shared" si="2"/>
        <v>2.8499065867138573E-2</v>
      </c>
      <c r="P32">
        <f t="shared" si="10"/>
        <v>10000</v>
      </c>
      <c r="Q32">
        <f t="shared" si="3"/>
        <v>284.99065867138575</v>
      </c>
    </row>
    <row r="33" spans="1:17" x14ac:dyDescent="0.15">
      <c r="A33" s="10">
        <v>45865.552083333023</v>
      </c>
      <c r="B33">
        <f>COUNT(A33:$A$1158)/(48*252)</f>
        <v>9.3088624338624332E-2</v>
      </c>
      <c r="C33">
        <v>2.2109999999999999</v>
      </c>
      <c r="D33">
        <v>0.107</v>
      </c>
      <c r="E33">
        <f t="shared" si="0"/>
        <v>1.118569626033044</v>
      </c>
      <c r="F33">
        <f t="shared" si="1"/>
        <v>-0.13166189375229442</v>
      </c>
      <c r="G33">
        <f t="shared" si="4"/>
        <v>4.9999999999998934E-3</v>
      </c>
      <c r="H33">
        <f>IF(MOD(COUNTA($C$7:C33)-1,$J$2),H32,ROUND(F33*P33,-2))</f>
        <v>-1300</v>
      </c>
      <c r="I33">
        <f t="shared" si="5"/>
        <v>0</v>
      </c>
      <c r="J33">
        <f t="shared" si="6"/>
        <v>0</v>
      </c>
      <c r="K33">
        <f t="shared" si="7"/>
        <v>3159.5110140978691</v>
      </c>
      <c r="L33">
        <f t="shared" si="8"/>
        <v>285.21101409786934</v>
      </c>
      <c r="M33">
        <f t="shared" si="9"/>
        <v>-6.5</v>
      </c>
      <c r="N33">
        <f t="shared" si="11"/>
        <v>285.21101409786934</v>
      </c>
      <c r="O33" s="5">
        <f t="shared" si="2"/>
        <v>2.7797405366229877E-2</v>
      </c>
      <c r="P33">
        <f t="shared" si="10"/>
        <v>10000</v>
      </c>
      <c r="Q33">
        <f t="shared" si="3"/>
        <v>277.97405366229879</v>
      </c>
    </row>
    <row r="34" spans="1:17" x14ac:dyDescent="0.15">
      <c r="A34" s="10">
        <v>45865.555555555969</v>
      </c>
      <c r="B34">
        <f>COUNT(A34:$A$1158)/(48*252)</f>
        <v>9.3005952380952384E-2</v>
      </c>
      <c r="C34">
        <v>2.2149999999999999</v>
      </c>
      <c r="D34">
        <v>0.108</v>
      </c>
      <c r="E34">
        <f t="shared" si="0"/>
        <v>1.1292693295242089</v>
      </c>
      <c r="F34">
        <f t="shared" si="1"/>
        <v>-0.1293921175077104</v>
      </c>
      <c r="G34">
        <f t="shared" si="4"/>
        <v>4.0000000000000036E-3</v>
      </c>
      <c r="H34">
        <f>IF(MOD(COUNTA($C$7:C34)-1,$J$2),H33,ROUND(F34*P34,-2))</f>
        <v>-1300</v>
      </c>
      <c r="I34">
        <f t="shared" si="5"/>
        <v>0</v>
      </c>
      <c r="J34">
        <f t="shared" si="6"/>
        <v>0</v>
      </c>
      <c r="K34">
        <f t="shared" si="7"/>
        <v>3159.5110140978691</v>
      </c>
      <c r="L34">
        <f t="shared" si="8"/>
        <v>280.01101409786907</v>
      </c>
      <c r="M34">
        <f t="shared" si="9"/>
        <v>-5.2000000000002728</v>
      </c>
      <c r="N34">
        <f t="shared" si="11"/>
        <v>280.01101409786907</v>
      </c>
      <c r="O34" s="5">
        <f t="shared" si="2"/>
        <v>2.7239467195643796E-2</v>
      </c>
      <c r="P34">
        <f t="shared" si="10"/>
        <v>10000</v>
      </c>
      <c r="Q34">
        <f t="shared" si="3"/>
        <v>272.39467195643795</v>
      </c>
    </row>
    <row r="35" spans="1:17" x14ac:dyDescent="0.15">
      <c r="A35" s="10">
        <v>45865.559027777985</v>
      </c>
      <c r="B35">
        <f>COUNT(A35:$A$1158)/(48*252)</f>
        <v>9.2923280423280422E-2</v>
      </c>
      <c r="C35">
        <v>2.2160000000000002</v>
      </c>
      <c r="D35">
        <v>0.108</v>
      </c>
      <c r="E35">
        <f t="shared" si="0"/>
        <v>1.132251308218263</v>
      </c>
      <c r="F35">
        <f t="shared" si="1"/>
        <v>-0.12876439734203216</v>
      </c>
      <c r="G35">
        <f t="shared" si="4"/>
        <v>1.000000000000334E-3</v>
      </c>
      <c r="H35">
        <f>IF(MOD(COUNTA($C$7:C35)-1,$J$2),H34,ROUND(F35*P35,-2))</f>
        <v>-1300</v>
      </c>
      <c r="I35">
        <f t="shared" si="5"/>
        <v>0</v>
      </c>
      <c r="J35">
        <f t="shared" si="6"/>
        <v>0</v>
      </c>
      <c r="K35">
        <f t="shared" si="7"/>
        <v>3159.5110140978691</v>
      </c>
      <c r="L35">
        <f t="shared" si="8"/>
        <v>278.71101409786888</v>
      </c>
      <c r="M35">
        <f t="shared" si="9"/>
        <v>-1.3000000000001819</v>
      </c>
      <c r="N35">
        <f t="shared" si="11"/>
        <v>278.71101409786888</v>
      </c>
      <c r="O35" s="5">
        <f t="shared" si="2"/>
        <v>2.7074765243254029E-2</v>
      </c>
      <c r="P35">
        <f t="shared" si="10"/>
        <v>10000</v>
      </c>
      <c r="Q35">
        <f t="shared" si="3"/>
        <v>270.74765243254029</v>
      </c>
    </row>
    <row r="36" spans="1:17" x14ac:dyDescent="0.15">
      <c r="A36" s="10">
        <v>45865.5625</v>
      </c>
      <c r="B36">
        <f>COUNT(A36:$A$1158)/(48*252)</f>
        <v>9.284060846560846E-2</v>
      </c>
      <c r="C36">
        <v>2.2240000000000002</v>
      </c>
      <c r="D36">
        <v>0.112</v>
      </c>
      <c r="E36">
        <f t="shared" si="0"/>
        <v>1.1532060983960362</v>
      </c>
      <c r="F36">
        <f t="shared" si="1"/>
        <v>-0.12441290050858111</v>
      </c>
      <c r="G36">
        <f t="shared" si="4"/>
        <v>8.0000000000000071E-3</v>
      </c>
      <c r="H36">
        <f>IF(MOD(COUNTA($C$7:C36)-1,$J$2),H35,ROUND(F36*P36,-2))</f>
        <v>-1300</v>
      </c>
      <c r="I36">
        <f t="shared" si="5"/>
        <v>0</v>
      </c>
      <c r="J36">
        <f t="shared" si="6"/>
        <v>0</v>
      </c>
      <c r="K36">
        <f t="shared" si="7"/>
        <v>3159.5110140978691</v>
      </c>
      <c r="L36">
        <f t="shared" si="8"/>
        <v>268.31101409786879</v>
      </c>
      <c r="M36">
        <f t="shared" si="9"/>
        <v>-10.400000000000091</v>
      </c>
      <c r="N36">
        <f t="shared" si="11"/>
        <v>268.31101409786879</v>
      </c>
      <c r="O36" s="5">
        <f t="shared" si="2"/>
        <v>2.6026898674802013E-2</v>
      </c>
      <c r="P36">
        <f t="shared" si="10"/>
        <v>10000</v>
      </c>
      <c r="Q36">
        <f t="shared" si="3"/>
        <v>260.2689867480201</v>
      </c>
    </row>
    <row r="37" spans="1:17" x14ac:dyDescent="0.15">
      <c r="A37" s="10">
        <v>45865.565972222015</v>
      </c>
      <c r="B37">
        <f>COUNT(A37:$A$1158)/(48*252)</f>
        <v>9.2757936507936511E-2</v>
      </c>
      <c r="C37">
        <v>2.2200000000000002</v>
      </c>
      <c r="D37">
        <v>0.11</v>
      </c>
      <c r="E37">
        <f t="shared" si="0"/>
        <v>1.1433607778530974</v>
      </c>
      <c r="F37">
        <f t="shared" si="1"/>
        <v>-0.1264444150547509</v>
      </c>
      <c r="G37">
        <f t="shared" si="4"/>
        <v>-4.0000000000000036E-3</v>
      </c>
      <c r="H37">
        <f>IF(MOD(COUNTA($C$7:C37)-1,$J$2),H36,ROUND(F37*P37,-2))</f>
        <v>-1300</v>
      </c>
      <c r="I37">
        <f t="shared" si="5"/>
        <v>0</v>
      </c>
      <c r="J37">
        <f t="shared" si="6"/>
        <v>0</v>
      </c>
      <c r="K37">
        <f t="shared" si="7"/>
        <v>3159.5110140978691</v>
      </c>
      <c r="L37">
        <f t="shared" si="8"/>
        <v>273.51101409786861</v>
      </c>
      <c r="M37">
        <f t="shared" si="9"/>
        <v>5.1999999999998181</v>
      </c>
      <c r="N37">
        <f t="shared" si="11"/>
        <v>273.51101409786861</v>
      </c>
      <c r="O37" s="5">
        <f t="shared" si="2"/>
        <v>2.6493542860423103E-2</v>
      </c>
      <c r="P37">
        <f t="shared" si="10"/>
        <v>10000</v>
      </c>
      <c r="Q37">
        <f t="shared" si="3"/>
        <v>264.93542860423105</v>
      </c>
    </row>
    <row r="38" spans="1:17" x14ac:dyDescent="0.15">
      <c r="A38" s="10">
        <v>45865.569444444962</v>
      </c>
      <c r="B38">
        <f>COUNT(A38:$A$1158)/(48*252)</f>
        <v>9.2675264550264549E-2</v>
      </c>
      <c r="C38">
        <v>2.2200000000000002</v>
      </c>
      <c r="D38">
        <v>0.11</v>
      </c>
      <c r="E38">
        <f t="shared" si="0"/>
        <v>1.1437783146950016</v>
      </c>
      <c r="F38">
        <f t="shared" si="1"/>
        <v>-0.12635779264112534</v>
      </c>
      <c r="G38">
        <f t="shared" si="4"/>
        <v>0</v>
      </c>
      <c r="H38">
        <f>IF(MOD(COUNTA($C$7:C38)-1,$J$2),H37,ROUND(F38*P38,-2))</f>
        <v>-1300</v>
      </c>
      <c r="I38">
        <f t="shared" si="5"/>
        <v>0</v>
      </c>
      <c r="J38">
        <f t="shared" si="6"/>
        <v>0</v>
      </c>
      <c r="K38">
        <f t="shared" si="7"/>
        <v>3159.5110140978691</v>
      </c>
      <c r="L38">
        <f t="shared" si="8"/>
        <v>273.51101409786861</v>
      </c>
      <c r="M38">
        <f t="shared" si="9"/>
        <v>0</v>
      </c>
      <c r="N38">
        <f t="shared" si="11"/>
        <v>273.51101409786861</v>
      </c>
      <c r="O38" s="5">
        <f t="shared" si="2"/>
        <v>2.6458309492034982E-2</v>
      </c>
      <c r="P38">
        <f t="shared" si="10"/>
        <v>10000</v>
      </c>
      <c r="Q38">
        <f t="shared" si="3"/>
        <v>264.58309492034982</v>
      </c>
    </row>
    <row r="39" spans="1:17" x14ac:dyDescent="0.15">
      <c r="A39" s="10">
        <v>45865.572916666977</v>
      </c>
      <c r="B39">
        <f>COUNT(A39:$A$1158)/(48*252)</f>
        <v>9.2592592592592587E-2</v>
      </c>
      <c r="C39">
        <v>2.2210000000000001</v>
      </c>
      <c r="D39">
        <v>0.111</v>
      </c>
      <c r="E39">
        <f t="shared" si="0"/>
        <v>1.1467671849282324</v>
      </c>
      <c r="F39">
        <f t="shared" si="1"/>
        <v>-0.12573892743168114</v>
      </c>
      <c r="G39">
        <f t="shared" si="4"/>
        <v>9.9999999999988987E-4</v>
      </c>
      <c r="H39">
        <f>IF(MOD(COUNTA($C$7:C39)-1,$J$2),H38,ROUND(F39*P39,-2))</f>
        <v>-1300</v>
      </c>
      <c r="I39">
        <f t="shared" si="5"/>
        <v>0</v>
      </c>
      <c r="J39">
        <f t="shared" si="6"/>
        <v>0</v>
      </c>
      <c r="K39">
        <f t="shared" si="7"/>
        <v>3159.5110140978691</v>
      </c>
      <c r="L39">
        <f t="shared" si="8"/>
        <v>272.21101409786888</v>
      </c>
      <c r="M39">
        <f t="shared" si="9"/>
        <v>-1.2999999999997272</v>
      </c>
      <c r="N39">
        <f t="shared" si="11"/>
        <v>272.21101409786888</v>
      </c>
      <c r="O39" s="5">
        <f t="shared" si="2"/>
        <v>2.6297071849959441E-2</v>
      </c>
      <c r="P39">
        <f t="shared" si="10"/>
        <v>10000</v>
      </c>
      <c r="Q39">
        <f t="shared" si="3"/>
        <v>262.9707184995944</v>
      </c>
    </row>
    <row r="40" spans="1:17" x14ac:dyDescent="0.15">
      <c r="A40" s="10">
        <v>45865.576388888992</v>
      </c>
      <c r="B40">
        <f>COUNT(A40:$A$1158)/(48*252)</f>
        <v>9.2509920634920639E-2</v>
      </c>
      <c r="C40">
        <v>2.218</v>
      </c>
      <c r="D40">
        <v>0.108</v>
      </c>
      <c r="E40">
        <f t="shared" si="0"/>
        <v>1.1394679501907097</v>
      </c>
      <c r="F40">
        <f t="shared" si="1"/>
        <v>-0.1272540142956039</v>
      </c>
      <c r="G40">
        <f t="shared" si="4"/>
        <v>-3.0000000000001137E-3</v>
      </c>
      <c r="H40">
        <f>IF(MOD(COUNTA($C$7:C40)-1,$J$2),H39,ROUND(F40*P40,-2))</f>
        <v>-1300</v>
      </c>
      <c r="I40">
        <f t="shared" si="5"/>
        <v>0</v>
      </c>
      <c r="J40">
        <f t="shared" si="6"/>
        <v>0</v>
      </c>
      <c r="K40">
        <f t="shared" si="7"/>
        <v>3159.5110140978691</v>
      </c>
      <c r="L40">
        <f>K40+H40*C40</f>
        <v>276.11101409786897</v>
      </c>
      <c r="M40">
        <f t="shared" si="9"/>
        <v>3.9000000000000909</v>
      </c>
      <c r="N40">
        <f t="shared" si="11"/>
        <v>276.11101409786897</v>
      </c>
      <c r="O40" s="5">
        <f t="shared" si="2"/>
        <v>2.6641281624605162E-2</v>
      </c>
      <c r="P40">
        <f t="shared" si="10"/>
        <v>10000</v>
      </c>
      <c r="Q40">
        <f t="shared" si="3"/>
        <v>266.41281624605165</v>
      </c>
    </row>
    <row r="41" spans="1:17" x14ac:dyDescent="0.15">
      <c r="A41" s="10">
        <v>45865.579861111008</v>
      </c>
      <c r="B41">
        <f>COUNT(A41:$A$1158)/(48*252)</f>
        <v>9.2427248677248677E-2</v>
      </c>
      <c r="C41">
        <v>2.2160000000000002</v>
      </c>
      <c r="D41">
        <v>0.108</v>
      </c>
      <c r="E41">
        <f t="shared" si="0"/>
        <v>1.1347308031193117</v>
      </c>
      <c r="F41">
        <f t="shared" si="1"/>
        <v>-0.12824406345155337</v>
      </c>
      <c r="G41">
        <f t="shared" si="4"/>
        <v>-1.9999999999997797E-3</v>
      </c>
      <c r="H41">
        <f>IF(MOD(COUNTA($C$7:C41)-1,$J$2),H40,ROUND(F41*P41,-2))</f>
        <v>-1300</v>
      </c>
      <c r="I41">
        <f t="shared" si="5"/>
        <v>0</v>
      </c>
      <c r="J41">
        <f t="shared" si="6"/>
        <v>0</v>
      </c>
      <c r="K41">
        <f t="shared" si="7"/>
        <v>3159.5110140978691</v>
      </c>
      <c r="L41">
        <f t="shared" si="8"/>
        <v>278.71101409786888</v>
      </c>
      <c r="M41">
        <f t="shared" si="9"/>
        <v>2.5999999999999091</v>
      </c>
      <c r="N41">
        <f t="shared" si="11"/>
        <v>278.71101409786888</v>
      </c>
      <c r="O41" s="5">
        <f t="shared" si="2"/>
        <v>2.6861286235292992E-2</v>
      </c>
      <c r="P41">
        <f t="shared" si="10"/>
        <v>10000</v>
      </c>
      <c r="Q41">
        <f t="shared" si="3"/>
        <v>268.61286235292994</v>
      </c>
    </row>
    <row r="42" spans="1:17" x14ac:dyDescent="0.15">
      <c r="A42" s="10">
        <v>45865.583333333023</v>
      </c>
      <c r="B42">
        <f>COUNT(A42:$A$1158)/(48*252)</f>
        <v>9.2344576719576715E-2</v>
      </c>
      <c r="C42">
        <v>2.2069999999999999</v>
      </c>
      <c r="D42">
        <v>0.104</v>
      </c>
      <c r="E42">
        <f t="shared" si="0"/>
        <v>1.1118841755812821</v>
      </c>
      <c r="F42">
        <f t="shared" si="1"/>
        <v>-0.13309397670008738</v>
      </c>
      <c r="G42">
        <f t="shared" si="4"/>
        <v>-9.0000000000003411E-3</v>
      </c>
      <c r="H42">
        <f>IF(MOD(COUNTA($C$7:C42)-1,$J$2),H41,ROUND(F42*P42,-2))</f>
        <v>-1300</v>
      </c>
      <c r="I42">
        <f t="shared" si="5"/>
        <v>0</v>
      </c>
      <c r="J42">
        <f t="shared" si="6"/>
        <v>0</v>
      </c>
      <c r="K42">
        <f t="shared" si="7"/>
        <v>3159.5110140978691</v>
      </c>
      <c r="L42">
        <f t="shared" si="8"/>
        <v>290.41101409786916</v>
      </c>
      <c r="M42">
        <f t="shared" si="9"/>
        <v>11.700000000000273</v>
      </c>
      <c r="N42">
        <f t="shared" si="11"/>
        <v>290.41101409786916</v>
      </c>
      <c r="O42" s="5">
        <f t="shared" si="2"/>
        <v>2.8001225112646411E-2</v>
      </c>
      <c r="P42">
        <f t="shared" si="10"/>
        <v>10000</v>
      </c>
      <c r="Q42">
        <f t="shared" si="3"/>
        <v>280.01225112646409</v>
      </c>
    </row>
    <row r="43" spans="1:17" x14ac:dyDescent="0.15">
      <c r="A43" s="10">
        <v>45865.586805555969</v>
      </c>
      <c r="B43">
        <f>COUNT(A43:$A$1158)/(48*252)</f>
        <v>9.2261904761904767E-2</v>
      </c>
      <c r="C43">
        <v>2.194</v>
      </c>
      <c r="D43">
        <v>9.7000000000000003E-2</v>
      </c>
      <c r="E43">
        <f t="shared" si="0"/>
        <v>1.0785059354839508</v>
      </c>
      <c r="F43">
        <f t="shared" si="1"/>
        <v>-0.1404040171884462</v>
      </c>
      <c r="G43">
        <f t="shared" si="4"/>
        <v>-1.2999999999999901E-2</v>
      </c>
      <c r="H43">
        <f>IF(MOD(COUNTA($C$7:C43)-1,$J$2),H42,ROUND(F43*P43,-2))</f>
        <v>-1400</v>
      </c>
      <c r="I43">
        <f t="shared" si="5"/>
        <v>-100</v>
      </c>
      <c r="J43">
        <f t="shared" si="6"/>
        <v>0</v>
      </c>
      <c r="K43">
        <f t="shared" si="7"/>
        <v>3378.9011410978692</v>
      </c>
      <c r="L43">
        <f t="shared" si="8"/>
        <v>307.30114109786928</v>
      </c>
      <c r="M43">
        <f t="shared" si="9"/>
        <v>16.89012700000012</v>
      </c>
      <c r="N43">
        <f t="shared" si="11"/>
        <v>307.30114109786928</v>
      </c>
      <c r="O43" s="5">
        <f t="shared" si="2"/>
        <v>2.974168871786631E-2</v>
      </c>
      <c r="P43">
        <f t="shared" si="10"/>
        <v>10000</v>
      </c>
      <c r="Q43">
        <f t="shared" si="3"/>
        <v>297.4168871786631</v>
      </c>
    </row>
    <row r="44" spans="1:17" x14ac:dyDescent="0.15">
      <c r="A44" s="10">
        <v>45865.590277777985</v>
      </c>
      <c r="B44">
        <f>COUNT(A44:$A$1158)/(48*252)</f>
        <v>9.2179232804232805E-2</v>
      </c>
      <c r="C44">
        <v>2.198</v>
      </c>
      <c r="D44">
        <v>0.10100000000000001</v>
      </c>
      <c r="E44">
        <f t="shared" si="0"/>
        <v>1.0893178361640545</v>
      </c>
      <c r="F44">
        <f t="shared" si="1"/>
        <v>-0.13800687500085707</v>
      </c>
      <c r="G44">
        <f t="shared" si="4"/>
        <v>4.0000000000000036E-3</v>
      </c>
      <c r="H44">
        <f>IF(MOD(COUNTA($C$7:C44)-1,$J$2),H43,ROUND(F44*P44,-2))</f>
        <v>-1400</v>
      </c>
      <c r="I44">
        <f t="shared" si="5"/>
        <v>0</v>
      </c>
      <c r="J44">
        <f t="shared" si="6"/>
        <v>0</v>
      </c>
      <c r="K44">
        <f t="shared" si="7"/>
        <v>3378.9011410978692</v>
      </c>
      <c r="L44">
        <f t="shared" si="8"/>
        <v>301.70114109786937</v>
      </c>
      <c r="M44">
        <f t="shared" si="9"/>
        <v>-5.5999999999999091</v>
      </c>
      <c r="N44">
        <f t="shared" si="11"/>
        <v>301.70114109786937</v>
      </c>
      <c r="O44" s="5">
        <f t="shared" si="2"/>
        <v>2.9147554046639212E-2</v>
      </c>
      <c r="P44">
        <f t="shared" si="10"/>
        <v>10000</v>
      </c>
      <c r="Q44">
        <f t="shared" si="3"/>
        <v>291.47554046639215</v>
      </c>
    </row>
    <row r="45" spans="1:17" x14ac:dyDescent="0.15">
      <c r="A45" s="10">
        <v>45865.59375</v>
      </c>
      <c r="B45">
        <f>COUNT(A45:$A$1158)/(48*252)</f>
        <v>9.2096560846560843E-2</v>
      </c>
      <c r="C45">
        <v>2.2010000000000001</v>
      </c>
      <c r="D45">
        <v>0.104</v>
      </c>
      <c r="E45">
        <f t="shared" si="0"/>
        <v>1.0975208083124306</v>
      </c>
      <c r="F45">
        <f t="shared" si="1"/>
        <v>-0.13620689482092663</v>
      </c>
      <c r="G45">
        <f t="shared" si="4"/>
        <v>3.0000000000001137E-3</v>
      </c>
      <c r="H45">
        <f>IF(MOD(COUNTA($C$7:C45)-1,$J$2),H44,ROUND(F45*P45,-2))</f>
        <v>-1400</v>
      </c>
      <c r="I45">
        <f t="shared" si="5"/>
        <v>0</v>
      </c>
      <c r="J45">
        <f t="shared" si="6"/>
        <v>0</v>
      </c>
      <c r="K45">
        <f t="shared" si="7"/>
        <v>3378.9011410978692</v>
      </c>
      <c r="L45">
        <f t="shared" si="8"/>
        <v>297.50114109786909</v>
      </c>
      <c r="M45">
        <f t="shared" si="9"/>
        <v>-4.2000000000002728</v>
      </c>
      <c r="N45">
        <f t="shared" si="11"/>
        <v>297.50114109786909</v>
      </c>
      <c r="O45" s="5">
        <f t="shared" si="2"/>
        <v>2.8699218835798124E-2</v>
      </c>
      <c r="P45">
        <f t="shared" si="10"/>
        <v>10000</v>
      </c>
      <c r="Q45">
        <f t="shared" si="3"/>
        <v>286.99218835798126</v>
      </c>
    </row>
    <row r="46" spans="1:17" x14ac:dyDescent="0.15">
      <c r="A46" s="10">
        <v>45865.597222222015</v>
      </c>
      <c r="B46">
        <f>COUNT(A46:$A$1158)/(48*252)</f>
        <v>9.2013888888888895E-2</v>
      </c>
      <c r="C46">
        <v>2.2029999999999998</v>
      </c>
      <c r="D46">
        <v>0.105</v>
      </c>
      <c r="E46">
        <f t="shared" si="0"/>
        <v>1.1031220302215381</v>
      </c>
      <c r="F46">
        <f t="shared" si="1"/>
        <v>-0.13498708751368871</v>
      </c>
      <c r="G46">
        <f t="shared" si="4"/>
        <v>1.9999999999997797E-3</v>
      </c>
      <c r="H46">
        <f>IF(MOD(COUNTA($C$7:C46)-1,$J$2),H45,ROUND(F46*P46,-2))</f>
        <v>-1400</v>
      </c>
      <c r="I46">
        <f t="shared" si="5"/>
        <v>0</v>
      </c>
      <c r="J46">
        <f t="shared" si="6"/>
        <v>0</v>
      </c>
      <c r="K46">
        <f t="shared" si="7"/>
        <v>3378.9011410978692</v>
      </c>
      <c r="L46">
        <f t="shared" si="8"/>
        <v>294.70114109786937</v>
      </c>
      <c r="M46">
        <f t="shared" si="9"/>
        <v>-2.7999999999997272</v>
      </c>
      <c r="N46">
        <f t="shared" si="11"/>
        <v>294.70114109786937</v>
      </c>
      <c r="O46" s="5">
        <f t="shared" si="2"/>
        <v>2.8391224792696568E-2</v>
      </c>
      <c r="P46">
        <f t="shared" si="10"/>
        <v>10000</v>
      </c>
      <c r="Q46">
        <f t="shared" si="3"/>
        <v>283.91224792696568</v>
      </c>
    </row>
    <row r="47" spans="1:17" x14ac:dyDescent="0.15">
      <c r="A47" s="10">
        <v>45865.600694444962</v>
      </c>
      <c r="B47">
        <f>COUNT(A47:$A$1158)/(48*252)</f>
        <v>9.1931216931216933E-2</v>
      </c>
      <c r="C47">
        <v>2.1960000000000002</v>
      </c>
      <c r="D47">
        <v>0.1</v>
      </c>
      <c r="E47">
        <f t="shared" si="0"/>
        <v>1.0852930417458906</v>
      </c>
      <c r="F47">
        <f t="shared" si="1"/>
        <v>-0.13889594337452549</v>
      </c>
      <c r="G47">
        <f t="shared" si="4"/>
        <v>-6.9999999999996732E-3</v>
      </c>
      <c r="H47">
        <f>IF(MOD(COUNTA($C$7:C47)-1,$J$2),H46,ROUND(F47*P47,-2))</f>
        <v>-1400</v>
      </c>
      <c r="I47">
        <f t="shared" si="5"/>
        <v>0</v>
      </c>
      <c r="J47">
        <f t="shared" si="6"/>
        <v>0</v>
      </c>
      <c r="K47">
        <f t="shared" si="7"/>
        <v>3378.9011410978692</v>
      </c>
      <c r="L47">
        <f t="shared" si="8"/>
        <v>304.50114109786909</v>
      </c>
      <c r="M47">
        <f t="shared" si="9"/>
        <v>9.7999999999997272</v>
      </c>
      <c r="N47">
        <f t="shared" si="11"/>
        <v>304.50114109786909</v>
      </c>
      <c r="O47" s="5">
        <f t="shared" si="2"/>
        <v>2.9312740525833492E-2</v>
      </c>
      <c r="P47">
        <f t="shared" si="10"/>
        <v>10000</v>
      </c>
      <c r="Q47">
        <f t="shared" si="3"/>
        <v>293.12740525833493</v>
      </c>
    </row>
    <row r="48" spans="1:17" x14ac:dyDescent="0.15">
      <c r="A48" s="10">
        <v>45865.604166666977</v>
      </c>
      <c r="B48">
        <f>COUNT(A48:$A$1158)/(48*252)</f>
        <v>9.1848544973544971E-2</v>
      </c>
      <c r="C48">
        <v>2.2000000000000002</v>
      </c>
      <c r="D48">
        <v>0.10299999999999999</v>
      </c>
      <c r="E48">
        <f t="shared" si="0"/>
        <v>1.0961188136815556</v>
      </c>
      <c r="F48">
        <f t="shared" si="1"/>
        <v>-0.13651339117884453</v>
      </c>
      <c r="G48">
        <f t="shared" si="4"/>
        <v>4.0000000000000036E-3</v>
      </c>
      <c r="H48">
        <f>IF(MOD(COUNTA($C$7:C48)-1,$J$2),H47,ROUND(F48*P48,-2))</f>
        <v>-1400</v>
      </c>
      <c r="I48">
        <f t="shared" si="5"/>
        <v>0</v>
      </c>
      <c r="J48">
        <f t="shared" si="6"/>
        <v>0</v>
      </c>
      <c r="K48">
        <f t="shared" si="7"/>
        <v>3378.9011410978692</v>
      </c>
      <c r="L48">
        <f t="shared" si="8"/>
        <v>298.90114109786873</v>
      </c>
      <c r="M48">
        <f t="shared" si="9"/>
        <v>-5.6000000000003638</v>
      </c>
      <c r="N48">
        <f t="shared" si="11"/>
        <v>298.90114109786873</v>
      </c>
      <c r="O48" s="5">
        <f t="shared" si="2"/>
        <v>2.8724778597863709E-2</v>
      </c>
      <c r="P48">
        <f t="shared" si="10"/>
        <v>10000</v>
      </c>
      <c r="Q48">
        <f t="shared" si="3"/>
        <v>287.24778597863707</v>
      </c>
    </row>
    <row r="49" spans="1:17" x14ac:dyDescent="0.15">
      <c r="A49" s="10">
        <v>45865.607638888992</v>
      </c>
      <c r="B49">
        <f>COUNT(A49:$A$1158)/(48*252)</f>
        <v>9.1765873015873009E-2</v>
      </c>
      <c r="C49">
        <v>2.2000000000000002</v>
      </c>
      <c r="D49">
        <v>0.104</v>
      </c>
      <c r="E49">
        <f t="shared" si="0"/>
        <v>1.0965196703497273</v>
      </c>
      <c r="F49">
        <f t="shared" si="1"/>
        <v>-0.13642570998356762</v>
      </c>
      <c r="G49">
        <f t="shared" si="4"/>
        <v>0</v>
      </c>
      <c r="H49">
        <f>IF(MOD(COUNTA($C$7:C49)-1,$J$2),H48,ROUND(F49*P49,-2))</f>
        <v>-1400</v>
      </c>
      <c r="I49">
        <f t="shared" si="5"/>
        <v>0</v>
      </c>
      <c r="J49">
        <f t="shared" si="6"/>
        <v>0</v>
      </c>
      <c r="K49">
        <f t="shared" si="7"/>
        <v>3378.9011410978692</v>
      </c>
      <c r="L49">
        <f t="shared" si="8"/>
        <v>298.90114109786873</v>
      </c>
      <c r="M49">
        <f t="shared" si="9"/>
        <v>0</v>
      </c>
      <c r="N49">
        <f t="shared" si="11"/>
        <v>298.90114109786873</v>
      </c>
      <c r="O49" s="5">
        <f t="shared" si="2"/>
        <v>2.8687799449364726E-2</v>
      </c>
      <c r="P49">
        <f t="shared" si="10"/>
        <v>10000</v>
      </c>
      <c r="Q49">
        <f t="shared" si="3"/>
        <v>286.87799449364724</v>
      </c>
    </row>
    <row r="50" spans="1:17" x14ac:dyDescent="0.15">
      <c r="A50" s="10">
        <v>45865.611111111008</v>
      </c>
      <c r="B50">
        <f>COUNT(A50:$A$1158)/(48*252)</f>
        <v>9.1683201058201061E-2</v>
      </c>
      <c r="C50">
        <v>2.214</v>
      </c>
      <c r="D50">
        <v>0.109</v>
      </c>
      <c r="E50">
        <f t="shared" si="0"/>
        <v>1.1333107843328376</v>
      </c>
      <c r="F50">
        <f t="shared" si="1"/>
        <v>-0.12854188226437979</v>
      </c>
      <c r="G50">
        <f t="shared" si="4"/>
        <v>1.399999999999979E-2</v>
      </c>
      <c r="H50">
        <f>IF(MOD(COUNTA($C$7:C50)-1,$J$2),H49,ROUND(F50*P50,-2))</f>
        <v>-1400</v>
      </c>
      <c r="I50">
        <f t="shared" si="5"/>
        <v>0</v>
      </c>
      <c r="J50">
        <f t="shared" si="6"/>
        <v>0</v>
      </c>
      <c r="K50">
        <f t="shared" si="7"/>
        <v>3378.9011410978692</v>
      </c>
      <c r="L50">
        <f t="shared" si="8"/>
        <v>279.30114109786928</v>
      </c>
      <c r="M50">
        <f t="shared" si="9"/>
        <v>-19.599999999999454</v>
      </c>
      <c r="N50">
        <f t="shared" si="11"/>
        <v>279.30114109786928</v>
      </c>
      <c r="O50" s="5">
        <f t="shared" si="2"/>
        <v>2.6797087325813485E-2</v>
      </c>
      <c r="P50">
        <f t="shared" si="10"/>
        <v>10000</v>
      </c>
      <c r="Q50">
        <f t="shared" si="3"/>
        <v>267.97087325813487</v>
      </c>
    </row>
    <row r="51" spans="1:17" x14ac:dyDescent="0.15">
      <c r="A51" s="10">
        <v>45865.614583333023</v>
      </c>
      <c r="B51">
        <f>COUNT(A51:$A$1158)/(48*252)</f>
        <v>9.1600529100529099E-2</v>
      </c>
      <c r="C51">
        <v>2.21</v>
      </c>
      <c r="D51">
        <v>0.105</v>
      </c>
      <c r="E51">
        <f t="shared" si="0"/>
        <v>1.1233510314786712</v>
      </c>
      <c r="F51">
        <f t="shared" si="1"/>
        <v>-0.13064421916169711</v>
      </c>
      <c r="G51">
        <f t="shared" si="4"/>
        <v>-4.0000000000000036E-3</v>
      </c>
      <c r="H51">
        <f>IF(MOD(COUNTA($C$7:C51)-1,$J$2),H50,ROUND(F51*P51,-2))</f>
        <v>-1300</v>
      </c>
      <c r="I51">
        <f t="shared" si="5"/>
        <v>100</v>
      </c>
      <c r="J51">
        <f t="shared" si="6"/>
        <v>0</v>
      </c>
      <c r="K51">
        <f t="shared" si="7"/>
        <v>3157.8911960978694</v>
      </c>
      <c r="L51">
        <f t="shared" si="8"/>
        <v>284.8911960978694</v>
      </c>
      <c r="M51">
        <f t="shared" si="9"/>
        <v>5.5900550000001203</v>
      </c>
      <c r="N51">
        <f t="shared" si="11"/>
        <v>284.8911960978694</v>
      </c>
      <c r="O51" s="5">
        <f t="shared" si="2"/>
        <v>2.727952294684427E-2</v>
      </c>
      <c r="P51">
        <f t="shared" si="10"/>
        <v>10000</v>
      </c>
      <c r="Q51">
        <f t="shared" si="3"/>
        <v>272.7952294684427</v>
      </c>
    </row>
    <row r="52" spans="1:17" x14ac:dyDescent="0.15">
      <c r="A52" s="10">
        <v>45865.618055555969</v>
      </c>
      <c r="B52">
        <f>COUNT(A52:$A$1158)/(48*252)</f>
        <v>9.1517857142857137E-2</v>
      </c>
      <c r="C52">
        <v>2.1989999999999998</v>
      </c>
      <c r="D52">
        <v>9.8000000000000004E-2</v>
      </c>
      <c r="E52">
        <f t="shared" si="0"/>
        <v>1.0951152772319082</v>
      </c>
      <c r="F52">
        <f t="shared" si="1"/>
        <v>-0.13673306825011922</v>
      </c>
      <c r="G52">
        <f t="shared" si="4"/>
        <v>-1.1000000000000121E-2</v>
      </c>
      <c r="H52">
        <f>IF(MOD(COUNTA($C$7:C52)-1,$J$2),H51,ROUND(F52*P52,-2))</f>
        <v>-1300</v>
      </c>
      <c r="I52">
        <f t="shared" si="5"/>
        <v>0</v>
      </c>
      <c r="J52">
        <f t="shared" si="6"/>
        <v>0</v>
      </c>
      <c r="K52">
        <f t="shared" si="7"/>
        <v>3157.8911960978694</v>
      </c>
      <c r="L52">
        <f t="shared" si="8"/>
        <v>299.19119609786958</v>
      </c>
      <c r="M52">
        <f t="shared" si="9"/>
        <v>14.300000000000182</v>
      </c>
      <c r="N52">
        <f t="shared" si="11"/>
        <v>299.19119609786958</v>
      </c>
      <c r="O52" s="5">
        <f t="shared" si="2"/>
        <v>2.8713303681555058E-2</v>
      </c>
      <c r="P52">
        <f t="shared" si="10"/>
        <v>10000</v>
      </c>
      <c r="Q52">
        <f t="shared" si="3"/>
        <v>287.13303681555055</v>
      </c>
    </row>
    <row r="53" spans="1:17" x14ac:dyDescent="0.15">
      <c r="A53" s="10">
        <v>45865.621527777985</v>
      </c>
      <c r="B53">
        <f>COUNT(A53:$A$1158)/(48*252)</f>
        <v>9.1435185185185189E-2</v>
      </c>
      <c r="C53">
        <v>2.2010000000000001</v>
      </c>
      <c r="D53">
        <v>0.10100000000000001</v>
      </c>
      <c r="E53">
        <f t="shared" si="0"/>
        <v>1.1007394140685036</v>
      </c>
      <c r="F53">
        <f t="shared" si="1"/>
        <v>-0.13550504348759851</v>
      </c>
      <c r="G53">
        <f t="shared" si="4"/>
        <v>2.0000000000002238E-3</v>
      </c>
      <c r="H53">
        <f>IF(MOD(COUNTA($C$7:C53)-1,$J$2),H52,ROUND(F53*P53,-2))</f>
        <v>-1400</v>
      </c>
      <c r="I53">
        <f t="shared" si="5"/>
        <v>-100</v>
      </c>
      <c r="J53">
        <f t="shared" si="6"/>
        <v>0</v>
      </c>
      <c r="K53">
        <f t="shared" si="7"/>
        <v>3377.9812915978691</v>
      </c>
      <c r="L53">
        <f t="shared" si="8"/>
        <v>296.58129159786904</v>
      </c>
      <c r="M53">
        <f t="shared" si="9"/>
        <v>-2.609904500000539</v>
      </c>
      <c r="N53">
        <f t="shared" si="11"/>
        <v>296.58129159786904</v>
      </c>
      <c r="O53" s="5">
        <f t="shared" si="2"/>
        <v>2.8404083886114817E-2</v>
      </c>
      <c r="P53">
        <f t="shared" si="10"/>
        <v>10000</v>
      </c>
      <c r="Q53">
        <f t="shared" si="3"/>
        <v>284.04083886114819</v>
      </c>
    </row>
    <row r="54" spans="1:17" x14ac:dyDescent="0.15">
      <c r="A54" s="10">
        <v>45865.625</v>
      </c>
      <c r="B54">
        <f>COUNT(A54:$A$1158)/(48*252)</f>
        <v>9.1352513227513227E-2</v>
      </c>
      <c r="C54">
        <v>2.198</v>
      </c>
      <c r="D54">
        <v>0.10100000000000001</v>
      </c>
      <c r="E54">
        <f t="shared" si="0"/>
        <v>1.093305884027556</v>
      </c>
      <c r="F54">
        <f t="shared" si="1"/>
        <v>-0.13712976015381106</v>
      </c>
      <c r="G54">
        <f t="shared" si="4"/>
        <v>-3.0000000000001137E-3</v>
      </c>
      <c r="H54">
        <f>IF(MOD(COUNTA($C$7:C54)-1,$J$2),H53,ROUND(F54*P54,-2))</f>
        <v>-1400</v>
      </c>
      <c r="I54">
        <f t="shared" si="5"/>
        <v>0</v>
      </c>
      <c r="J54">
        <f t="shared" si="6"/>
        <v>0</v>
      </c>
      <c r="K54">
        <f t="shared" si="7"/>
        <v>3377.9812915978691</v>
      </c>
      <c r="L54">
        <f t="shared" si="8"/>
        <v>300.78129159786931</v>
      </c>
      <c r="M54">
        <f t="shared" si="9"/>
        <v>4.2000000000002728</v>
      </c>
      <c r="N54">
        <f t="shared" si="11"/>
        <v>300.78129159786931</v>
      </c>
      <c r="O54" s="5">
        <f t="shared" si="2"/>
        <v>2.877600390139623E-2</v>
      </c>
      <c r="P54">
        <f t="shared" si="10"/>
        <v>10000</v>
      </c>
      <c r="Q54">
        <f t="shared" si="3"/>
        <v>287.76003901396228</v>
      </c>
    </row>
    <row r="55" spans="1:17" x14ac:dyDescent="0.15">
      <c r="A55" s="10">
        <v>45868.399305555969</v>
      </c>
      <c r="B55">
        <f>COUNT(A55:$A$1158)/(48*252)</f>
        <v>9.1269841269841265E-2</v>
      </c>
      <c r="C55">
        <v>2.1850000000000001</v>
      </c>
      <c r="D55">
        <v>9.5000000000000001E-2</v>
      </c>
      <c r="E55">
        <f t="shared" si="0"/>
        <v>1.059601536278997</v>
      </c>
      <c r="F55">
        <f t="shared" si="1"/>
        <v>-0.14466295720190936</v>
      </c>
      <c r="G55">
        <f t="shared" si="4"/>
        <v>-1.2999999999999901E-2</v>
      </c>
      <c r="H55">
        <f>IF(MOD(COUNTA($C$7:C55)-1,$J$2),H54,ROUND(F55*P55,-2))</f>
        <v>-1400</v>
      </c>
      <c r="I55">
        <f t="shared" si="5"/>
        <v>0</v>
      </c>
      <c r="J55">
        <f t="shared" si="6"/>
        <v>0</v>
      </c>
      <c r="K55">
        <f t="shared" si="7"/>
        <v>3377.9812915978691</v>
      </c>
      <c r="L55">
        <f t="shared" si="8"/>
        <v>318.98129159786913</v>
      </c>
      <c r="M55">
        <f t="shared" si="9"/>
        <v>18.199999999999818</v>
      </c>
      <c r="N55">
        <f t="shared" si="11"/>
        <v>318.98129159786913</v>
      </c>
      <c r="O55" s="5">
        <f t="shared" si="2"/>
        <v>3.056956990781029E-2</v>
      </c>
      <c r="P55">
        <f t="shared" si="10"/>
        <v>10000</v>
      </c>
      <c r="Q55">
        <f t="shared" si="3"/>
        <v>305.6956990781029</v>
      </c>
    </row>
    <row r="56" spans="1:17" x14ac:dyDescent="0.15">
      <c r="A56" s="10">
        <v>45868.402777777985</v>
      </c>
      <c r="B56">
        <f>COUNT(A56:$A$1158)/(48*252)</f>
        <v>9.1187169312169317E-2</v>
      </c>
      <c r="C56">
        <v>2.19</v>
      </c>
      <c r="D56">
        <v>9.6000000000000002E-2</v>
      </c>
      <c r="E56">
        <f t="shared" si="0"/>
        <v>1.0731364224405864</v>
      </c>
      <c r="F56">
        <f t="shared" si="1"/>
        <v>-0.14160495561678776</v>
      </c>
      <c r="G56">
        <f t="shared" si="4"/>
        <v>4.9999999999998934E-3</v>
      </c>
      <c r="H56">
        <f>IF(MOD(COUNTA($C$7:C56)-1,$J$2),H55,ROUND(F56*P56,-2))</f>
        <v>-1400</v>
      </c>
      <c r="I56">
        <f t="shared" si="5"/>
        <v>0</v>
      </c>
      <c r="J56">
        <f t="shared" si="6"/>
        <v>0</v>
      </c>
      <c r="K56">
        <f t="shared" si="7"/>
        <v>3377.9812915978691</v>
      </c>
      <c r="L56">
        <f>K56+H56*C56</f>
        <v>311.98129159786913</v>
      </c>
      <c r="M56">
        <f t="shared" si="9"/>
        <v>-7</v>
      </c>
      <c r="N56">
        <f t="shared" si="11"/>
        <v>311.98129159786913</v>
      </c>
      <c r="O56" s="5">
        <f t="shared" si="2"/>
        <v>2.9815831555549677E-2</v>
      </c>
      <c r="P56">
        <f t="shared" si="10"/>
        <v>10000</v>
      </c>
      <c r="Q56">
        <f t="shared" si="3"/>
        <v>298.15831555549676</v>
      </c>
    </row>
    <row r="57" spans="1:17" x14ac:dyDescent="0.15">
      <c r="A57" s="10">
        <v>45868.40625</v>
      </c>
      <c r="B57">
        <f>COUNT(A57:$A$1158)/(48*252)</f>
        <v>9.1104497354497355E-2</v>
      </c>
      <c r="C57">
        <v>2.1909999999999998</v>
      </c>
      <c r="D57">
        <v>9.6000000000000002E-2</v>
      </c>
      <c r="E57">
        <f t="shared" si="0"/>
        <v>1.0761572375103918</v>
      </c>
      <c r="F57">
        <f t="shared" si="1"/>
        <v>-0.14092847040620238</v>
      </c>
      <c r="G57">
        <f t="shared" si="4"/>
        <v>9.9999999999988987E-4</v>
      </c>
      <c r="H57">
        <f>IF(MOD(COUNTA($C$7:C57)-1,$J$2),H56,ROUND(F57*P57,-2))</f>
        <v>-1400</v>
      </c>
      <c r="I57">
        <f t="shared" si="5"/>
        <v>0</v>
      </c>
      <c r="J57">
        <f t="shared" si="6"/>
        <v>0</v>
      </c>
      <c r="K57">
        <f t="shared" si="7"/>
        <v>3377.9812915978691</v>
      </c>
      <c r="L57">
        <f>K57+H57*C57</f>
        <v>310.58129159786949</v>
      </c>
      <c r="M57">
        <f t="shared" si="9"/>
        <v>-1.3999999999996362</v>
      </c>
      <c r="N57">
        <f t="shared" si="11"/>
        <v>310.58129159786949</v>
      </c>
      <c r="O57" s="5">
        <f t="shared" si="2"/>
        <v>2.9636739112990029E-2</v>
      </c>
      <c r="P57">
        <f t="shared" si="10"/>
        <v>10000</v>
      </c>
      <c r="Q57">
        <f t="shared" si="3"/>
        <v>296.36739112990028</v>
      </c>
    </row>
    <row r="58" spans="1:17" x14ac:dyDescent="0.15">
      <c r="A58" s="10">
        <v>45868.409722222015</v>
      </c>
      <c r="B58">
        <f>COUNT(A58:$A$1158)/(48*252)</f>
        <v>9.1021825396825393E-2</v>
      </c>
      <c r="C58">
        <v>2.1869999999999998</v>
      </c>
      <c r="D58">
        <v>9.2999999999999999E-2</v>
      </c>
      <c r="E58">
        <f t="shared" si="0"/>
        <v>1.0660321606244356</v>
      </c>
      <c r="F58">
        <f t="shared" si="1"/>
        <v>-0.14320455202258964</v>
      </c>
      <c r="G58">
        <f t="shared" si="4"/>
        <v>-4.0000000000000036E-3</v>
      </c>
      <c r="H58">
        <f>IF(MOD(COUNTA($C$7:C58)-1,$J$2),H57,ROUND(F58*P58,-2))</f>
        <v>-1400</v>
      </c>
      <c r="I58">
        <f t="shared" si="5"/>
        <v>0</v>
      </c>
      <c r="J58">
        <f t="shared" si="6"/>
        <v>0</v>
      </c>
      <c r="K58">
        <f t="shared" si="7"/>
        <v>3377.9812915978691</v>
      </c>
      <c r="L58">
        <f t="shared" si="8"/>
        <v>316.1812915978694</v>
      </c>
      <c r="M58">
        <f t="shared" si="9"/>
        <v>5.5999999999999091</v>
      </c>
      <c r="N58">
        <f t="shared" si="11"/>
        <v>316.1812915978694</v>
      </c>
      <c r="O58" s="5">
        <f t="shared" si="2"/>
        <v>3.016703463282161E-2</v>
      </c>
      <c r="P58">
        <f t="shared" si="10"/>
        <v>10000</v>
      </c>
      <c r="Q58">
        <f t="shared" si="3"/>
        <v>301.67034632821611</v>
      </c>
    </row>
    <row r="59" spans="1:17" x14ac:dyDescent="0.15">
      <c r="A59" s="10">
        <v>45868.413194444962</v>
      </c>
      <c r="B59">
        <f>COUNT(A59:$A$1158)/(48*252)</f>
        <v>9.0939153439153445E-2</v>
      </c>
      <c r="C59">
        <v>2.1949999999999998</v>
      </c>
      <c r="D59">
        <v>9.8000000000000004E-2</v>
      </c>
      <c r="E59">
        <f t="shared" si="0"/>
        <v>1.0874548268434865</v>
      </c>
      <c r="F59">
        <f t="shared" si="1"/>
        <v>-0.1384179260704792</v>
      </c>
      <c r="G59">
        <f t="shared" si="4"/>
        <v>8.0000000000000071E-3</v>
      </c>
      <c r="H59">
        <f>IF(MOD(COUNTA($C$7:C59)-1,$J$2),H58,ROUND(F59*P59,-2))</f>
        <v>-1400</v>
      </c>
      <c r="I59">
        <f t="shared" si="5"/>
        <v>0</v>
      </c>
      <c r="J59">
        <f t="shared" si="6"/>
        <v>0</v>
      </c>
      <c r="K59">
        <f t="shared" si="7"/>
        <v>3377.9812915978691</v>
      </c>
      <c r="L59">
        <f t="shared" si="8"/>
        <v>304.98129159786913</v>
      </c>
      <c r="M59">
        <f t="shared" si="9"/>
        <v>-11.200000000000273</v>
      </c>
      <c r="N59">
        <f t="shared" si="11"/>
        <v>304.98129159786913</v>
      </c>
      <c r="O59" s="5">
        <f t="shared" si="2"/>
        <v>2.9002841863608519E-2</v>
      </c>
      <c r="P59">
        <f t="shared" si="10"/>
        <v>10000</v>
      </c>
      <c r="Q59">
        <f t="shared" si="3"/>
        <v>290.02841863608518</v>
      </c>
    </row>
    <row r="60" spans="1:17" x14ac:dyDescent="0.15">
      <c r="A60" s="10">
        <v>45868.416666666977</v>
      </c>
      <c r="B60">
        <f>COUNT(A60:$A$1158)/(48*252)</f>
        <v>9.0856481481481483E-2</v>
      </c>
      <c r="C60">
        <v>2.1949999999999998</v>
      </c>
      <c r="D60">
        <v>9.5000000000000001E-2</v>
      </c>
      <c r="E60">
        <f t="shared" si="0"/>
        <v>1.0878562192147756</v>
      </c>
      <c r="F60">
        <f t="shared" si="1"/>
        <v>-0.13832929312527231</v>
      </c>
      <c r="G60">
        <f t="shared" si="4"/>
        <v>0</v>
      </c>
      <c r="H60">
        <f>IF(MOD(COUNTA($C$7:C60)-1,$J$2),H59,ROUND(F60*P60,-2))</f>
        <v>-1400</v>
      </c>
      <c r="I60">
        <f t="shared" si="5"/>
        <v>0</v>
      </c>
      <c r="J60">
        <f t="shared" si="6"/>
        <v>0</v>
      </c>
      <c r="K60">
        <f t="shared" si="7"/>
        <v>3377.9812915978691</v>
      </c>
      <c r="L60">
        <f t="shared" si="8"/>
        <v>304.98129159786913</v>
      </c>
      <c r="M60">
        <f t="shared" si="9"/>
        <v>0</v>
      </c>
      <c r="N60">
        <f t="shared" si="11"/>
        <v>304.98129159786913</v>
      </c>
      <c r="O60" s="5">
        <f t="shared" si="2"/>
        <v>2.8965409578800339E-2</v>
      </c>
      <c r="P60">
        <f t="shared" si="10"/>
        <v>10000</v>
      </c>
      <c r="Q60">
        <f t="shared" si="3"/>
        <v>289.65409578800336</v>
      </c>
    </row>
    <row r="61" spans="1:17" x14ac:dyDescent="0.15">
      <c r="A61" s="10">
        <v>45868.420138888992</v>
      </c>
      <c r="B61">
        <f>COUNT(A61:$A$1158)/(48*252)</f>
        <v>9.0773809523809521E-2</v>
      </c>
      <c r="C61">
        <v>2.2000000000000002</v>
      </c>
      <c r="D61">
        <v>9.7000000000000003E-2</v>
      </c>
      <c r="E61">
        <f t="shared" si="0"/>
        <v>1.1013758785769519</v>
      </c>
      <c r="F61">
        <f t="shared" si="1"/>
        <v>-0.13536654960494721</v>
      </c>
      <c r="G61">
        <f t="shared" si="4"/>
        <v>5.0000000000003375E-3</v>
      </c>
      <c r="H61">
        <f>IF(MOD(COUNTA($C$7:C61)-1,$J$2),H60,ROUND(F61*P61,-2))</f>
        <v>-1400</v>
      </c>
      <c r="I61">
        <f t="shared" si="5"/>
        <v>0</v>
      </c>
      <c r="J61">
        <f t="shared" si="6"/>
        <v>0</v>
      </c>
      <c r="K61">
        <f t="shared" si="7"/>
        <v>3377.9812915978691</v>
      </c>
      <c r="L61">
        <f t="shared" si="8"/>
        <v>297.98129159786868</v>
      </c>
      <c r="M61">
        <f t="shared" si="9"/>
        <v>-7.0000000000004547</v>
      </c>
      <c r="N61">
        <f t="shared" si="11"/>
        <v>297.98129159786868</v>
      </c>
      <c r="O61" s="5">
        <f t="shared" si="2"/>
        <v>2.8243978157651783E-2</v>
      </c>
      <c r="P61">
        <f t="shared" si="10"/>
        <v>10000</v>
      </c>
      <c r="Q61">
        <f t="shared" si="3"/>
        <v>282.43978157651782</v>
      </c>
    </row>
    <row r="62" spans="1:17" x14ac:dyDescent="0.15">
      <c r="A62" s="10">
        <v>45868.423611111008</v>
      </c>
      <c r="B62">
        <f>COUNT(A62:$A$1158)/(48*252)</f>
        <v>9.0691137566137572E-2</v>
      </c>
      <c r="C62">
        <v>2.1970000000000001</v>
      </c>
      <c r="D62">
        <v>9.5000000000000001E-2</v>
      </c>
      <c r="E62">
        <f t="shared" si="0"/>
        <v>1.093913822680707</v>
      </c>
      <c r="F62">
        <f t="shared" si="1"/>
        <v>-0.13699638789037549</v>
      </c>
      <c r="G62">
        <f t="shared" si="4"/>
        <v>-3.0000000000001137E-3</v>
      </c>
      <c r="H62">
        <f>IF(MOD(COUNTA($C$7:C62)-1,$J$2),H61,ROUND(F62*P62,-2))</f>
        <v>-1400</v>
      </c>
      <c r="I62">
        <f t="shared" si="5"/>
        <v>0</v>
      </c>
      <c r="J62">
        <f t="shared" si="6"/>
        <v>0</v>
      </c>
      <c r="K62">
        <f t="shared" si="7"/>
        <v>3377.9812915978691</v>
      </c>
      <c r="L62">
        <f t="shared" si="8"/>
        <v>302.18129159786895</v>
      </c>
      <c r="M62">
        <f t="shared" si="9"/>
        <v>4.2000000000002728</v>
      </c>
      <c r="N62">
        <f t="shared" si="11"/>
        <v>302.18129159786895</v>
      </c>
      <c r="O62" s="5">
        <f t="shared" si="2"/>
        <v>2.8615394372301983E-2</v>
      </c>
      <c r="P62">
        <f t="shared" si="10"/>
        <v>10000</v>
      </c>
      <c r="Q62">
        <f t="shared" si="3"/>
        <v>286.15394372301984</v>
      </c>
    </row>
    <row r="63" spans="1:17" x14ac:dyDescent="0.15">
      <c r="A63" s="10">
        <v>45868.427083333023</v>
      </c>
      <c r="B63">
        <f>COUNT(A63:$A$1158)/(48*252)</f>
        <v>9.060846560846561E-2</v>
      </c>
      <c r="C63">
        <v>2.1930000000000001</v>
      </c>
      <c r="D63">
        <v>9.4E-2</v>
      </c>
      <c r="E63">
        <f t="shared" si="0"/>
        <v>1.0838037138631762</v>
      </c>
      <c r="F63">
        <f t="shared" si="1"/>
        <v>-0.13922591910341242</v>
      </c>
      <c r="G63">
        <f t="shared" si="4"/>
        <v>-4.0000000000000036E-3</v>
      </c>
      <c r="H63">
        <f>IF(MOD(COUNTA($C$7:C63)-1,$J$2),H62,ROUND(F63*P63,-2))</f>
        <v>-1400</v>
      </c>
      <c r="I63">
        <f t="shared" si="5"/>
        <v>0</v>
      </c>
      <c r="J63">
        <f t="shared" si="6"/>
        <v>0</v>
      </c>
      <c r="K63">
        <f t="shared" si="7"/>
        <v>3377.9812915978691</v>
      </c>
      <c r="L63">
        <f t="shared" si="8"/>
        <v>307.78129159786886</v>
      </c>
      <c r="M63">
        <f t="shared" si="9"/>
        <v>5.5999999999999091</v>
      </c>
      <c r="N63">
        <f>L63-$F$1</f>
        <v>307.78129159786886</v>
      </c>
      <c r="O63" s="5">
        <f t="shared" si="2"/>
        <v>2.913039267957912E-2</v>
      </c>
      <c r="P63">
        <f t="shared" si="10"/>
        <v>10000</v>
      </c>
      <c r="Q63">
        <f t="shared" si="3"/>
        <v>291.3039267957912</v>
      </c>
    </row>
    <row r="64" spans="1:17" x14ac:dyDescent="0.15">
      <c r="A64" s="10">
        <v>45868.430555555969</v>
      </c>
      <c r="B64">
        <f>COUNT(A64:$A$1158)/(48*252)</f>
        <v>9.0525793650793648E-2</v>
      </c>
      <c r="C64">
        <v>2.19</v>
      </c>
      <c r="D64">
        <v>9.1999999999999998E-2</v>
      </c>
      <c r="E64">
        <f t="shared" si="0"/>
        <v>1.0763021198292004</v>
      </c>
      <c r="F64">
        <f t="shared" si="1"/>
        <v>-0.14089608045829838</v>
      </c>
      <c r="G64">
        <f t="shared" si="4"/>
        <v>-3.0000000000001137E-3</v>
      </c>
      <c r="H64">
        <f>IF(MOD(COUNTA($C$7:C64)-1,$J$2),H63,ROUND(F64*P64,-2))</f>
        <v>-1400</v>
      </c>
      <c r="I64">
        <f t="shared" si="5"/>
        <v>0</v>
      </c>
      <c r="J64">
        <f t="shared" si="6"/>
        <v>0</v>
      </c>
      <c r="K64">
        <f t="shared" si="7"/>
        <v>3377.9812915978691</v>
      </c>
      <c r="L64">
        <f t="shared" si="8"/>
        <v>311.98129159786913</v>
      </c>
      <c r="M64">
        <f t="shared" si="9"/>
        <v>4.2000000000002728</v>
      </c>
      <c r="N64">
        <f t="shared" si="11"/>
        <v>311.98129159786913</v>
      </c>
      <c r="O64" s="5">
        <f t="shared" si="2"/>
        <v>2.9512822623390944E-2</v>
      </c>
      <c r="P64">
        <f t="shared" si="10"/>
        <v>10000</v>
      </c>
      <c r="Q64">
        <f t="shared" si="3"/>
        <v>295.12822623390946</v>
      </c>
    </row>
    <row r="65" spans="1:17" x14ac:dyDescent="0.15">
      <c r="A65" s="10">
        <v>45868.434027777985</v>
      </c>
      <c r="B65">
        <f>COUNT(A65:$A$1158)/(48*252)</f>
        <v>9.0443121693121686E-2</v>
      </c>
      <c r="C65">
        <v>2.1960000000000002</v>
      </c>
      <c r="D65">
        <v>9.5000000000000001E-2</v>
      </c>
      <c r="E65">
        <f t="shared" si="0"/>
        <v>1.0925027888882841</v>
      </c>
      <c r="F65">
        <f t="shared" si="1"/>
        <v>-0.13730608265553645</v>
      </c>
      <c r="G65">
        <f t="shared" si="4"/>
        <v>6.0000000000002274E-3</v>
      </c>
      <c r="H65">
        <f>IF(MOD(COUNTA($C$7:C65)-1,$J$2),H64,ROUND(F65*P65,-2))</f>
        <v>-1400</v>
      </c>
      <c r="I65">
        <f t="shared" si="5"/>
        <v>0</v>
      </c>
      <c r="J65">
        <f t="shared" si="6"/>
        <v>0</v>
      </c>
      <c r="K65">
        <f t="shared" si="7"/>
        <v>3377.9812915978691</v>
      </c>
      <c r="L65">
        <f>K65+H65*C65</f>
        <v>303.58129159786904</v>
      </c>
      <c r="M65">
        <f t="shared" si="9"/>
        <v>-8.4000000000000909</v>
      </c>
      <c r="N65">
        <f t="shared" si="11"/>
        <v>303.58129159786904</v>
      </c>
      <c r="O65" s="5">
        <f t="shared" si="2"/>
        <v>2.8640634235226892E-2</v>
      </c>
      <c r="P65">
        <f t="shared" si="10"/>
        <v>10000</v>
      </c>
      <c r="Q65">
        <f t="shared" si="3"/>
        <v>286.40634235226889</v>
      </c>
    </row>
    <row r="66" spans="1:17" x14ac:dyDescent="0.15">
      <c r="A66" s="10">
        <v>45868.4375</v>
      </c>
      <c r="B66">
        <f>COUNT(A66:$A$1158)/(48*252)</f>
        <v>9.0360449735449738E-2</v>
      </c>
      <c r="C66">
        <v>2.1970000000000001</v>
      </c>
      <c r="D66">
        <v>9.5000000000000001E-2</v>
      </c>
      <c r="E66">
        <f t="shared" si="0"/>
        <v>1.0955396742841312</v>
      </c>
      <c r="F66">
        <f t="shared" si="1"/>
        <v>-0.1366401370171052</v>
      </c>
      <c r="G66">
        <f t="shared" si="4"/>
        <v>9.9999999999988987E-4</v>
      </c>
      <c r="H66">
        <f>IF(MOD(COUNTA($C$7:C66)-1,$J$2),H65,ROUND(F66*P66,-2))</f>
        <v>-1400</v>
      </c>
      <c r="I66">
        <f t="shared" si="5"/>
        <v>0</v>
      </c>
      <c r="J66">
        <f t="shared" si="6"/>
        <v>0</v>
      </c>
      <c r="K66">
        <f t="shared" si="7"/>
        <v>3377.9812915978691</v>
      </c>
      <c r="L66">
        <f t="shared" si="8"/>
        <v>302.18129159786895</v>
      </c>
      <c r="M66">
        <f t="shared" si="9"/>
        <v>-1.4000000000000909</v>
      </c>
      <c r="N66">
        <f t="shared" si="11"/>
        <v>302.18129159786895</v>
      </c>
      <c r="O66" s="5">
        <f t="shared" si="2"/>
        <v>2.8466355423219902E-2</v>
      </c>
      <c r="P66">
        <f t="shared" si="10"/>
        <v>10000</v>
      </c>
      <c r="Q66">
        <f t="shared" si="3"/>
        <v>284.66355423219903</v>
      </c>
    </row>
    <row r="67" spans="1:17" x14ac:dyDescent="0.15">
      <c r="A67" s="10">
        <v>45868.440972222015</v>
      </c>
      <c r="B67">
        <f>COUNT(A67:$A$1158)/(48*252)</f>
        <v>9.0277777777777776E-2</v>
      </c>
      <c r="C67">
        <v>2.1920000000000002</v>
      </c>
      <c r="D67">
        <v>9.2999999999999999E-2</v>
      </c>
      <c r="E67">
        <f t="shared" si="0"/>
        <v>1.0827759929901002</v>
      </c>
      <c r="F67">
        <f t="shared" si="1"/>
        <v>-0.13945393193495437</v>
      </c>
      <c r="G67">
        <f t="shared" si="4"/>
        <v>-4.9999999999998934E-3</v>
      </c>
      <c r="H67">
        <f>IF(MOD(COUNTA($C$7:C67)-1,$J$2),H66,ROUND(F67*P67,-2))</f>
        <v>-1400</v>
      </c>
      <c r="I67">
        <f t="shared" si="5"/>
        <v>0</v>
      </c>
      <c r="J67">
        <f t="shared" si="6"/>
        <v>0</v>
      </c>
      <c r="K67">
        <f t="shared" si="7"/>
        <v>3377.9812915978691</v>
      </c>
      <c r="L67">
        <f t="shared" si="8"/>
        <v>309.18129159786895</v>
      </c>
      <c r="M67">
        <f t="shared" si="9"/>
        <v>7</v>
      </c>
      <c r="N67">
        <f t="shared" si="11"/>
        <v>309.18129159786895</v>
      </c>
      <c r="O67" s="5">
        <f t="shared" si="2"/>
        <v>2.9119084998658673E-2</v>
      </c>
      <c r="P67">
        <f t="shared" si="10"/>
        <v>10000</v>
      </c>
      <c r="Q67">
        <f t="shared" si="3"/>
        <v>291.19084998658673</v>
      </c>
    </row>
    <row r="68" spans="1:17" x14ac:dyDescent="0.15">
      <c r="A68" s="10">
        <v>45868.444444444962</v>
      </c>
      <c r="B68">
        <f>COUNT(A68:$A$1158)/(48*252)</f>
        <v>9.0195105820105814E-2</v>
      </c>
      <c r="C68">
        <v>2.19</v>
      </c>
      <c r="D68">
        <v>9.1999999999999998E-2</v>
      </c>
      <c r="E68">
        <f t="shared" si="0"/>
        <v>1.0778990356229243</v>
      </c>
      <c r="F68">
        <f t="shared" si="1"/>
        <v>-0.14053940792912745</v>
      </c>
      <c r="G68">
        <f t="shared" si="4"/>
        <v>-2.0000000000002238E-3</v>
      </c>
      <c r="H68">
        <f>IF(MOD(COUNTA($C$7:C68)-1,$J$2),H67,ROUND(F68*P68,-2))</f>
        <v>-1400</v>
      </c>
      <c r="I68">
        <f t="shared" si="5"/>
        <v>0</v>
      </c>
      <c r="J68">
        <f t="shared" si="6"/>
        <v>0</v>
      </c>
      <c r="K68">
        <f t="shared" si="7"/>
        <v>3377.9812915978691</v>
      </c>
      <c r="L68">
        <f t="shared" si="8"/>
        <v>311.98129159786913</v>
      </c>
      <c r="M68">
        <f t="shared" si="9"/>
        <v>2.8000000000001819</v>
      </c>
      <c r="N68">
        <f t="shared" si="11"/>
        <v>311.98129159786913</v>
      </c>
      <c r="O68" s="5">
        <f t="shared" si="2"/>
        <v>2.9361277655704676E-2</v>
      </c>
      <c r="P68">
        <f t="shared" si="10"/>
        <v>10000</v>
      </c>
      <c r="Q68">
        <f t="shared" si="3"/>
        <v>293.61277655704674</v>
      </c>
    </row>
    <row r="69" spans="1:17" x14ac:dyDescent="0.15">
      <c r="A69" s="10">
        <v>45868.447916666977</v>
      </c>
      <c r="B69">
        <f>COUNT(A69:$A$1158)/(48*252)</f>
        <v>9.0112433862433866E-2</v>
      </c>
      <c r="C69">
        <v>2.1890000000000001</v>
      </c>
      <c r="D69">
        <v>9.2999999999999999E-2</v>
      </c>
      <c r="E69">
        <f t="shared" si="0"/>
        <v>1.0756569794466977</v>
      </c>
      <c r="F69">
        <f t="shared" si="1"/>
        <v>-0.14104034712142366</v>
      </c>
      <c r="G69">
        <f t="shared" si="4"/>
        <v>-9.9999999999988987E-4</v>
      </c>
      <c r="H69">
        <f>IF(MOD(COUNTA($C$7:C69)-1,$J$2),H68,ROUND(F69*P69,-2))</f>
        <v>-1400</v>
      </c>
      <c r="I69">
        <f t="shared" si="5"/>
        <v>0</v>
      </c>
      <c r="J69">
        <f t="shared" si="6"/>
        <v>0</v>
      </c>
      <c r="K69">
        <f t="shared" si="7"/>
        <v>3377.9812915978691</v>
      </c>
      <c r="L69">
        <f t="shared" si="8"/>
        <v>313.38129159786922</v>
      </c>
      <c r="M69">
        <f t="shared" si="9"/>
        <v>1.4000000000000909</v>
      </c>
      <c r="N69">
        <f t="shared" si="11"/>
        <v>313.38129159786922</v>
      </c>
      <c r="O69" s="5">
        <f t="shared" si="2"/>
        <v>2.9464132359953987E-2</v>
      </c>
      <c r="P69">
        <f t="shared" si="10"/>
        <v>10000</v>
      </c>
      <c r="Q69">
        <f t="shared" si="3"/>
        <v>294.64132359953987</v>
      </c>
    </row>
    <row r="70" spans="1:17" x14ac:dyDescent="0.15">
      <c r="A70" s="10">
        <v>45868.451388888992</v>
      </c>
      <c r="B70">
        <f>COUNT(A70:$A$1158)/(48*252)</f>
        <v>9.0029761904761904E-2</v>
      </c>
      <c r="C70">
        <v>2.198</v>
      </c>
      <c r="D70">
        <v>9.5000000000000001E-2</v>
      </c>
      <c r="E70">
        <f t="shared" si="0"/>
        <v>1.0998095146884037</v>
      </c>
      <c r="F70">
        <f t="shared" si="1"/>
        <v>-0.13570756293383934</v>
      </c>
      <c r="G70">
        <f t="shared" si="4"/>
        <v>8.999999999999897E-3</v>
      </c>
      <c r="H70">
        <f>IF(MOD(COUNTA($C$7:C70)-1,$J$2),H69,ROUND(F70*P70,-2))</f>
        <v>-1400</v>
      </c>
      <c r="I70">
        <f t="shared" si="5"/>
        <v>0</v>
      </c>
      <c r="J70">
        <f t="shared" si="6"/>
        <v>0</v>
      </c>
      <c r="K70">
        <f t="shared" si="7"/>
        <v>3377.9812915978691</v>
      </c>
      <c r="L70">
        <f t="shared" si="8"/>
        <v>300.78129159786931</v>
      </c>
      <c r="M70">
        <f t="shared" si="9"/>
        <v>-12.599999999999909</v>
      </c>
      <c r="N70">
        <f t="shared" si="11"/>
        <v>300.78129159786931</v>
      </c>
      <c r="O70" s="5">
        <f t="shared" si="2"/>
        <v>2.8181305780752453E-2</v>
      </c>
      <c r="P70">
        <f t="shared" si="10"/>
        <v>10000</v>
      </c>
      <c r="Q70">
        <f t="shared" si="3"/>
        <v>281.8130578075245</v>
      </c>
    </row>
    <row r="71" spans="1:17" x14ac:dyDescent="0.15">
      <c r="A71" s="10">
        <v>45868.454861111008</v>
      </c>
      <c r="B71">
        <f>COUNT(A71:$A$1158)/(48*252)</f>
        <v>8.9947089947089942E-2</v>
      </c>
      <c r="C71">
        <v>2.1960000000000002</v>
      </c>
      <c r="D71">
        <v>9.4E-2</v>
      </c>
      <c r="E71">
        <f t="shared" si="0"/>
        <v>1.0949487865920144</v>
      </c>
      <c r="F71">
        <f t="shared" si="1"/>
        <v>-0.1367695368999422</v>
      </c>
      <c r="G71">
        <f t="shared" si="4"/>
        <v>-1.9999999999997797E-3</v>
      </c>
      <c r="H71">
        <f>IF(MOD(COUNTA($C$7:C71)-1,$J$2),H70,ROUND(F71*P71,-2))</f>
        <v>-1400</v>
      </c>
      <c r="I71">
        <f t="shared" si="5"/>
        <v>0</v>
      </c>
      <c r="J71">
        <f t="shared" si="6"/>
        <v>0</v>
      </c>
      <c r="K71">
        <f t="shared" si="7"/>
        <v>3377.9812915978691</v>
      </c>
      <c r="L71">
        <f t="shared" si="8"/>
        <v>303.58129159786904</v>
      </c>
      <c r="M71">
        <f t="shared" si="9"/>
        <v>2.7999999999997272</v>
      </c>
      <c r="N71">
        <f t="shared" si="11"/>
        <v>303.58129159786904</v>
      </c>
      <c r="O71" s="5">
        <f t="shared" si="2"/>
        <v>2.8416515523605579E-2</v>
      </c>
      <c r="P71">
        <f t="shared" si="10"/>
        <v>10000</v>
      </c>
      <c r="Q71">
        <f t="shared" si="3"/>
        <v>284.1651552360558</v>
      </c>
    </row>
    <row r="72" spans="1:17" x14ac:dyDescent="0.15">
      <c r="A72" s="10">
        <v>45868.458333333023</v>
      </c>
      <c r="B72">
        <f>COUNT(A72:$A$1158)/(48*252)</f>
        <v>8.9864417989417994E-2</v>
      </c>
      <c r="C72">
        <v>2.1909999999999998</v>
      </c>
      <c r="D72">
        <v>9.1999999999999998E-2</v>
      </c>
      <c r="E72">
        <f t="shared" ref="E72:E135" si="12">(LN(C72/$B$2)+($B$1+0.5*$D$1*$D$1)*B72)/($D$1*SQRT(B72))</f>
        <v>1.0821506475071878</v>
      </c>
      <c r="F72">
        <f t="shared" ref="F72:F135" si="13">NORMSDIST(E72)-1</f>
        <v>-0.13959279694623838</v>
      </c>
      <c r="G72">
        <f t="shared" si="4"/>
        <v>-5.0000000000003375E-3</v>
      </c>
      <c r="H72">
        <f>IF(MOD(COUNTA($C$7:C72)-1,$J$2),H71,ROUND(F72*P72,-2))</f>
        <v>-1400</v>
      </c>
      <c r="I72">
        <f t="shared" si="5"/>
        <v>0</v>
      </c>
      <c r="J72">
        <f t="shared" si="6"/>
        <v>0</v>
      </c>
      <c r="K72">
        <f t="shared" si="7"/>
        <v>3377.9812915978691</v>
      </c>
      <c r="L72">
        <f t="shared" si="8"/>
        <v>310.58129159786949</v>
      </c>
      <c r="M72">
        <f t="shared" si="9"/>
        <v>7.0000000000004547</v>
      </c>
      <c r="N72">
        <f t="shared" si="11"/>
        <v>310.58129159786949</v>
      </c>
      <c r="O72" s="5">
        <f t="shared" ref="O72:O135" si="14">put_bs($B$1,$J$1,C72,$B$2,B72)</f>
        <v>2.9069820029287097E-2</v>
      </c>
      <c r="P72">
        <f t="shared" si="10"/>
        <v>10000</v>
      </c>
      <c r="Q72">
        <f t="shared" ref="Q72:Q135" si="15">P72*O72</f>
        <v>290.69820029287098</v>
      </c>
    </row>
    <row r="73" spans="1:17" x14ac:dyDescent="0.15">
      <c r="A73" s="10">
        <v>45868.461805555969</v>
      </c>
      <c r="B73">
        <f>COUNT(A73:$A$1158)/(48*252)</f>
        <v>8.9781746031746032E-2</v>
      </c>
      <c r="C73">
        <v>2.1930000000000001</v>
      </c>
      <c r="D73">
        <v>9.2999999999999999E-2</v>
      </c>
      <c r="E73">
        <f t="shared" si="12"/>
        <v>1.0878441780279837</v>
      </c>
      <c r="F73">
        <f t="shared" si="13"/>
        <v>-0.13833195142161592</v>
      </c>
      <c r="G73">
        <f t="shared" ref="G73:G136" si="16">C73-C72</f>
        <v>2.0000000000002238E-3</v>
      </c>
      <c r="H73">
        <f>IF(MOD(COUNTA($C$7:C73)-1,$J$2),H72,ROUND(F73*P73,-2))</f>
        <v>-1400</v>
      </c>
      <c r="I73">
        <f t="shared" ref="I73:I136" si="17">H73-H72</f>
        <v>0</v>
      </c>
      <c r="J73">
        <f t="shared" ref="J73:J136" si="18">J72</f>
        <v>0</v>
      </c>
      <c r="K73">
        <f t="shared" ref="K73:K136" si="19">K72-I73*C73-ABS(I73*C73*$F$2)</f>
        <v>3377.9812915978691</v>
      </c>
      <c r="L73">
        <f t="shared" ref="L73:L136" si="20">K73+H73*C73</f>
        <v>307.78129159786886</v>
      </c>
      <c r="M73">
        <f t="shared" ref="M73:M136" si="21">L73-L72</f>
        <v>-2.8000000000006366</v>
      </c>
      <c r="N73">
        <f t="shared" si="11"/>
        <v>307.78129159786886</v>
      </c>
      <c r="O73" s="5">
        <f t="shared" si="14"/>
        <v>2.8754179540087965E-2</v>
      </c>
      <c r="P73">
        <f t="shared" ref="P73:P136" si="22">P72</f>
        <v>10000</v>
      </c>
      <c r="Q73">
        <f t="shared" si="15"/>
        <v>287.54179540087966</v>
      </c>
    </row>
    <row r="74" spans="1:17" x14ac:dyDescent="0.15">
      <c r="A74" s="10">
        <v>45868.465277777985</v>
      </c>
      <c r="B74">
        <f>COUNT(A74:$A$1158)/(48*252)</f>
        <v>8.969907407407407E-2</v>
      </c>
      <c r="C74">
        <v>2.2000000000000002</v>
      </c>
      <c r="D74">
        <v>9.5000000000000001E-2</v>
      </c>
      <c r="E74">
        <f t="shared" si="12"/>
        <v>1.1067343880548881</v>
      </c>
      <c r="F74">
        <f t="shared" si="13"/>
        <v>-0.13420439149765762</v>
      </c>
      <c r="G74">
        <f t="shared" si="16"/>
        <v>7.0000000000001172E-3</v>
      </c>
      <c r="H74">
        <f>IF(MOD(COUNTA($C$7:C74)-1,$J$2),H73,ROUND(F74*P74,-2))</f>
        <v>-1400</v>
      </c>
      <c r="I74">
        <f t="shared" si="17"/>
        <v>0</v>
      </c>
      <c r="J74">
        <f t="shared" si="18"/>
        <v>0</v>
      </c>
      <c r="K74">
        <f t="shared" si="19"/>
        <v>3377.9812915978691</v>
      </c>
      <c r="L74">
        <f t="shared" si="20"/>
        <v>297.98129159786868</v>
      </c>
      <c r="M74">
        <f t="shared" si="21"/>
        <v>-9.8000000000001819</v>
      </c>
      <c r="N74">
        <f t="shared" ref="N74:N137" si="23">L74-$F$1</f>
        <v>297.98129159786868</v>
      </c>
      <c r="O74" s="5">
        <f t="shared" si="14"/>
        <v>2.776304382932443E-2</v>
      </c>
      <c r="P74">
        <f t="shared" si="22"/>
        <v>10000</v>
      </c>
      <c r="Q74">
        <f t="shared" si="15"/>
        <v>277.63043829324431</v>
      </c>
    </row>
    <row r="75" spans="1:17" x14ac:dyDescent="0.15">
      <c r="A75" s="10">
        <v>45868.46875</v>
      </c>
      <c r="B75">
        <f>COUNT(A75:$A$1158)/(48*252)</f>
        <v>8.9616402116402122E-2</v>
      </c>
      <c r="C75">
        <v>2.1989999999999998</v>
      </c>
      <c r="D75">
        <v>9.5000000000000001E-2</v>
      </c>
      <c r="E75">
        <f t="shared" si="12"/>
        <v>1.1045128507141799</v>
      </c>
      <c r="F75">
        <f t="shared" si="13"/>
        <v>-0.13468536609170134</v>
      </c>
      <c r="G75">
        <f t="shared" si="16"/>
        <v>-1.000000000000334E-3</v>
      </c>
      <c r="H75">
        <f>IF(MOD(COUNTA($C$7:C75)-1,$J$2),H74,ROUND(F75*P75,-2))</f>
        <v>-1300</v>
      </c>
      <c r="I75">
        <f t="shared" si="17"/>
        <v>100</v>
      </c>
      <c r="J75">
        <f t="shared" si="18"/>
        <v>0</v>
      </c>
      <c r="K75">
        <f t="shared" si="19"/>
        <v>3158.0713960978692</v>
      </c>
      <c r="L75">
        <f t="shared" si="20"/>
        <v>299.37139609786936</v>
      </c>
      <c r="M75">
        <f t="shared" si="21"/>
        <v>1.3901045000006889</v>
      </c>
      <c r="N75">
        <f t="shared" si="23"/>
        <v>299.37139609786936</v>
      </c>
      <c r="O75" s="5">
        <f t="shared" si="14"/>
        <v>2.7860443998828588E-2</v>
      </c>
      <c r="P75">
        <f t="shared" si="22"/>
        <v>10000</v>
      </c>
      <c r="Q75">
        <f t="shared" si="15"/>
        <v>278.60443998828589</v>
      </c>
    </row>
    <row r="76" spans="1:17" x14ac:dyDescent="0.15">
      <c r="A76" s="10">
        <v>45868.472222222015</v>
      </c>
      <c r="B76">
        <f>COUNT(A76:$A$1158)/(48*252)</f>
        <v>8.953373015873016E-2</v>
      </c>
      <c r="C76">
        <v>2.202</v>
      </c>
      <c r="D76">
        <v>9.7000000000000003E-2</v>
      </c>
      <c r="E76">
        <f t="shared" si="12"/>
        <v>1.1128428538050683</v>
      </c>
      <c r="F76">
        <f t="shared" si="13"/>
        <v>-0.13288796341303077</v>
      </c>
      <c r="G76">
        <f t="shared" si="16"/>
        <v>3.0000000000001137E-3</v>
      </c>
      <c r="H76">
        <f>IF(MOD(COUNTA($C$7:C76)-1,$J$2),H75,ROUND(F76*P76,-2))</f>
        <v>-1300</v>
      </c>
      <c r="I76">
        <f t="shared" si="17"/>
        <v>0</v>
      </c>
      <c r="J76">
        <f t="shared" si="18"/>
        <v>0</v>
      </c>
      <c r="K76">
        <f t="shared" si="19"/>
        <v>3158.0713960978692</v>
      </c>
      <c r="L76">
        <f t="shared" si="20"/>
        <v>295.47139609786927</v>
      </c>
      <c r="M76">
        <f t="shared" si="21"/>
        <v>-3.9000000000000909</v>
      </c>
      <c r="N76">
        <f t="shared" si="23"/>
        <v>295.47139609786927</v>
      </c>
      <c r="O76" s="5">
        <f t="shared" si="14"/>
        <v>2.7422133292465345E-2</v>
      </c>
      <c r="P76">
        <f t="shared" si="22"/>
        <v>10000</v>
      </c>
      <c r="Q76">
        <f t="shared" si="15"/>
        <v>274.22133292465344</v>
      </c>
    </row>
    <row r="77" spans="1:17" x14ac:dyDescent="0.15">
      <c r="A77" s="10">
        <v>45868.475694444962</v>
      </c>
      <c r="B77">
        <f>COUNT(A77:$A$1158)/(48*252)</f>
        <v>8.9451058201058198E-2</v>
      </c>
      <c r="C77">
        <v>2.198</v>
      </c>
      <c r="D77">
        <v>9.7000000000000003E-2</v>
      </c>
      <c r="E77">
        <f t="shared" si="12"/>
        <v>1.1027035832002865</v>
      </c>
      <c r="F77">
        <f t="shared" si="13"/>
        <v>-0.13507795510702758</v>
      </c>
      <c r="G77">
        <f t="shared" si="16"/>
        <v>-4.0000000000000036E-3</v>
      </c>
      <c r="H77">
        <f>IF(MOD(COUNTA($C$7:C77)-1,$J$2),H76,ROUND(F77*P77,-2))</f>
        <v>-1400</v>
      </c>
      <c r="I77">
        <f t="shared" si="17"/>
        <v>-100</v>
      </c>
      <c r="J77">
        <f t="shared" si="18"/>
        <v>0</v>
      </c>
      <c r="K77">
        <f t="shared" si="19"/>
        <v>3377.8615050978692</v>
      </c>
      <c r="L77">
        <f t="shared" si="20"/>
        <v>300.66150509786939</v>
      </c>
      <c r="M77">
        <f t="shared" si="21"/>
        <v>5.1901090000001204</v>
      </c>
      <c r="N77">
        <f t="shared" si="23"/>
        <v>300.66150509786939</v>
      </c>
      <c r="O77" s="5">
        <f t="shared" si="14"/>
        <v>2.7921054194872841E-2</v>
      </c>
      <c r="P77">
        <f t="shared" si="22"/>
        <v>10000</v>
      </c>
      <c r="Q77">
        <f t="shared" si="15"/>
        <v>279.21054194872841</v>
      </c>
    </row>
    <row r="78" spans="1:17" x14ac:dyDescent="0.15">
      <c r="A78" s="10">
        <v>45868.479166666977</v>
      </c>
      <c r="B78">
        <f>COUNT(A78:$A$1158)/(48*252)</f>
        <v>8.936838624338625E-2</v>
      </c>
      <c r="C78">
        <v>2.198</v>
      </c>
      <c r="D78">
        <v>9.6000000000000002E-2</v>
      </c>
      <c r="E78">
        <f t="shared" si="12"/>
        <v>1.1031194883082227</v>
      </c>
      <c r="F78">
        <f t="shared" si="13"/>
        <v>-0.13498763937463865</v>
      </c>
      <c r="G78">
        <f t="shared" si="16"/>
        <v>0</v>
      </c>
      <c r="H78">
        <f>IF(MOD(COUNTA($C$7:C78)-1,$J$2),H77,ROUND(F78*P78,-2))</f>
        <v>-1400</v>
      </c>
      <c r="I78">
        <f t="shared" si="17"/>
        <v>0</v>
      </c>
      <c r="J78">
        <f t="shared" si="18"/>
        <v>0</v>
      </c>
      <c r="K78">
        <f t="shared" si="19"/>
        <v>3377.8615050978692</v>
      </c>
      <c r="L78">
        <f t="shared" si="20"/>
        <v>300.66150509786939</v>
      </c>
      <c r="M78">
        <f t="shared" si="21"/>
        <v>0</v>
      </c>
      <c r="N78">
        <f t="shared" si="23"/>
        <v>300.66150509786939</v>
      </c>
      <c r="O78" s="5">
        <f t="shared" si="14"/>
        <v>2.7883872352455319E-2</v>
      </c>
      <c r="P78">
        <f t="shared" si="22"/>
        <v>10000</v>
      </c>
      <c r="Q78">
        <f t="shared" si="15"/>
        <v>278.83872352455319</v>
      </c>
    </row>
    <row r="79" spans="1:17" x14ac:dyDescent="0.15">
      <c r="A79" s="10">
        <v>45868.545138888992</v>
      </c>
      <c r="B79">
        <f>COUNT(A79:$A$1158)/(48*252)</f>
        <v>8.9285714285714288E-2</v>
      </c>
      <c r="C79">
        <v>2.2000000000000002</v>
      </c>
      <c r="D79">
        <v>9.7000000000000003E-2</v>
      </c>
      <c r="E79">
        <f t="shared" si="12"/>
        <v>1.1088230190758928</v>
      </c>
      <c r="F79">
        <f t="shared" si="13"/>
        <v>-0.13375326905392382</v>
      </c>
      <c r="G79">
        <f t="shared" si="16"/>
        <v>2.0000000000002238E-3</v>
      </c>
      <c r="H79">
        <f>IF(MOD(COUNTA($C$7:C79)-1,$J$2),H78,ROUND(F79*P79,-2))</f>
        <v>-1300</v>
      </c>
      <c r="I79">
        <f t="shared" si="17"/>
        <v>100</v>
      </c>
      <c r="J79">
        <f t="shared" si="18"/>
        <v>0</v>
      </c>
      <c r="K79">
        <f t="shared" si="19"/>
        <v>3157.8516050978692</v>
      </c>
      <c r="L79">
        <f t="shared" si="20"/>
        <v>297.85160509786874</v>
      </c>
      <c r="M79">
        <f t="shared" si="21"/>
        <v>-2.8099000000006527</v>
      </c>
      <c r="N79">
        <f t="shared" si="23"/>
        <v>297.85160509786874</v>
      </c>
      <c r="O79" s="5">
        <f t="shared" si="14"/>
        <v>2.7578040585191532E-2</v>
      </c>
      <c r="P79">
        <f t="shared" si="22"/>
        <v>10000</v>
      </c>
      <c r="Q79">
        <f t="shared" si="15"/>
        <v>275.7804058519153</v>
      </c>
    </row>
    <row r="80" spans="1:17" x14ac:dyDescent="0.15">
      <c r="A80" s="10">
        <v>45868.548611111008</v>
      </c>
      <c r="B80">
        <f>COUNT(A80:$A$1158)/(48*252)</f>
        <v>8.9203042328042326E-2</v>
      </c>
      <c r="C80">
        <v>2.202</v>
      </c>
      <c r="D80">
        <v>9.8000000000000004E-2</v>
      </c>
      <c r="E80">
        <f t="shared" si="12"/>
        <v>1.1145272646966906</v>
      </c>
      <c r="F80">
        <f t="shared" si="13"/>
        <v>-0.13252652724451897</v>
      </c>
      <c r="G80">
        <f t="shared" si="16"/>
        <v>1.9999999999997797E-3</v>
      </c>
      <c r="H80">
        <f>IF(MOD(COUNTA($C$7:C80)-1,$J$2),H79,ROUND(F80*P80,-2))</f>
        <v>-1300</v>
      </c>
      <c r="I80">
        <f t="shared" si="17"/>
        <v>0</v>
      </c>
      <c r="J80">
        <f t="shared" si="18"/>
        <v>0</v>
      </c>
      <c r="K80">
        <f t="shared" si="19"/>
        <v>3157.8516050978692</v>
      </c>
      <c r="L80">
        <f t="shared" si="20"/>
        <v>295.25160509786929</v>
      </c>
      <c r="M80">
        <f t="shared" si="21"/>
        <v>-2.5999999999994543</v>
      </c>
      <c r="N80">
        <f t="shared" si="23"/>
        <v>295.25160509786929</v>
      </c>
      <c r="O80" s="5">
        <f t="shared" si="14"/>
        <v>2.7274850328521727E-2</v>
      </c>
      <c r="P80">
        <f t="shared" si="22"/>
        <v>10000</v>
      </c>
      <c r="Q80">
        <f t="shared" si="15"/>
        <v>272.74850328521728</v>
      </c>
    </row>
    <row r="81" spans="1:17" x14ac:dyDescent="0.15">
      <c r="A81" s="10">
        <v>45868.552083333023</v>
      </c>
      <c r="B81">
        <f>COUNT(A81:$A$1158)/(48*252)</f>
        <v>8.9120370370370364E-2</v>
      </c>
      <c r="C81">
        <v>2.2050000000000001</v>
      </c>
      <c r="D81">
        <v>9.8000000000000004E-2</v>
      </c>
      <c r="E81">
        <f t="shared" si="12"/>
        <v>1.1228715907917444</v>
      </c>
      <c r="F81">
        <f t="shared" si="13"/>
        <v>-0.13074601733394542</v>
      </c>
      <c r="G81">
        <f t="shared" si="16"/>
        <v>3.0000000000001137E-3</v>
      </c>
      <c r="H81">
        <f>IF(MOD(COUNTA($C$7:C81)-1,$J$2),H80,ROUND(F81*P81,-2))</f>
        <v>-1300</v>
      </c>
      <c r="I81">
        <f t="shared" si="17"/>
        <v>0</v>
      </c>
      <c r="J81">
        <f t="shared" si="18"/>
        <v>0</v>
      </c>
      <c r="K81">
        <f t="shared" si="19"/>
        <v>3157.8516050978692</v>
      </c>
      <c r="L81">
        <f t="shared" si="20"/>
        <v>291.3516050978692</v>
      </c>
      <c r="M81">
        <f t="shared" si="21"/>
        <v>-3.9000000000000909</v>
      </c>
      <c r="N81">
        <f t="shared" si="23"/>
        <v>291.3516050978692</v>
      </c>
      <c r="O81" s="5">
        <f t="shared" si="14"/>
        <v>2.6843260160481108E-2</v>
      </c>
      <c r="P81">
        <f t="shared" si="22"/>
        <v>10000</v>
      </c>
      <c r="Q81">
        <f t="shared" si="15"/>
        <v>268.43260160481111</v>
      </c>
    </row>
    <row r="82" spans="1:17" x14ac:dyDescent="0.15">
      <c r="A82" s="10">
        <v>45868.555555555969</v>
      </c>
      <c r="B82">
        <f>COUNT(A82:$A$1158)/(48*252)</f>
        <v>8.9037698412698416E-2</v>
      </c>
      <c r="C82">
        <v>2.214</v>
      </c>
      <c r="D82">
        <v>0.10199999999999999</v>
      </c>
      <c r="E82">
        <f t="shared" si="12"/>
        <v>1.1470100209638476</v>
      </c>
      <c r="F82">
        <f t="shared" si="13"/>
        <v>-0.12568873967034822</v>
      </c>
      <c r="G82">
        <f t="shared" si="16"/>
        <v>8.999999999999897E-3</v>
      </c>
      <c r="H82">
        <f>IF(MOD(COUNTA($C$7:C82)-1,$J$2),H81,ROUND(F82*P82,-2))</f>
        <v>-1300</v>
      </c>
      <c r="I82">
        <f t="shared" si="17"/>
        <v>0</v>
      </c>
      <c r="J82">
        <f t="shared" si="18"/>
        <v>0</v>
      </c>
      <c r="K82">
        <f t="shared" si="19"/>
        <v>3157.8516050978692</v>
      </c>
      <c r="L82">
        <f t="shared" si="20"/>
        <v>279.65160509786938</v>
      </c>
      <c r="M82">
        <f t="shared" si="21"/>
        <v>-11.699999999999818</v>
      </c>
      <c r="N82">
        <f t="shared" si="23"/>
        <v>279.65160509786938</v>
      </c>
      <c r="O82" s="5">
        <f t="shared" si="14"/>
        <v>2.565327734181666E-2</v>
      </c>
      <c r="P82">
        <f t="shared" si="22"/>
        <v>10000</v>
      </c>
      <c r="Q82">
        <f t="shared" si="15"/>
        <v>256.53277341816658</v>
      </c>
    </row>
    <row r="83" spans="1:17" x14ac:dyDescent="0.15">
      <c r="A83" s="10">
        <v>45868.559027777985</v>
      </c>
      <c r="B83">
        <f>COUNT(A83:$A$1158)/(48*252)</f>
        <v>8.8955026455026454E-2</v>
      </c>
      <c r="C83">
        <v>2.2130000000000001</v>
      </c>
      <c r="D83">
        <v>0.10199999999999999</v>
      </c>
      <c r="E83">
        <f t="shared" si="12"/>
        <v>1.1448175983536639</v>
      </c>
      <c r="F83">
        <f t="shared" si="13"/>
        <v>-0.12614236188532235</v>
      </c>
      <c r="G83">
        <f t="shared" si="16"/>
        <v>-9.9999999999988987E-4</v>
      </c>
      <c r="H83">
        <f>IF(MOD(COUNTA($C$7:C83)-1,$J$2),H82,ROUND(F83*P83,-2))</f>
        <v>-1300</v>
      </c>
      <c r="I83">
        <f t="shared" si="17"/>
        <v>0</v>
      </c>
      <c r="J83">
        <f t="shared" si="18"/>
        <v>0</v>
      </c>
      <c r="K83">
        <f t="shared" si="19"/>
        <v>3157.8516050978692</v>
      </c>
      <c r="L83">
        <f t="shared" si="20"/>
        <v>280.95160509786911</v>
      </c>
      <c r="M83">
        <f t="shared" si="21"/>
        <v>1.2999999999997272</v>
      </c>
      <c r="N83">
        <f t="shared" si="23"/>
        <v>280.95160509786911</v>
      </c>
      <c r="O83" s="5">
        <f t="shared" si="14"/>
        <v>2.5743413867557907E-2</v>
      </c>
      <c r="P83">
        <f t="shared" si="22"/>
        <v>10000</v>
      </c>
      <c r="Q83">
        <f t="shared" si="15"/>
        <v>257.43413867557905</v>
      </c>
    </row>
    <row r="84" spans="1:17" x14ac:dyDescent="0.15">
      <c r="A84" s="10">
        <v>45868.5625</v>
      </c>
      <c r="B84">
        <f>COUNT(A84:$A$1158)/(48*252)</f>
        <v>8.8872354497354492E-2</v>
      </c>
      <c r="C84">
        <v>2.2050000000000001</v>
      </c>
      <c r="D84">
        <v>9.8000000000000004E-2</v>
      </c>
      <c r="E84">
        <f t="shared" si="12"/>
        <v>1.1241544638014851</v>
      </c>
      <c r="F84">
        <f t="shared" si="13"/>
        <v>-0.13047375172206366</v>
      </c>
      <c r="G84">
        <f t="shared" si="16"/>
        <v>-8.0000000000000071E-3</v>
      </c>
      <c r="H84">
        <f>IF(MOD(COUNTA($C$7:C84)-1,$J$2),H83,ROUND(F84*P84,-2))</f>
        <v>-1300</v>
      </c>
      <c r="I84">
        <f t="shared" si="17"/>
        <v>0</v>
      </c>
      <c r="J84">
        <f t="shared" si="18"/>
        <v>0</v>
      </c>
      <c r="K84">
        <f t="shared" si="19"/>
        <v>3157.8516050978692</v>
      </c>
      <c r="L84">
        <f t="shared" si="20"/>
        <v>291.3516050978692</v>
      </c>
      <c r="M84">
        <f t="shared" si="21"/>
        <v>10.400000000000091</v>
      </c>
      <c r="N84">
        <f t="shared" si="23"/>
        <v>291.3516050978692</v>
      </c>
      <c r="O84" s="5">
        <f t="shared" si="14"/>
        <v>2.6733610697576626E-2</v>
      </c>
      <c r="P84">
        <f t="shared" si="22"/>
        <v>10000</v>
      </c>
      <c r="Q84">
        <f t="shared" si="15"/>
        <v>267.33610697576626</v>
      </c>
    </row>
    <row r="85" spans="1:17" x14ac:dyDescent="0.15">
      <c r="A85" s="10">
        <v>45868.565972222015</v>
      </c>
      <c r="B85">
        <f>COUNT(A85:$A$1158)/(48*252)</f>
        <v>8.8789682539682543E-2</v>
      </c>
      <c r="C85">
        <v>2.2050000000000001</v>
      </c>
      <c r="D85">
        <v>9.9000000000000005E-2</v>
      </c>
      <c r="E85">
        <f t="shared" si="12"/>
        <v>1.1245833698773149</v>
      </c>
      <c r="F85">
        <f t="shared" si="13"/>
        <v>-0.13038281201785973</v>
      </c>
      <c r="G85">
        <f t="shared" si="16"/>
        <v>0</v>
      </c>
      <c r="H85">
        <f>IF(MOD(COUNTA($C$7:C85)-1,$J$2),H84,ROUND(F85*P85,-2))</f>
        <v>-1300</v>
      </c>
      <c r="I85">
        <f t="shared" si="17"/>
        <v>0</v>
      </c>
      <c r="J85">
        <f t="shared" si="18"/>
        <v>0</v>
      </c>
      <c r="K85">
        <f t="shared" si="19"/>
        <v>3157.8516050978692</v>
      </c>
      <c r="L85">
        <f t="shared" si="20"/>
        <v>291.3516050978692</v>
      </c>
      <c r="M85">
        <f t="shared" si="21"/>
        <v>0</v>
      </c>
      <c r="N85">
        <f t="shared" si="23"/>
        <v>291.3516050978692</v>
      </c>
      <c r="O85" s="5">
        <f t="shared" si="14"/>
        <v>2.6697060923666749E-2</v>
      </c>
      <c r="P85">
        <f t="shared" si="22"/>
        <v>10000</v>
      </c>
      <c r="Q85">
        <f t="shared" si="15"/>
        <v>266.97060923666749</v>
      </c>
    </row>
    <row r="86" spans="1:17" x14ac:dyDescent="0.15">
      <c r="A86" s="10">
        <v>45868.569444444962</v>
      </c>
      <c r="B86">
        <f>COUNT(A86:$A$1158)/(48*252)</f>
        <v>8.8707010582010581E-2</v>
      </c>
      <c r="C86">
        <v>2.2050000000000001</v>
      </c>
      <c r="D86">
        <v>9.9000000000000005E-2</v>
      </c>
      <c r="E86">
        <f t="shared" si="12"/>
        <v>1.1250129193446641</v>
      </c>
      <c r="F86">
        <f t="shared" si="13"/>
        <v>-0.13029177984928819</v>
      </c>
      <c r="G86">
        <f t="shared" si="16"/>
        <v>0</v>
      </c>
      <c r="H86">
        <f>IF(MOD(COUNTA($C$7:C86)-1,$J$2),H85,ROUND(F86*P86,-2))</f>
        <v>-1300</v>
      </c>
      <c r="I86">
        <f t="shared" si="17"/>
        <v>0</v>
      </c>
      <c r="J86">
        <f t="shared" si="18"/>
        <v>0</v>
      </c>
      <c r="K86">
        <f t="shared" si="19"/>
        <v>3157.8516050978692</v>
      </c>
      <c r="L86">
        <f t="shared" si="20"/>
        <v>291.3516050978692</v>
      </c>
      <c r="M86">
        <f t="shared" si="21"/>
        <v>0</v>
      </c>
      <c r="N86">
        <f t="shared" si="23"/>
        <v>291.3516050978692</v>
      </c>
      <c r="O86" s="5">
        <f t="shared" si="14"/>
        <v>2.6660511201829717E-2</v>
      </c>
      <c r="P86">
        <f t="shared" si="22"/>
        <v>10000</v>
      </c>
      <c r="Q86">
        <f t="shared" si="15"/>
        <v>266.60511201829718</v>
      </c>
    </row>
    <row r="87" spans="1:17" x14ac:dyDescent="0.15">
      <c r="A87" s="10">
        <v>45868.572916666977</v>
      </c>
      <c r="B87">
        <f>COUNT(A87:$A$1158)/(48*252)</f>
        <v>8.8624338624338619E-2</v>
      </c>
      <c r="C87">
        <v>2.2040000000000002</v>
      </c>
      <c r="D87">
        <v>9.8000000000000004E-2</v>
      </c>
      <c r="E87">
        <f t="shared" si="12"/>
        <v>1.1227963858939523</v>
      </c>
      <c r="F87">
        <f t="shared" si="13"/>
        <v>-0.13076199033308944</v>
      </c>
      <c r="G87">
        <f t="shared" si="16"/>
        <v>-9.9999999999988987E-4</v>
      </c>
      <c r="H87">
        <f>IF(MOD(COUNTA($C$7:C87)-1,$J$2),H86,ROUND(F87*P87,-2))</f>
        <v>-1300</v>
      </c>
      <c r="I87">
        <f t="shared" si="17"/>
        <v>0</v>
      </c>
      <c r="J87">
        <f t="shared" si="18"/>
        <v>0</v>
      </c>
      <c r="K87">
        <f t="shared" si="19"/>
        <v>3157.8516050978692</v>
      </c>
      <c r="L87">
        <f t="shared" si="20"/>
        <v>292.65160509786892</v>
      </c>
      <c r="M87">
        <f t="shared" si="21"/>
        <v>1.2999999999997272</v>
      </c>
      <c r="N87">
        <f t="shared" si="23"/>
        <v>292.65160509786892</v>
      </c>
      <c r="O87" s="5">
        <f t="shared" si="14"/>
        <v>2.67544427116016E-2</v>
      </c>
      <c r="P87">
        <f t="shared" si="22"/>
        <v>10000</v>
      </c>
      <c r="Q87">
        <f t="shared" si="15"/>
        <v>267.54442711601598</v>
      </c>
    </row>
    <row r="88" spans="1:17" x14ac:dyDescent="0.15">
      <c r="A88" s="10">
        <v>45868.576388888992</v>
      </c>
      <c r="B88">
        <f>COUNT(A88:$A$1158)/(48*252)</f>
        <v>8.8541666666666671E-2</v>
      </c>
      <c r="C88">
        <v>2.2069999999999999</v>
      </c>
      <c r="D88">
        <v>0.1</v>
      </c>
      <c r="E88">
        <f t="shared" si="12"/>
        <v>1.1311662801267162</v>
      </c>
      <c r="F88">
        <f t="shared" si="13"/>
        <v>-0.12899255576828206</v>
      </c>
      <c r="G88">
        <f t="shared" si="16"/>
        <v>2.9999999999996696E-3</v>
      </c>
      <c r="H88">
        <f>IF(MOD(COUNTA($C$7:C88)-1,$J$2),H87,ROUND(F88*P88,-2))</f>
        <v>-1300</v>
      </c>
      <c r="I88">
        <f t="shared" si="17"/>
        <v>0</v>
      </c>
      <c r="J88">
        <f t="shared" si="18"/>
        <v>0</v>
      </c>
      <c r="K88">
        <f t="shared" si="19"/>
        <v>3157.8516050978692</v>
      </c>
      <c r="L88">
        <f t="shared" si="20"/>
        <v>288.75160509786929</v>
      </c>
      <c r="M88">
        <f t="shared" si="21"/>
        <v>-3.8999999999996362</v>
      </c>
      <c r="N88">
        <f t="shared" si="23"/>
        <v>288.75160509786929</v>
      </c>
      <c r="O88" s="5">
        <f t="shared" si="14"/>
        <v>2.6328311270472637E-2</v>
      </c>
      <c r="P88">
        <f t="shared" si="22"/>
        <v>10000</v>
      </c>
      <c r="Q88">
        <f t="shared" si="15"/>
        <v>263.28311270472636</v>
      </c>
    </row>
    <row r="89" spans="1:17" x14ac:dyDescent="0.15">
      <c r="A89" s="10">
        <v>45868.579861111008</v>
      </c>
      <c r="B89">
        <f>COUNT(A89:$A$1158)/(48*252)</f>
        <v>8.8458994708994709E-2</v>
      </c>
      <c r="C89">
        <v>2.206</v>
      </c>
      <c r="D89">
        <v>0.1</v>
      </c>
      <c r="E89">
        <f t="shared" si="12"/>
        <v>1.1289534424004581</v>
      </c>
      <c r="F89">
        <f t="shared" si="13"/>
        <v>-0.12945873719597423</v>
      </c>
      <c r="G89">
        <f t="shared" si="16"/>
        <v>-9.9999999999988987E-4</v>
      </c>
      <c r="H89">
        <f>IF(MOD(COUNTA($C$7:C89)-1,$J$2),H88,ROUND(F89*P89,-2))</f>
        <v>-1300</v>
      </c>
      <c r="I89">
        <f t="shared" si="17"/>
        <v>0</v>
      </c>
      <c r="J89">
        <f t="shared" si="18"/>
        <v>0</v>
      </c>
      <c r="K89">
        <f t="shared" si="19"/>
        <v>3157.8516050978692</v>
      </c>
      <c r="L89">
        <f t="shared" si="20"/>
        <v>290.05160509786947</v>
      </c>
      <c r="M89">
        <f t="shared" si="21"/>
        <v>1.3000000000001819</v>
      </c>
      <c r="N89">
        <f t="shared" si="23"/>
        <v>290.05160509786947</v>
      </c>
      <c r="O89" s="5">
        <f t="shared" si="14"/>
        <v>2.6421124249375261E-2</v>
      </c>
      <c r="P89">
        <f t="shared" si="22"/>
        <v>10000</v>
      </c>
      <c r="Q89">
        <f t="shared" si="15"/>
        <v>264.21124249375259</v>
      </c>
    </row>
    <row r="90" spans="1:17" x14ac:dyDescent="0.15">
      <c r="A90" s="10">
        <v>45868.583333333023</v>
      </c>
      <c r="B90">
        <f>COUNT(A90:$A$1158)/(48*252)</f>
        <v>8.8376322751322747E-2</v>
      </c>
      <c r="C90">
        <v>2.2109999999999999</v>
      </c>
      <c r="D90">
        <v>0.10199999999999999</v>
      </c>
      <c r="E90">
        <f t="shared" si="12"/>
        <v>1.1426150175250951</v>
      </c>
      <c r="F90">
        <f t="shared" si="13"/>
        <v>-0.12659923380496152</v>
      </c>
      <c r="G90">
        <f t="shared" si="16"/>
        <v>4.9999999999998934E-3</v>
      </c>
      <c r="H90">
        <f>IF(MOD(COUNTA($C$7:C90)-1,$J$2),H89,ROUND(F90*P90,-2))</f>
        <v>-1300</v>
      </c>
      <c r="I90">
        <f t="shared" si="17"/>
        <v>0</v>
      </c>
      <c r="J90">
        <f t="shared" si="18"/>
        <v>0</v>
      </c>
      <c r="K90">
        <f t="shared" si="19"/>
        <v>3157.8516050978692</v>
      </c>
      <c r="L90">
        <f t="shared" si="20"/>
        <v>283.55160509786947</v>
      </c>
      <c r="M90">
        <f t="shared" si="21"/>
        <v>-6.5</v>
      </c>
      <c r="N90">
        <f t="shared" si="23"/>
        <v>283.55160509786947</v>
      </c>
      <c r="O90" s="5">
        <f t="shared" si="14"/>
        <v>2.57447698015425E-2</v>
      </c>
      <c r="P90">
        <f t="shared" si="22"/>
        <v>10000</v>
      </c>
      <c r="Q90">
        <f t="shared" si="15"/>
        <v>257.44769801542498</v>
      </c>
    </row>
    <row r="91" spans="1:17" x14ac:dyDescent="0.15">
      <c r="A91" s="10">
        <v>45868.586805555969</v>
      </c>
      <c r="B91">
        <f>COUNT(A91:$A$1158)/(48*252)</f>
        <v>8.8293650793650799E-2</v>
      </c>
      <c r="C91">
        <v>2.2080000000000002</v>
      </c>
      <c r="D91">
        <v>0.10199999999999999</v>
      </c>
      <c r="E91">
        <f t="shared" si="12"/>
        <v>1.13511820034</v>
      </c>
      <c r="F91">
        <f t="shared" si="13"/>
        <v>-0.12816289836120043</v>
      </c>
      <c r="G91">
        <f t="shared" si="16"/>
        <v>-2.9999999999996696E-3</v>
      </c>
      <c r="H91">
        <f>IF(MOD(COUNTA($C$7:C91)-1,$J$2),H90,ROUND(F91*P91,-2))</f>
        <v>-1300</v>
      </c>
      <c r="I91">
        <f t="shared" si="17"/>
        <v>0</v>
      </c>
      <c r="J91">
        <f t="shared" si="18"/>
        <v>0</v>
      </c>
      <c r="K91">
        <f t="shared" si="19"/>
        <v>3157.8516050978692</v>
      </c>
      <c r="L91">
        <f t="shared" si="20"/>
        <v>287.45160509786911</v>
      </c>
      <c r="M91">
        <f t="shared" si="21"/>
        <v>3.8999999999996362</v>
      </c>
      <c r="N91">
        <f t="shared" si="23"/>
        <v>287.45160509786911</v>
      </c>
      <c r="O91" s="5">
        <f t="shared" si="14"/>
        <v>2.6090771116884182E-2</v>
      </c>
      <c r="P91">
        <f t="shared" si="22"/>
        <v>10000</v>
      </c>
      <c r="Q91">
        <f t="shared" si="15"/>
        <v>260.90771116884184</v>
      </c>
    </row>
    <row r="92" spans="1:17" x14ac:dyDescent="0.15">
      <c r="A92" s="10">
        <v>45868.590277777985</v>
      </c>
      <c r="B92">
        <f>COUNT(A92:$A$1158)/(48*252)</f>
        <v>8.8210978835978837E-2</v>
      </c>
      <c r="C92">
        <v>2.2029999999999998</v>
      </c>
      <c r="D92">
        <v>9.8000000000000004E-2</v>
      </c>
      <c r="E92">
        <f t="shared" si="12"/>
        <v>1.122296765090943</v>
      </c>
      <c r="F92">
        <f t="shared" si="13"/>
        <v>-0.13086814057627849</v>
      </c>
      <c r="G92">
        <f t="shared" si="16"/>
        <v>-5.0000000000003375E-3</v>
      </c>
      <c r="H92">
        <f>IF(MOD(COUNTA($C$7:C92)-1,$J$2),H91,ROUND(F92*P92,-2))</f>
        <v>-1300</v>
      </c>
      <c r="I92">
        <f t="shared" si="17"/>
        <v>0</v>
      </c>
      <c r="J92">
        <f t="shared" si="18"/>
        <v>0</v>
      </c>
      <c r="K92">
        <f t="shared" si="19"/>
        <v>3157.8516050978692</v>
      </c>
      <c r="L92">
        <f t="shared" si="20"/>
        <v>293.95160509786956</v>
      </c>
      <c r="M92">
        <f t="shared" si="21"/>
        <v>6.5000000000004547</v>
      </c>
      <c r="N92">
        <f t="shared" si="23"/>
        <v>293.95160509786956</v>
      </c>
      <c r="O92" s="5">
        <f t="shared" si="14"/>
        <v>2.6701825422582093E-2</v>
      </c>
      <c r="P92">
        <f t="shared" si="22"/>
        <v>10000</v>
      </c>
      <c r="Q92">
        <f t="shared" si="15"/>
        <v>267.01825422582095</v>
      </c>
    </row>
    <row r="93" spans="1:17" x14ac:dyDescent="0.15">
      <c r="A93" s="10">
        <v>45868.59375</v>
      </c>
      <c r="B93">
        <f>COUNT(A93:$A$1158)/(48*252)</f>
        <v>8.8128306878306875E-2</v>
      </c>
      <c r="C93">
        <v>2.2029999999999998</v>
      </c>
      <c r="D93">
        <v>0.1</v>
      </c>
      <c r="E93">
        <f t="shared" si="12"/>
        <v>1.1227283725057629</v>
      </c>
      <c r="F93">
        <f t="shared" si="13"/>
        <v>-0.1307764370669372</v>
      </c>
      <c r="G93">
        <f t="shared" si="16"/>
        <v>0</v>
      </c>
      <c r="H93">
        <f>IF(MOD(COUNTA($C$7:C93)-1,$J$2),H92,ROUND(F93*P93,-2))</f>
        <v>-1300</v>
      </c>
      <c r="I93">
        <f t="shared" si="17"/>
        <v>0</v>
      </c>
      <c r="J93">
        <f t="shared" si="18"/>
        <v>0</v>
      </c>
      <c r="K93">
        <f t="shared" si="19"/>
        <v>3157.8516050978692</v>
      </c>
      <c r="L93">
        <f t="shared" si="20"/>
        <v>293.95160509786956</v>
      </c>
      <c r="M93">
        <f t="shared" si="21"/>
        <v>0</v>
      </c>
      <c r="N93">
        <f t="shared" si="23"/>
        <v>293.95160509786956</v>
      </c>
      <c r="O93" s="5">
        <f t="shared" si="14"/>
        <v>2.6665093163508291E-2</v>
      </c>
      <c r="P93">
        <f t="shared" si="22"/>
        <v>10000</v>
      </c>
      <c r="Q93">
        <f t="shared" si="15"/>
        <v>266.65093163508288</v>
      </c>
    </row>
    <row r="94" spans="1:17" x14ac:dyDescent="0.15">
      <c r="A94" s="10">
        <v>45868.597222222015</v>
      </c>
      <c r="B94">
        <f>COUNT(A94:$A$1158)/(48*252)</f>
        <v>8.8045634920634927E-2</v>
      </c>
      <c r="C94">
        <v>2.1989999999999998</v>
      </c>
      <c r="D94">
        <v>9.6000000000000002E-2</v>
      </c>
      <c r="E94">
        <f t="shared" si="12"/>
        <v>1.1125220919675618</v>
      </c>
      <c r="F94">
        <f t="shared" si="13"/>
        <v>-0.13295686844674459</v>
      </c>
      <c r="G94">
        <f t="shared" si="16"/>
        <v>-4.0000000000000036E-3</v>
      </c>
      <c r="H94">
        <f>IF(MOD(COUNTA($C$7:C94)-1,$J$2),H93,ROUND(F94*P94,-2))</f>
        <v>-1300</v>
      </c>
      <c r="I94">
        <f t="shared" si="17"/>
        <v>0</v>
      </c>
      <c r="J94">
        <f t="shared" si="18"/>
        <v>0</v>
      </c>
      <c r="K94">
        <f t="shared" si="19"/>
        <v>3157.8516050978692</v>
      </c>
      <c r="L94">
        <f t="shared" si="20"/>
        <v>299.15160509786938</v>
      </c>
      <c r="M94">
        <f t="shared" si="21"/>
        <v>5.1999999999998181</v>
      </c>
      <c r="N94">
        <f t="shared" si="23"/>
        <v>299.15160509786938</v>
      </c>
      <c r="O94" s="5">
        <f t="shared" si="14"/>
        <v>2.7155633540736135E-2</v>
      </c>
      <c r="P94">
        <f t="shared" si="22"/>
        <v>10000</v>
      </c>
      <c r="Q94">
        <f t="shared" si="15"/>
        <v>271.55633540736136</v>
      </c>
    </row>
    <row r="95" spans="1:17" x14ac:dyDescent="0.15">
      <c r="A95" s="10">
        <v>45868.600694444962</v>
      </c>
      <c r="B95">
        <f>COUNT(A95:$A$1158)/(48*252)</f>
        <v>8.7962962962962965E-2</v>
      </c>
      <c r="C95">
        <v>2.1989999999999998</v>
      </c>
      <c r="D95">
        <v>9.7000000000000003E-2</v>
      </c>
      <c r="E95">
        <f t="shared" si="12"/>
        <v>1.1129500071814231</v>
      </c>
      <c r="F95">
        <f t="shared" si="13"/>
        <v>-0.13286495054667313</v>
      </c>
      <c r="G95">
        <f t="shared" si="16"/>
        <v>0</v>
      </c>
      <c r="H95">
        <f>IF(MOD(COUNTA($C$7:C95)-1,$J$2),H94,ROUND(F95*P95,-2))</f>
        <v>-1300</v>
      </c>
      <c r="I95">
        <f t="shared" si="17"/>
        <v>0</v>
      </c>
      <c r="J95">
        <f t="shared" si="18"/>
        <v>0</v>
      </c>
      <c r="K95">
        <f t="shared" si="19"/>
        <v>3157.8516050978692</v>
      </c>
      <c r="L95">
        <f t="shared" si="20"/>
        <v>299.15160509786938</v>
      </c>
      <c r="M95">
        <f t="shared" si="21"/>
        <v>0</v>
      </c>
      <c r="N95">
        <f t="shared" si="23"/>
        <v>299.15160509786938</v>
      </c>
      <c r="O95" s="5">
        <f t="shared" si="14"/>
        <v>2.7118533680441925E-2</v>
      </c>
      <c r="P95">
        <f t="shared" si="22"/>
        <v>10000</v>
      </c>
      <c r="Q95">
        <f t="shared" si="15"/>
        <v>271.18533680441925</v>
      </c>
    </row>
    <row r="96" spans="1:17" x14ac:dyDescent="0.15">
      <c r="A96" s="10">
        <v>45868.604166666977</v>
      </c>
      <c r="B96">
        <f>COUNT(A96:$A$1158)/(48*252)</f>
        <v>8.7880291005291003E-2</v>
      </c>
      <c r="C96">
        <v>2.206</v>
      </c>
      <c r="D96">
        <v>0.1</v>
      </c>
      <c r="E96">
        <f t="shared" si="12"/>
        <v>1.1320008410560434</v>
      </c>
      <c r="F96">
        <f t="shared" si="13"/>
        <v>-0.12881704040993158</v>
      </c>
      <c r="G96">
        <f t="shared" si="16"/>
        <v>7.0000000000001172E-3</v>
      </c>
      <c r="H96">
        <f>IF(MOD(COUNTA($C$7:C96)-1,$J$2),H95,ROUND(F96*P96,-2))</f>
        <v>-1300</v>
      </c>
      <c r="I96">
        <f t="shared" si="17"/>
        <v>0</v>
      </c>
      <c r="J96">
        <f t="shared" si="18"/>
        <v>0</v>
      </c>
      <c r="K96">
        <f t="shared" si="19"/>
        <v>3157.8516050978692</v>
      </c>
      <c r="L96">
        <f t="shared" si="20"/>
        <v>290.05160509786947</v>
      </c>
      <c r="M96">
        <f t="shared" si="21"/>
        <v>-9.0999999999999091</v>
      </c>
      <c r="N96">
        <f t="shared" si="23"/>
        <v>290.05160509786947</v>
      </c>
      <c r="O96" s="5">
        <f t="shared" si="14"/>
        <v>2.6165924136304364E-2</v>
      </c>
      <c r="P96">
        <f t="shared" si="22"/>
        <v>10000</v>
      </c>
      <c r="Q96">
        <f t="shared" si="15"/>
        <v>261.65924136304363</v>
      </c>
    </row>
    <row r="97" spans="1:17" x14ac:dyDescent="0.15">
      <c r="A97" s="10">
        <v>45868.607638888992</v>
      </c>
      <c r="B97">
        <f>COUNT(A97:$A$1158)/(48*252)</f>
        <v>8.7797619047619041E-2</v>
      </c>
      <c r="C97">
        <v>2.2069999999999999</v>
      </c>
      <c r="D97">
        <v>9.9000000000000005E-2</v>
      </c>
      <c r="E97">
        <f t="shared" si="12"/>
        <v>1.1350955691971021</v>
      </c>
      <c r="F97">
        <f t="shared" si="13"/>
        <v>-0.12816763891805616</v>
      </c>
      <c r="G97">
        <f t="shared" si="16"/>
        <v>9.9999999999988987E-4</v>
      </c>
      <c r="H97">
        <f>IF(MOD(COUNTA($C$7:C97)-1,$J$2),H96,ROUND(F97*P97,-2))</f>
        <v>-1300</v>
      </c>
      <c r="I97">
        <f t="shared" si="17"/>
        <v>0</v>
      </c>
      <c r="J97">
        <f t="shared" si="18"/>
        <v>0</v>
      </c>
      <c r="K97">
        <f t="shared" si="19"/>
        <v>3157.8516050978692</v>
      </c>
      <c r="L97">
        <f t="shared" si="20"/>
        <v>288.75160509786929</v>
      </c>
      <c r="M97">
        <f t="shared" si="21"/>
        <v>-1.3000000000001819</v>
      </c>
      <c r="N97">
        <f t="shared" si="23"/>
        <v>288.75160509786929</v>
      </c>
      <c r="O97" s="5">
        <f t="shared" si="14"/>
        <v>2.6001022032555998E-2</v>
      </c>
      <c r="P97">
        <f t="shared" si="22"/>
        <v>10000</v>
      </c>
      <c r="Q97">
        <f t="shared" si="15"/>
        <v>260.01022032556</v>
      </c>
    </row>
    <row r="98" spans="1:17" x14ac:dyDescent="0.15">
      <c r="A98" s="10">
        <v>45868.611111111008</v>
      </c>
      <c r="B98">
        <f>COUNT(A98:$A$1158)/(48*252)</f>
        <v>8.7714947089947093E-2</v>
      </c>
      <c r="C98">
        <v>2.2170000000000001</v>
      </c>
      <c r="D98">
        <v>0.10199999999999999</v>
      </c>
      <c r="E98">
        <f t="shared" si="12"/>
        <v>1.1620494295434169</v>
      </c>
      <c r="F98">
        <f t="shared" si="13"/>
        <v>-0.12260769365172963</v>
      </c>
      <c r="G98">
        <f t="shared" si="16"/>
        <v>1.0000000000000231E-2</v>
      </c>
      <c r="H98">
        <f>IF(MOD(COUNTA($C$7:C98)-1,$J$2),H97,ROUND(F98*P98,-2))</f>
        <v>-1300</v>
      </c>
      <c r="I98">
        <f t="shared" si="17"/>
        <v>0</v>
      </c>
      <c r="J98">
        <f t="shared" si="18"/>
        <v>0</v>
      </c>
      <c r="K98">
        <f t="shared" si="19"/>
        <v>3157.8516050978692</v>
      </c>
      <c r="L98">
        <f t="shared" si="20"/>
        <v>275.75160509786929</v>
      </c>
      <c r="M98">
        <f t="shared" si="21"/>
        <v>-13</v>
      </c>
      <c r="N98">
        <f t="shared" si="23"/>
        <v>275.75160509786929</v>
      </c>
      <c r="O98" s="5">
        <f t="shared" si="14"/>
        <v>2.4711401905985475E-2</v>
      </c>
      <c r="P98">
        <f t="shared" si="22"/>
        <v>10000</v>
      </c>
      <c r="Q98">
        <f t="shared" si="15"/>
        <v>247.11401905985474</v>
      </c>
    </row>
    <row r="99" spans="1:17" x14ac:dyDescent="0.15">
      <c r="A99" s="10">
        <v>45868.614583333023</v>
      </c>
      <c r="B99">
        <f>COUNT(A99:$A$1158)/(48*252)</f>
        <v>8.7632275132275131E-2</v>
      </c>
      <c r="C99">
        <v>2.214</v>
      </c>
      <c r="D99">
        <v>0.10199999999999999</v>
      </c>
      <c r="E99">
        <f t="shared" si="12"/>
        <v>1.1545571376475294</v>
      </c>
      <c r="F99">
        <f t="shared" si="13"/>
        <v>-0.12413591380902389</v>
      </c>
      <c r="G99">
        <f t="shared" si="16"/>
        <v>-3.0000000000001137E-3</v>
      </c>
      <c r="H99">
        <f>IF(MOD(COUNTA($C$7:C99)-1,$J$2),H98,ROUND(F99*P99,-2))</f>
        <v>-1200</v>
      </c>
      <c r="I99">
        <f t="shared" si="17"/>
        <v>100</v>
      </c>
      <c r="J99">
        <f t="shared" si="18"/>
        <v>0</v>
      </c>
      <c r="K99">
        <f t="shared" si="19"/>
        <v>2936.4416420978691</v>
      </c>
      <c r="L99">
        <f t="shared" si="20"/>
        <v>279.64164209786895</v>
      </c>
      <c r="M99">
        <f t="shared" si="21"/>
        <v>3.8900369999996656</v>
      </c>
      <c r="N99">
        <f t="shared" si="23"/>
        <v>279.64164209786895</v>
      </c>
      <c r="O99" s="5">
        <f t="shared" si="14"/>
        <v>2.5045933201883697E-2</v>
      </c>
      <c r="P99">
        <f t="shared" si="22"/>
        <v>10000</v>
      </c>
      <c r="Q99">
        <f t="shared" si="15"/>
        <v>250.45933201883696</v>
      </c>
    </row>
    <row r="100" spans="1:17" x14ac:dyDescent="0.15">
      <c r="A100" s="10">
        <v>45868.618055555969</v>
      </c>
      <c r="B100">
        <f>COUNT(A100:$A$1158)/(48*252)</f>
        <v>8.7549603174603169E-2</v>
      </c>
      <c r="C100">
        <v>2.2120000000000002</v>
      </c>
      <c r="D100">
        <v>9.9000000000000005E-2</v>
      </c>
      <c r="E100">
        <f t="shared" si="12"/>
        <v>1.1497017474299154</v>
      </c>
      <c r="F100">
        <f t="shared" si="13"/>
        <v>-0.12513336719227519</v>
      </c>
      <c r="G100">
        <f t="shared" si="16"/>
        <v>-1.9999999999997797E-3</v>
      </c>
      <c r="H100">
        <f>IF(MOD(COUNTA($C$7:C100)-1,$J$2),H99,ROUND(F100*P100,-2))</f>
        <v>-1200</v>
      </c>
      <c r="I100">
        <f t="shared" si="17"/>
        <v>0</v>
      </c>
      <c r="J100">
        <f t="shared" si="18"/>
        <v>0</v>
      </c>
      <c r="K100">
        <f t="shared" si="19"/>
        <v>2936.4416420978691</v>
      </c>
      <c r="L100">
        <f t="shared" si="20"/>
        <v>282.04164209786904</v>
      </c>
      <c r="M100">
        <f t="shared" si="21"/>
        <v>2.4000000000000909</v>
      </c>
      <c r="N100">
        <f t="shared" si="23"/>
        <v>282.04164209786904</v>
      </c>
      <c r="O100" s="5">
        <f t="shared" si="14"/>
        <v>2.5259392235263634E-2</v>
      </c>
      <c r="P100">
        <f t="shared" si="22"/>
        <v>10000</v>
      </c>
      <c r="Q100">
        <f t="shared" si="15"/>
        <v>252.59392235263633</v>
      </c>
    </row>
    <row r="101" spans="1:17" x14ac:dyDescent="0.15">
      <c r="A101" s="10">
        <v>45868.621527777985</v>
      </c>
      <c r="B101">
        <f>COUNT(A101:$A$1158)/(48*252)</f>
        <v>8.7466931216931221E-2</v>
      </c>
      <c r="C101">
        <v>2.2130000000000001</v>
      </c>
      <c r="D101">
        <v>9.9000000000000005E-2</v>
      </c>
      <c r="E101">
        <f t="shared" si="12"/>
        <v>1.152804472858346</v>
      </c>
      <c r="F101">
        <f t="shared" si="13"/>
        <v>-0.12449532404488528</v>
      </c>
      <c r="G101">
        <f t="shared" si="16"/>
        <v>9.9999999999988987E-4</v>
      </c>
      <c r="H101">
        <f>IF(MOD(COUNTA($C$7:C101)-1,$J$2),H100,ROUND(F101*P101,-2))</f>
        <v>-1200</v>
      </c>
      <c r="I101">
        <f t="shared" si="17"/>
        <v>0</v>
      </c>
      <c r="J101">
        <f t="shared" si="18"/>
        <v>0</v>
      </c>
      <c r="K101">
        <f t="shared" si="19"/>
        <v>2936.4416420978691</v>
      </c>
      <c r="L101">
        <f t="shared" si="20"/>
        <v>280.84164209786923</v>
      </c>
      <c r="M101">
        <f t="shared" si="21"/>
        <v>-1.1999999999998181</v>
      </c>
      <c r="N101">
        <f t="shared" si="23"/>
        <v>280.84164209786923</v>
      </c>
      <c r="O101" s="5">
        <f t="shared" si="14"/>
        <v>2.5098723986693716E-2</v>
      </c>
      <c r="P101">
        <f t="shared" si="22"/>
        <v>10000</v>
      </c>
      <c r="Q101">
        <f t="shared" si="15"/>
        <v>250.98723986693716</v>
      </c>
    </row>
    <row r="102" spans="1:17" x14ac:dyDescent="0.15">
      <c r="A102" s="10">
        <v>45868.625</v>
      </c>
      <c r="B102">
        <f>COUNT(A102:$A$1158)/(48*252)</f>
        <v>8.7384259259259259E-2</v>
      </c>
      <c r="C102">
        <v>2.2120000000000002</v>
      </c>
      <c r="D102">
        <v>9.8000000000000004E-2</v>
      </c>
      <c r="E102">
        <f t="shared" si="12"/>
        <v>1.1505987820676091</v>
      </c>
      <c r="F102">
        <f t="shared" si="13"/>
        <v>-0.1249486671459118</v>
      </c>
      <c r="G102">
        <f t="shared" si="16"/>
        <v>-9.9999999999988987E-4</v>
      </c>
      <c r="H102">
        <f>IF(MOD(COUNTA($C$7:C102)-1,$J$2),H101,ROUND(F102*P102,-2))</f>
        <v>-1200</v>
      </c>
      <c r="I102">
        <f t="shared" si="17"/>
        <v>0</v>
      </c>
      <c r="J102">
        <f t="shared" si="18"/>
        <v>0</v>
      </c>
      <c r="K102">
        <f t="shared" si="19"/>
        <v>2936.4416420978691</v>
      </c>
      <c r="L102">
        <f t="shared" si="20"/>
        <v>282.04164209786904</v>
      </c>
      <c r="M102">
        <f t="shared" si="21"/>
        <v>1.1999999999998181</v>
      </c>
      <c r="N102">
        <f t="shared" si="23"/>
        <v>282.04164209786904</v>
      </c>
      <c r="O102" s="5">
        <f t="shared" si="14"/>
        <v>2.518759279664623E-2</v>
      </c>
      <c r="P102">
        <f t="shared" si="22"/>
        <v>10000</v>
      </c>
      <c r="Q102">
        <f t="shared" si="15"/>
        <v>251.87592796646229</v>
      </c>
    </row>
    <row r="103" spans="1:17" x14ac:dyDescent="0.15">
      <c r="A103" s="10">
        <v>45869.399305555969</v>
      </c>
      <c r="B103">
        <f>COUNT(A103:$A$1158)/(48*252)</f>
        <v>8.7301587301587297E-2</v>
      </c>
      <c r="C103">
        <v>2.2160000000000002</v>
      </c>
      <c r="D103">
        <v>0.10100000000000001</v>
      </c>
      <c r="E103">
        <f t="shared" si="12"/>
        <v>1.1616693686284245</v>
      </c>
      <c r="F103">
        <f t="shared" si="13"/>
        <v>-0.12268489634781177</v>
      </c>
      <c r="G103">
        <f t="shared" si="16"/>
        <v>4.0000000000000036E-3</v>
      </c>
      <c r="H103">
        <f>IF(MOD(COUNTA($C$7:C103)-1,$J$2),H102,ROUND(F103*P103,-2))</f>
        <v>-1200</v>
      </c>
      <c r="I103">
        <f t="shared" si="17"/>
        <v>0</v>
      </c>
      <c r="J103">
        <f t="shared" si="18"/>
        <v>0</v>
      </c>
      <c r="K103">
        <f t="shared" si="19"/>
        <v>2936.4416420978691</v>
      </c>
      <c r="L103">
        <f t="shared" si="20"/>
        <v>277.24164209786886</v>
      </c>
      <c r="M103">
        <f t="shared" si="21"/>
        <v>-4.8000000000001819</v>
      </c>
      <c r="N103">
        <f t="shared" si="23"/>
        <v>277.24164209786886</v>
      </c>
      <c r="O103" s="5">
        <f t="shared" si="14"/>
        <v>2.4656622629269431E-2</v>
      </c>
      <c r="P103">
        <f t="shared" si="22"/>
        <v>10000</v>
      </c>
      <c r="Q103">
        <f t="shared" si="15"/>
        <v>246.56622629269432</v>
      </c>
    </row>
    <row r="104" spans="1:17" x14ac:dyDescent="0.15">
      <c r="A104" s="10">
        <v>45869.402777777985</v>
      </c>
      <c r="B104">
        <f>COUNT(A104:$A$1158)/(48*252)</f>
        <v>8.7218915343915349E-2</v>
      </c>
      <c r="C104">
        <v>2.222</v>
      </c>
      <c r="D104">
        <v>0.10199999999999999</v>
      </c>
      <c r="E104">
        <f t="shared" si="12"/>
        <v>1.1780278339339234</v>
      </c>
      <c r="F104">
        <f t="shared" si="13"/>
        <v>-0.11939275499549651</v>
      </c>
      <c r="G104">
        <f t="shared" si="16"/>
        <v>5.9999999999997833E-3</v>
      </c>
      <c r="H104">
        <f>IF(MOD(COUNTA($C$7:C104)-1,$J$2),H103,ROUND(F104*P104,-2))</f>
        <v>-1200</v>
      </c>
      <c r="I104">
        <f t="shared" si="17"/>
        <v>0</v>
      </c>
      <c r="J104">
        <f t="shared" si="18"/>
        <v>0</v>
      </c>
      <c r="K104">
        <f t="shared" si="19"/>
        <v>2936.4416420978691</v>
      </c>
      <c r="L104">
        <f t="shared" si="20"/>
        <v>270.04164209786904</v>
      </c>
      <c r="M104">
        <f t="shared" si="21"/>
        <v>-7.1999999999998181</v>
      </c>
      <c r="N104">
        <f t="shared" si="23"/>
        <v>270.04164209786904</v>
      </c>
      <c r="O104" s="5">
        <f t="shared" si="14"/>
        <v>2.3895174121438323E-2</v>
      </c>
      <c r="P104">
        <f t="shared" si="22"/>
        <v>10000</v>
      </c>
      <c r="Q104">
        <f t="shared" si="15"/>
        <v>238.95174121438322</v>
      </c>
    </row>
    <row r="105" spans="1:17" x14ac:dyDescent="0.15">
      <c r="A105" s="10">
        <v>45869.40625</v>
      </c>
      <c r="B105">
        <f>COUNT(A105:$A$1158)/(48*252)</f>
        <v>8.7136243386243387E-2</v>
      </c>
      <c r="C105">
        <v>2.218</v>
      </c>
      <c r="D105">
        <v>0.10199999999999999</v>
      </c>
      <c r="E105">
        <f t="shared" si="12"/>
        <v>1.1678889402053141</v>
      </c>
      <c r="F105">
        <f t="shared" si="13"/>
        <v>-0.12142578294022111</v>
      </c>
      <c r="G105">
        <f t="shared" si="16"/>
        <v>-4.0000000000000036E-3</v>
      </c>
      <c r="H105">
        <f>IF(MOD(COUNTA($C$7:C105)-1,$J$2),H104,ROUND(F105*P105,-2))</f>
        <v>-1200</v>
      </c>
      <c r="I105">
        <f t="shared" si="17"/>
        <v>0</v>
      </c>
      <c r="J105">
        <f t="shared" si="18"/>
        <v>0</v>
      </c>
      <c r="K105">
        <f t="shared" si="19"/>
        <v>2936.4416420978691</v>
      </c>
      <c r="L105">
        <f t="shared" si="20"/>
        <v>274.84164209786923</v>
      </c>
      <c r="M105">
        <f t="shared" si="21"/>
        <v>4.8000000000001819</v>
      </c>
      <c r="N105">
        <f t="shared" si="23"/>
        <v>274.84164209786923</v>
      </c>
      <c r="O105" s="5">
        <f t="shared" si="14"/>
        <v>2.4341645536441414E-2</v>
      </c>
      <c r="P105">
        <f t="shared" si="22"/>
        <v>10000</v>
      </c>
      <c r="Q105">
        <f t="shared" si="15"/>
        <v>243.41645536441413</v>
      </c>
    </row>
    <row r="106" spans="1:17" x14ac:dyDescent="0.15">
      <c r="A106" s="10">
        <v>45869.409722222015</v>
      </c>
      <c r="B106">
        <f>COUNT(A106:$A$1158)/(48*252)</f>
        <v>8.7053571428571425E-2</v>
      </c>
      <c r="C106">
        <v>2.218</v>
      </c>
      <c r="D106">
        <v>0.10100000000000001</v>
      </c>
      <c r="E106">
        <f t="shared" si="12"/>
        <v>1.1683481043391102</v>
      </c>
      <c r="F106">
        <f t="shared" si="13"/>
        <v>-0.12133318945686333</v>
      </c>
      <c r="G106">
        <f t="shared" si="16"/>
        <v>0</v>
      </c>
      <c r="H106">
        <f>IF(MOD(COUNTA($C$7:C106)-1,$J$2),H105,ROUND(F106*P106,-2))</f>
        <v>-1200</v>
      </c>
      <c r="I106">
        <f t="shared" si="17"/>
        <v>0</v>
      </c>
      <c r="J106">
        <f t="shared" si="18"/>
        <v>0</v>
      </c>
      <c r="K106">
        <f t="shared" si="19"/>
        <v>2936.4416420978691</v>
      </c>
      <c r="L106">
        <f t="shared" si="20"/>
        <v>274.84164209786923</v>
      </c>
      <c r="M106">
        <f t="shared" si="21"/>
        <v>0</v>
      </c>
      <c r="N106">
        <f t="shared" si="23"/>
        <v>274.84164209786923</v>
      </c>
      <c r="O106" s="5">
        <f t="shared" si="14"/>
        <v>2.4306306572896341E-2</v>
      </c>
      <c r="P106">
        <f t="shared" si="22"/>
        <v>10000</v>
      </c>
      <c r="Q106">
        <f t="shared" si="15"/>
        <v>243.06306572896341</v>
      </c>
    </row>
    <row r="107" spans="1:17" x14ac:dyDescent="0.15">
      <c r="A107" s="10">
        <v>45869.413194444962</v>
      </c>
      <c r="B107">
        <f>COUNT(A107:$A$1158)/(48*252)</f>
        <v>8.6970899470899476E-2</v>
      </c>
      <c r="C107">
        <v>2.2170000000000001</v>
      </c>
      <c r="D107">
        <v>0.1</v>
      </c>
      <c r="E107">
        <f t="shared" si="12"/>
        <v>1.1661518630263119</v>
      </c>
      <c r="F107">
        <f t="shared" si="13"/>
        <v>-0.1217765254630242</v>
      </c>
      <c r="G107">
        <f t="shared" si="16"/>
        <v>-9.9999999999988987E-4</v>
      </c>
      <c r="H107">
        <f>IF(MOD(COUNTA($C$7:C107)-1,$J$2),H106,ROUND(F107*P107,-2))</f>
        <v>-1200</v>
      </c>
      <c r="I107">
        <f t="shared" si="17"/>
        <v>0</v>
      </c>
      <c r="J107">
        <f t="shared" si="18"/>
        <v>0</v>
      </c>
      <c r="K107">
        <f t="shared" si="19"/>
        <v>2936.4416420978691</v>
      </c>
      <c r="L107">
        <f t="shared" si="20"/>
        <v>276.04164209786904</v>
      </c>
      <c r="M107">
        <f t="shared" si="21"/>
        <v>1.1999999999998181</v>
      </c>
      <c r="N107">
        <f t="shared" si="23"/>
        <v>276.04164209786904</v>
      </c>
      <c r="O107" s="5">
        <f t="shared" si="14"/>
        <v>2.4392477605955309E-2</v>
      </c>
      <c r="P107">
        <f t="shared" si="22"/>
        <v>10000</v>
      </c>
      <c r="Q107">
        <f t="shared" si="15"/>
        <v>243.9247760595531</v>
      </c>
    </row>
    <row r="108" spans="1:17" x14ac:dyDescent="0.15">
      <c r="A108" s="10">
        <v>45869.416666666977</v>
      </c>
      <c r="B108">
        <f>COUNT(A108:$A$1158)/(48*252)</f>
        <v>8.6888227513227514E-2</v>
      </c>
      <c r="C108">
        <v>2.2280000000000002</v>
      </c>
      <c r="D108">
        <v>0.10199999999999999</v>
      </c>
      <c r="E108">
        <f t="shared" si="12"/>
        <v>1.1957765167601033</v>
      </c>
      <c r="F108">
        <f t="shared" si="13"/>
        <v>-0.11589189115080756</v>
      </c>
      <c r="G108">
        <f t="shared" si="16"/>
        <v>1.1000000000000121E-2</v>
      </c>
      <c r="H108">
        <f>IF(MOD(COUNTA($C$7:C108)-1,$J$2),H107,ROUND(F108*P108,-2))</f>
        <v>-1200</v>
      </c>
      <c r="I108">
        <f t="shared" si="17"/>
        <v>0</v>
      </c>
      <c r="J108">
        <f t="shared" si="18"/>
        <v>0</v>
      </c>
      <c r="K108">
        <f t="shared" si="19"/>
        <v>2936.4416420978691</v>
      </c>
      <c r="L108">
        <f t="shared" si="20"/>
        <v>262.84164209786877</v>
      </c>
      <c r="M108">
        <f t="shared" si="21"/>
        <v>-13.200000000000273</v>
      </c>
      <c r="N108">
        <f t="shared" si="23"/>
        <v>262.84164209786877</v>
      </c>
      <c r="O108" s="5">
        <f t="shared" si="14"/>
        <v>2.3050592478711329E-2</v>
      </c>
      <c r="P108">
        <f t="shared" si="22"/>
        <v>10000</v>
      </c>
      <c r="Q108">
        <f t="shared" si="15"/>
        <v>230.50592478711329</v>
      </c>
    </row>
    <row r="109" spans="1:17" x14ac:dyDescent="0.15">
      <c r="A109" s="10">
        <v>45869.420138888992</v>
      </c>
      <c r="B109">
        <f>COUNT(A109:$A$1158)/(48*252)</f>
        <v>8.6805555555555552E-2</v>
      </c>
      <c r="C109">
        <v>2.2309999999999999</v>
      </c>
      <c r="D109">
        <v>0.10199999999999999</v>
      </c>
      <c r="E109">
        <f t="shared" si="12"/>
        <v>1.2041833780533429</v>
      </c>
      <c r="F109">
        <f t="shared" si="13"/>
        <v>-0.11425935452337088</v>
      </c>
      <c r="G109">
        <f t="shared" si="16"/>
        <v>2.9999999999996696E-3</v>
      </c>
      <c r="H109">
        <f>IF(MOD(COUNTA($C$7:C109)-1,$J$2),H108,ROUND(F109*P109,-2))</f>
        <v>-1100</v>
      </c>
      <c r="I109">
        <f t="shared" si="17"/>
        <v>100</v>
      </c>
      <c r="J109">
        <f t="shared" si="18"/>
        <v>0</v>
      </c>
      <c r="K109">
        <f t="shared" si="19"/>
        <v>2713.3316025978693</v>
      </c>
      <c r="L109">
        <f t="shared" si="20"/>
        <v>259.23160259786937</v>
      </c>
      <c r="M109">
        <f t="shared" si="21"/>
        <v>-3.6100394999994023</v>
      </c>
      <c r="N109">
        <f t="shared" si="23"/>
        <v>259.23160259786937</v>
      </c>
      <c r="O109" s="5">
        <f t="shared" si="14"/>
        <v>2.267110126900318E-2</v>
      </c>
      <c r="P109">
        <f t="shared" si="22"/>
        <v>10000</v>
      </c>
      <c r="Q109">
        <f t="shared" si="15"/>
        <v>226.71101269003179</v>
      </c>
    </row>
    <row r="110" spans="1:17" x14ac:dyDescent="0.15">
      <c r="A110" s="10">
        <v>45869.423611111008</v>
      </c>
      <c r="B110">
        <f>COUNT(A110:$A$1158)/(48*252)</f>
        <v>8.6722883597883604E-2</v>
      </c>
      <c r="C110">
        <v>2.2469999999999999</v>
      </c>
      <c r="D110">
        <v>0.105</v>
      </c>
      <c r="E110">
        <f t="shared" si="12"/>
        <v>1.2468116908075393</v>
      </c>
      <c r="F110">
        <f t="shared" si="13"/>
        <v>-0.10623327640683877</v>
      </c>
      <c r="G110">
        <f t="shared" si="16"/>
        <v>1.6000000000000014E-2</v>
      </c>
      <c r="H110">
        <f>IF(MOD(COUNTA($C$7:C110)-1,$J$2),H109,ROUND(F110*P110,-2))</f>
        <v>-1100</v>
      </c>
      <c r="I110">
        <f t="shared" si="17"/>
        <v>0</v>
      </c>
      <c r="J110">
        <f t="shared" si="18"/>
        <v>0</v>
      </c>
      <c r="K110">
        <f t="shared" si="19"/>
        <v>2713.3316025978693</v>
      </c>
      <c r="L110">
        <f t="shared" si="20"/>
        <v>241.63160259786946</v>
      </c>
      <c r="M110">
        <f t="shared" si="21"/>
        <v>-17.599999999999909</v>
      </c>
      <c r="N110">
        <f t="shared" si="23"/>
        <v>241.63160259786946</v>
      </c>
      <c r="O110" s="5">
        <f t="shared" si="14"/>
        <v>2.0874394331939022E-2</v>
      </c>
      <c r="P110">
        <f t="shared" si="22"/>
        <v>10000</v>
      </c>
      <c r="Q110">
        <f t="shared" si="15"/>
        <v>208.74394331939021</v>
      </c>
    </row>
    <row r="111" spans="1:17" x14ac:dyDescent="0.15">
      <c r="A111" s="10">
        <v>45869.427083333023</v>
      </c>
      <c r="B111">
        <f>COUNT(A111:$A$1158)/(48*252)</f>
        <v>8.6640211640211642E-2</v>
      </c>
      <c r="C111">
        <v>2.2450000000000001</v>
      </c>
      <c r="D111">
        <v>0.105</v>
      </c>
      <c r="E111">
        <f t="shared" si="12"/>
        <v>1.2420561149238982</v>
      </c>
      <c r="F111">
        <f t="shared" si="13"/>
        <v>-0.10710792936923663</v>
      </c>
      <c r="G111">
        <f t="shared" si="16"/>
        <v>-1.9999999999997797E-3</v>
      </c>
      <c r="H111">
        <f>IF(MOD(COUNTA($C$7:C111)-1,$J$2),H110,ROUND(F111*P111,-2))</f>
        <v>-1100</v>
      </c>
      <c r="I111">
        <f t="shared" si="17"/>
        <v>0</v>
      </c>
      <c r="J111">
        <f t="shared" si="18"/>
        <v>0</v>
      </c>
      <c r="K111">
        <f t="shared" si="19"/>
        <v>2713.3316025978693</v>
      </c>
      <c r="L111">
        <f t="shared" si="20"/>
        <v>243.83160259786928</v>
      </c>
      <c r="M111">
        <f t="shared" si="21"/>
        <v>2.1999999999998181</v>
      </c>
      <c r="N111">
        <f t="shared" si="23"/>
        <v>243.83160259786928</v>
      </c>
      <c r="O111" s="5">
        <f t="shared" si="14"/>
        <v>2.1054991017155106E-2</v>
      </c>
      <c r="P111">
        <f t="shared" si="22"/>
        <v>10000</v>
      </c>
      <c r="Q111">
        <f t="shared" si="15"/>
        <v>210.54991017155106</v>
      </c>
    </row>
    <row r="112" spans="1:17" x14ac:dyDescent="0.15">
      <c r="A112" s="10">
        <v>45869.430555555969</v>
      </c>
      <c r="B112">
        <f>COUNT(A112:$A$1158)/(48*252)</f>
        <v>8.655753968253968E-2</v>
      </c>
      <c r="C112">
        <v>2.2389999999999999</v>
      </c>
      <c r="D112">
        <v>0.10100000000000001</v>
      </c>
      <c r="E112">
        <f t="shared" si="12"/>
        <v>1.226753511684352</v>
      </c>
      <c r="F112">
        <f t="shared" si="13"/>
        <v>-0.10995762421172262</v>
      </c>
      <c r="G112">
        <f t="shared" si="16"/>
        <v>-6.0000000000002274E-3</v>
      </c>
      <c r="H112">
        <f>IF(MOD(COUNTA($C$7:C112)-1,$J$2),H111,ROUND(F112*P112,-2))</f>
        <v>-1100</v>
      </c>
      <c r="I112">
        <f t="shared" si="17"/>
        <v>0</v>
      </c>
      <c r="J112">
        <f t="shared" si="18"/>
        <v>0</v>
      </c>
      <c r="K112">
        <f t="shared" si="19"/>
        <v>2713.3316025978693</v>
      </c>
      <c r="L112">
        <f t="shared" si="20"/>
        <v>250.43160259786919</v>
      </c>
      <c r="M112">
        <f t="shared" si="21"/>
        <v>6.5999999999999091</v>
      </c>
      <c r="N112">
        <f t="shared" si="23"/>
        <v>250.43160259786919</v>
      </c>
      <c r="O112" s="5">
        <f t="shared" si="14"/>
        <v>2.1673048958883223E-2</v>
      </c>
      <c r="P112">
        <f t="shared" si="22"/>
        <v>10000</v>
      </c>
      <c r="Q112">
        <f t="shared" si="15"/>
        <v>216.73048958883223</v>
      </c>
    </row>
    <row r="113" spans="1:17" x14ac:dyDescent="0.15">
      <c r="A113" s="10">
        <v>45869.434027777985</v>
      </c>
      <c r="B113">
        <f>COUNT(A113:$A$1158)/(48*252)</f>
        <v>8.6474867724867718E-2</v>
      </c>
      <c r="C113">
        <v>2.238</v>
      </c>
      <c r="D113">
        <v>0.10100000000000001</v>
      </c>
      <c r="E113">
        <f t="shared" si="12"/>
        <v>1.2246054750020141</v>
      </c>
      <c r="F113">
        <f t="shared" si="13"/>
        <v>-0.11036195203233456</v>
      </c>
      <c r="G113">
        <f t="shared" si="16"/>
        <v>-9.9999999999988987E-4</v>
      </c>
      <c r="H113">
        <f>IF(MOD(COUNTA($C$7:C113)-1,$J$2),H112,ROUND(F113*P113,-2))</f>
        <v>-1100</v>
      </c>
      <c r="I113">
        <f t="shared" si="17"/>
        <v>0</v>
      </c>
      <c r="J113">
        <f t="shared" si="18"/>
        <v>0</v>
      </c>
      <c r="K113">
        <f t="shared" si="19"/>
        <v>2713.3316025978693</v>
      </c>
      <c r="L113">
        <f t="shared" si="20"/>
        <v>251.5316025978691</v>
      </c>
      <c r="M113">
        <f t="shared" si="21"/>
        <v>1.0999999999999091</v>
      </c>
      <c r="N113">
        <f t="shared" si="23"/>
        <v>251.5316025978691</v>
      </c>
      <c r="O113" s="5">
        <f t="shared" si="14"/>
        <v>2.1749783614480378E-2</v>
      </c>
      <c r="P113">
        <f t="shared" si="22"/>
        <v>10000</v>
      </c>
      <c r="Q113">
        <f t="shared" si="15"/>
        <v>217.49783614480378</v>
      </c>
    </row>
    <row r="114" spans="1:17" x14ac:dyDescent="0.15">
      <c r="A114" s="10">
        <v>45869.4375</v>
      </c>
      <c r="B114">
        <f>COUNT(A114:$A$1158)/(48*252)</f>
        <v>8.639219576719577E-2</v>
      </c>
      <c r="C114">
        <v>2.242</v>
      </c>
      <c r="D114">
        <v>0.10199999999999999</v>
      </c>
      <c r="E114">
        <f t="shared" si="12"/>
        <v>1.2356485222751856</v>
      </c>
      <c r="F114">
        <f t="shared" si="13"/>
        <v>-0.10829462004280388</v>
      </c>
      <c r="G114">
        <f t="shared" si="16"/>
        <v>4.0000000000000036E-3</v>
      </c>
      <c r="H114">
        <f>IF(MOD(COUNTA($C$7:C114)-1,$J$2),H113,ROUND(F114*P114,-2))</f>
        <v>-1100</v>
      </c>
      <c r="I114">
        <f t="shared" si="17"/>
        <v>0</v>
      </c>
      <c r="J114">
        <f t="shared" si="18"/>
        <v>0</v>
      </c>
      <c r="K114">
        <f t="shared" si="19"/>
        <v>2713.3316025978693</v>
      </c>
      <c r="L114">
        <f t="shared" si="20"/>
        <v>247.13160259786946</v>
      </c>
      <c r="M114">
        <f t="shared" si="21"/>
        <v>-4.3999999999996362</v>
      </c>
      <c r="N114">
        <f t="shared" si="23"/>
        <v>247.13160259786946</v>
      </c>
      <c r="O114" s="5">
        <f t="shared" si="14"/>
        <v>2.1279197358203022E-2</v>
      </c>
      <c r="P114">
        <f t="shared" si="22"/>
        <v>10000</v>
      </c>
      <c r="Q114">
        <f t="shared" si="15"/>
        <v>212.79197358203024</v>
      </c>
    </row>
    <row r="115" spans="1:17" x14ac:dyDescent="0.15">
      <c r="A115" s="10">
        <v>45869.440972222015</v>
      </c>
      <c r="B115">
        <f>COUNT(A115:$A$1158)/(48*252)</f>
        <v>8.6309523809523808E-2</v>
      </c>
      <c r="C115">
        <v>2.2429999999999999</v>
      </c>
      <c r="D115">
        <v>0.104</v>
      </c>
      <c r="E115">
        <f t="shared" si="12"/>
        <v>1.2387810374534274</v>
      </c>
      <c r="F115">
        <f t="shared" si="13"/>
        <v>-0.10771329909500205</v>
      </c>
      <c r="G115">
        <f t="shared" si="16"/>
        <v>9.9999999999988987E-4</v>
      </c>
      <c r="H115">
        <f>IF(MOD(COUNTA($C$7:C115)-1,$J$2),H114,ROUND(F115*P115,-2))</f>
        <v>-1100</v>
      </c>
      <c r="I115">
        <f t="shared" si="17"/>
        <v>0</v>
      </c>
      <c r="J115">
        <f t="shared" si="18"/>
        <v>0</v>
      </c>
      <c r="K115">
        <f t="shared" si="19"/>
        <v>2713.3316025978693</v>
      </c>
      <c r="L115">
        <f t="shared" si="20"/>
        <v>246.03160259786955</v>
      </c>
      <c r="M115">
        <f t="shared" si="21"/>
        <v>-1.0999999999999091</v>
      </c>
      <c r="N115">
        <f t="shared" si="23"/>
        <v>246.03160259786955</v>
      </c>
      <c r="O115" s="5">
        <f t="shared" si="14"/>
        <v>2.113814495687194E-2</v>
      </c>
      <c r="P115">
        <f t="shared" si="22"/>
        <v>10000</v>
      </c>
      <c r="Q115">
        <f t="shared" si="15"/>
        <v>211.3814495687194</v>
      </c>
    </row>
    <row r="116" spans="1:17" x14ac:dyDescent="0.15">
      <c r="A116" s="10">
        <v>45869.444444444962</v>
      </c>
      <c r="B116">
        <f>COUNT(A116:$A$1158)/(48*252)</f>
        <v>8.6226851851851846E-2</v>
      </c>
      <c r="C116">
        <v>2.2450000000000001</v>
      </c>
      <c r="D116">
        <v>0.106</v>
      </c>
      <c r="E116">
        <f t="shared" si="12"/>
        <v>1.2445511145102472</v>
      </c>
      <c r="F116">
        <f t="shared" si="13"/>
        <v>-0.10664839969846607</v>
      </c>
      <c r="G116">
        <f t="shared" si="16"/>
        <v>2.0000000000002238E-3</v>
      </c>
      <c r="H116">
        <f>IF(MOD(COUNTA($C$7:C116)-1,$J$2),H115,ROUND(F116*P116,-2))</f>
        <v>-1100</v>
      </c>
      <c r="I116">
        <f t="shared" si="17"/>
        <v>0</v>
      </c>
      <c r="J116">
        <f t="shared" si="18"/>
        <v>0</v>
      </c>
      <c r="K116">
        <f t="shared" si="19"/>
        <v>2713.3316025978693</v>
      </c>
      <c r="L116">
        <f t="shared" si="20"/>
        <v>243.83160259786928</v>
      </c>
      <c r="M116">
        <f t="shared" si="21"/>
        <v>-2.2000000000002728</v>
      </c>
      <c r="N116">
        <f t="shared" si="23"/>
        <v>243.83160259786928</v>
      </c>
      <c r="O116" s="5">
        <f t="shared" si="14"/>
        <v>2.0890878176395872E-2</v>
      </c>
      <c r="P116">
        <f t="shared" si="22"/>
        <v>10000</v>
      </c>
      <c r="Q116">
        <f t="shared" si="15"/>
        <v>208.90878176395873</v>
      </c>
    </row>
    <row r="117" spans="1:17" x14ac:dyDescent="0.15">
      <c r="A117" s="10">
        <v>45869.447916666977</v>
      </c>
      <c r="B117">
        <f>COUNT(A117:$A$1158)/(48*252)</f>
        <v>8.6144179894179898E-2</v>
      </c>
      <c r="C117">
        <v>2.2519999999999998</v>
      </c>
      <c r="D117">
        <v>0.108</v>
      </c>
      <c r="E117">
        <f t="shared" si="12"/>
        <v>1.2634765961758265</v>
      </c>
      <c r="F117">
        <f t="shared" si="13"/>
        <v>-0.10320897614120772</v>
      </c>
      <c r="G117">
        <f t="shared" si="16"/>
        <v>6.9999999999996732E-3</v>
      </c>
      <c r="H117">
        <f>IF(MOD(COUNTA($C$7:C117)-1,$J$2),H116,ROUND(F117*P117,-2))</f>
        <v>-1000</v>
      </c>
      <c r="I117">
        <f t="shared" si="17"/>
        <v>100</v>
      </c>
      <c r="J117">
        <f t="shared" si="18"/>
        <v>0</v>
      </c>
      <c r="K117">
        <f t="shared" si="19"/>
        <v>2488.1214685978694</v>
      </c>
      <c r="L117">
        <f t="shared" si="20"/>
        <v>236.12146859786935</v>
      </c>
      <c r="M117">
        <f t="shared" si="21"/>
        <v>-7.7101339999999254</v>
      </c>
      <c r="N117">
        <f t="shared" si="23"/>
        <v>236.12146859786935</v>
      </c>
      <c r="O117" s="5">
        <f t="shared" si="14"/>
        <v>2.0123941116486493E-2</v>
      </c>
      <c r="P117">
        <f t="shared" si="22"/>
        <v>10000</v>
      </c>
      <c r="Q117">
        <f t="shared" si="15"/>
        <v>201.23941116486495</v>
      </c>
    </row>
    <row r="118" spans="1:17" x14ac:dyDescent="0.15">
      <c r="A118" s="10">
        <v>45869.451388888992</v>
      </c>
      <c r="B118">
        <f>COUNT(A118:$A$1158)/(48*252)</f>
        <v>8.6061507936507936E-2</v>
      </c>
      <c r="C118">
        <v>2.2450000000000001</v>
      </c>
      <c r="D118">
        <v>0.104</v>
      </c>
      <c r="E118">
        <f t="shared" si="12"/>
        <v>1.2455544652844193</v>
      </c>
      <c r="F118">
        <f t="shared" si="13"/>
        <v>-0.10646400404919365</v>
      </c>
      <c r="G118">
        <f t="shared" si="16"/>
        <v>-6.9999999999996732E-3</v>
      </c>
      <c r="H118">
        <f>IF(MOD(COUNTA($C$7:C118)-1,$J$2),H117,ROUND(F118*P118,-2))</f>
        <v>-1000</v>
      </c>
      <c r="I118">
        <f t="shared" si="17"/>
        <v>0</v>
      </c>
      <c r="J118">
        <f t="shared" si="18"/>
        <v>0</v>
      </c>
      <c r="K118">
        <f t="shared" si="19"/>
        <v>2488.1214685978694</v>
      </c>
      <c r="L118">
        <f t="shared" si="20"/>
        <v>243.12146859786935</v>
      </c>
      <c r="M118">
        <f t="shared" si="21"/>
        <v>7</v>
      </c>
      <c r="N118">
        <f t="shared" si="23"/>
        <v>243.12146859786935</v>
      </c>
      <c r="O118" s="5">
        <f t="shared" si="14"/>
        <v>2.0825262444481657E-2</v>
      </c>
      <c r="P118">
        <f t="shared" si="22"/>
        <v>10000</v>
      </c>
      <c r="Q118">
        <f t="shared" si="15"/>
        <v>208.25262444481658</v>
      </c>
    </row>
    <row r="119" spans="1:17" x14ac:dyDescent="0.15">
      <c r="A119" s="10">
        <v>45869.454861111008</v>
      </c>
      <c r="B119">
        <f>COUNT(A119:$A$1158)/(48*252)</f>
        <v>8.5978835978835974E-2</v>
      </c>
      <c r="C119">
        <v>2.2370000000000001</v>
      </c>
      <c r="D119">
        <v>0.10199999999999999</v>
      </c>
      <c r="E119">
        <f t="shared" si="12"/>
        <v>1.2249102981884423</v>
      </c>
      <c r="F119">
        <f t="shared" si="13"/>
        <v>-0.11030450993599583</v>
      </c>
      <c r="G119">
        <f t="shared" si="16"/>
        <v>-8.0000000000000071E-3</v>
      </c>
      <c r="H119">
        <f>IF(MOD(COUNTA($C$7:C119)-1,$J$2),H118,ROUND(F119*P119,-2))</f>
        <v>-1100</v>
      </c>
      <c r="I119">
        <f t="shared" si="17"/>
        <v>-100</v>
      </c>
      <c r="J119">
        <f t="shared" si="18"/>
        <v>0</v>
      </c>
      <c r="K119">
        <f t="shared" si="19"/>
        <v>2711.8114020978692</v>
      </c>
      <c r="L119">
        <f t="shared" si="20"/>
        <v>251.1114020978689</v>
      </c>
      <c r="M119">
        <f t="shared" si="21"/>
        <v>7.9899334999995517</v>
      </c>
      <c r="N119">
        <f t="shared" si="23"/>
        <v>251.1114020978689</v>
      </c>
      <c r="O119" s="5">
        <f t="shared" si="14"/>
        <v>2.1659087878096311E-2</v>
      </c>
      <c r="P119">
        <f t="shared" si="22"/>
        <v>10000</v>
      </c>
      <c r="Q119">
        <f t="shared" si="15"/>
        <v>216.59087878096312</v>
      </c>
    </row>
    <row r="120" spans="1:17" x14ac:dyDescent="0.15">
      <c r="A120" s="10">
        <v>45869.458333333023</v>
      </c>
      <c r="B120">
        <f>COUNT(A120:$A$1158)/(48*252)</f>
        <v>8.5896164021164026E-2</v>
      </c>
      <c r="C120">
        <v>2.2389999999999999</v>
      </c>
      <c r="D120">
        <v>0.10199999999999999</v>
      </c>
      <c r="E120">
        <f t="shared" si="12"/>
        <v>1.2307001029612181</v>
      </c>
      <c r="F120">
        <f t="shared" si="13"/>
        <v>-0.10921752478948277</v>
      </c>
      <c r="G120">
        <f t="shared" si="16"/>
        <v>1.9999999999997797E-3</v>
      </c>
      <c r="H120">
        <f>IF(MOD(COUNTA($C$7:C120)-1,$J$2),H119,ROUND(F120*P120,-2))</f>
        <v>-1100</v>
      </c>
      <c r="I120">
        <f t="shared" si="17"/>
        <v>0</v>
      </c>
      <c r="J120">
        <f t="shared" si="18"/>
        <v>0</v>
      </c>
      <c r="K120">
        <f t="shared" si="19"/>
        <v>2711.8114020978692</v>
      </c>
      <c r="L120">
        <f t="shared" si="20"/>
        <v>248.91140209786909</v>
      </c>
      <c r="M120">
        <f t="shared" si="21"/>
        <v>-2.1999999999998181</v>
      </c>
      <c r="N120">
        <f t="shared" si="23"/>
        <v>248.91140209786909</v>
      </c>
      <c r="O120" s="5">
        <f t="shared" si="14"/>
        <v>2.1406121402988865E-2</v>
      </c>
      <c r="P120">
        <f t="shared" si="22"/>
        <v>10000</v>
      </c>
      <c r="Q120">
        <f t="shared" si="15"/>
        <v>214.06121402988865</v>
      </c>
    </row>
    <row r="121" spans="1:17" x14ac:dyDescent="0.15">
      <c r="A121" s="10">
        <v>45869.461805555969</v>
      </c>
      <c r="B121">
        <f>COUNT(A121:$A$1158)/(48*252)</f>
        <v>8.5813492063492064E-2</v>
      </c>
      <c r="C121">
        <v>2.238</v>
      </c>
      <c r="D121">
        <v>0.10100000000000001</v>
      </c>
      <c r="E121">
        <f t="shared" si="12"/>
        <v>1.2285479676146471</v>
      </c>
      <c r="F121">
        <f t="shared" si="13"/>
        <v>-0.10962066714707364</v>
      </c>
      <c r="G121">
        <f t="shared" si="16"/>
        <v>-9.9999999999988987E-4</v>
      </c>
      <c r="H121">
        <f>IF(MOD(COUNTA($C$7:C121)-1,$J$2),H120,ROUND(F121*P121,-2))</f>
        <v>-1100</v>
      </c>
      <c r="I121">
        <f t="shared" si="17"/>
        <v>0</v>
      </c>
      <c r="J121">
        <f t="shared" si="18"/>
        <v>0</v>
      </c>
      <c r="K121">
        <f t="shared" si="19"/>
        <v>2711.8114020978692</v>
      </c>
      <c r="L121">
        <f t="shared" si="20"/>
        <v>250.011402097869</v>
      </c>
      <c r="M121">
        <f t="shared" si="21"/>
        <v>1.0999999999999091</v>
      </c>
      <c r="N121">
        <f t="shared" si="23"/>
        <v>250.011402097869</v>
      </c>
      <c r="O121" s="5">
        <f t="shared" si="14"/>
        <v>2.1482144854286345E-2</v>
      </c>
      <c r="P121">
        <f t="shared" si="22"/>
        <v>10000</v>
      </c>
      <c r="Q121">
        <f t="shared" si="15"/>
        <v>214.82144854286344</v>
      </c>
    </row>
    <row r="122" spans="1:17" x14ac:dyDescent="0.15">
      <c r="A122" s="10">
        <v>45869.465277777985</v>
      </c>
      <c r="B122">
        <f>COUNT(A122:$A$1158)/(48*252)</f>
        <v>8.5730820105820102E-2</v>
      </c>
      <c r="C122">
        <v>2.2389999999999999</v>
      </c>
      <c r="D122">
        <v>0.10199999999999999</v>
      </c>
      <c r="E122">
        <f t="shared" si="12"/>
        <v>1.2316943412479842</v>
      </c>
      <c r="F122">
        <f t="shared" si="13"/>
        <v>-0.10903164222673567</v>
      </c>
      <c r="G122">
        <f t="shared" si="16"/>
        <v>9.9999999999988987E-4</v>
      </c>
      <c r="H122">
        <f>IF(MOD(COUNTA($C$7:C122)-1,$J$2),H121,ROUND(F122*P122,-2))</f>
        <v>-1100</v>
      </c>
      <c r="I122">
        <f t="shared" si="17"/>
        <v>0</v>
      </c>
      <c r="J122">
        <f t="shared" si="18"/>
        <v>0</v>
      </c>
      <c r="K122">
        <f t="shared" si="19"/>
        <v>2711.8114020978692</v>
      </c>
      <c r="L122">
        <f t="shared" si="20"/>
        <v>248.91140209786909</v>
      </c>
      <c r="M122">
        <f t="shared" si="21"/>
        <v>-1.0999999999999091</v>
      </c>
      <c r="N122">
        <f t="shared" si="23"/>
        <v>248.91140209786909</v>
      </c>
      <c r="O122" s="5">
        <f t="shared" si="14"/>
        <v>2.133942715223705E-2</v>
      </c>
      <c r="P122">
        <f t="shared" si="22"/>
        <v>10000</v>
      </c>
      <c r="Q122">
        <f t="shared" si="15"/>
        <v>213.3942715223705</v>
      </c>
    </row>
    <row r="123" spans="1:17" x14ac:dyDescent="0.15">
      <c r="A123" s="10">
        <v>45869.46875</v>
      </c>
      <c r="B123">
        <f>COUNT(A123:$A$1158)/(48*252)</f>
        <v>8.5648148148148154E-2</v>
      </c>
      <c r="C123">
        <v>2.2410000000000001</v>
      </c>
      <c r="D123">
        <v>0.10299999999999999</v>
      </c>
      <c r="E123">
        <f t="shared" si="12"/>
        <v>1.2374919139679428</v>
      </c>
      <c r="F123">
        <f t="shared" si="13"/>
        <v>-0.10795225722188462</v>
      </c>
      <c r="G123">
        <f t="shared" si="16"/>
        <v>2.0000000000002238E-3</v>
      </c>
      <c r="H123">
        <f>IF(MOD(COUNTA($C$7:C123)-1,$J$2),H122,ROUND(F123*P123,-2))</f>
        <v>-1100</v>
      </c>
      <c r="I123">
        <f t="shared" si="17"/>
        <v>0</v>
      </c>
      <c r="J123">
        <f t="shared" si="18"/>
        <v>0</v>
      </c>
      <c r="K123">
        <f t="shared" si="19"/>
        <v>2711.8114020978692</v>
      </c>
      <c r="L123">
        <f t="shared" si="20"/>
        <v>246.71140209786927</v>
      </c>
      <c r="M123">
        <f t="shared" si="21"/>
        <v>-2.1999999999998181</v>
      </c>
      <c r="N123">
        <f t="shared" si="23"/>
        <v>246.71140209786927</v>
      </c>
      <c r="O123" s="5">
        <f t="shared" si="14"/>
        <v>2.1089196195109045E-2</v>
      </c>
      <c r="P123">
        <f t="shared" si="22"/>
        <v>10000</v>
      </c>
      <c r="Q123">
        <f t="shared" si="15"/>
        <v>210.89196195109045</v>
      </c>
    </row>
    <row r="124" spans="1:17" x14ac:dyDescent="0.15">
      <c r="A124" s="10">
        <v>45869.472222222015</v>
      </c>
      <c r="B124">
        <f>COUNT(A124:$A$1158)/(48*252)</f>
        <v>8.5565476190476192E-2</v>
      </c>
      <c r="C124">
        <v>2.2410000000000001</v>
      </c>
      <c r="D124">
        <v>0.10100000000000001</v>
      </c>
      <c r="E124">
        <f t="shared" si="12"/>
        <v>1.2379935096404739</v>
      </c>
      <c r="F124">
        <f t="shared" si="13"/>
        <v>-0.1078592337056421</v>
      </c>
      <c r="G124">
        <f t="shared" si="16"/>
        <v>0</v>
      </c>
      <c r="H124">
        <f>IF(MOD(COUNTA($C$7:C124)-1,$J$2),H123,ROUND(F124*P124,-2))</f>
        <v>-1100</v>
      </c>
      <c r="I124">
        <f t="shared" si="17"/>
        <v>0</v>
      </c>
      <c r="J124">
        <f t="shared" si="18"/>
        <v>0</v>
      </c>
      <c r="K124">
        <f t="shared" si="19"/>
        <v>2711.8114020978692</v>
      </c>
      <c r="L124">
        <f t="shared" si="20"/>
        <v>246.71140209786927</v>
      </c>
      <c r="M124">
        <f t="shared" si="21"/>
        <v>0</v>
      </c>
      <c r="N124">
        <f t="shared" si="23"/>
        <v>246.71140209786927</v>
      </c>
      <c r="O124" s="5">
        <f t="shared" si="14"/>
        <v>2.1056044906924087E-2</v>
      </c>
      <c r="P124">
        <f t="shared" si="22"/>
        <v>10000</v>
      </c>
      <c r="Q124">
        <f t="shared" si="15"/>
        <v>210.56044906924086</v>
      </c>
    </row>
    <row r="125" spans="1:17" x14ac:dyDescent="0.15">
      <c r="A125" s="10">
        <v>45869.475694444962</v>
      </c>
      <c r="B125">
        <f>COUNT(A125:$A$1158)/(48*252)</f>
        <v>8.548280423280423E-2</v>
      </c>
      <c r="C125">
        <v>2.238</v>
      </c>
      <c r="D125">
        <v>0.10199999999999999</v>
      </c>
      <c r="E125">
        <f t="shared" si="12"/>
        <v>1.2305374610570869</v>
      </c>
      <c r="F125">
        <f t="shared" si="13"/>
        <v>-0.109247953940103</v>
      </c>
      <c r="G125">
        <f t="shared" si="16"/>
        <v>-3.0000000000001137E-3</v>
      </c>
      <c r="H125">
        <f>IF(MOD(COUNTA($C$7:C125)-1,$J$2),H124,ROUND(F125*P125,-2))</f>
        <v>-1100</v>
      </c>
      <c r="I125">
        <f t="shared" si="17"/>
        <v>0</v>
      </c>
      <c r="J125">
        <f t="shared" si="18"/>
        <v>0</v>
      </c>
      <c r="K125">
        <f t="shared" si="19"/>
        <v>2711.8114020978692</v>
      </c>
      <c r="L125">
        <f t="shared" si="20"/>
        <v>250.011402097869</v>
      </c>
      <c r="M125">
        <f t="shared" si="21"/>
        <v>3.2999999999997272</v>
      </c>
      <c r="N125">
        <f t="shared" si="23"/>
        <v>250.011402097869</v>
      </c>
      <c r="O125" s="5">
        <f t="shared" si="14"/>
        <v>2.1348414677741401E-2</v>
      </c>
      <c r="P125">
        <f t="shared" si="22"/>
        <v>10000</v>
      </c>
      <c r="Q125">
        <f t="shared" si="15"/>
        <v>213.484146777414</v>
      </c>
    </row>
    <row r="126" spans="1:17" x14ac:dyDescent="0.15">
      <c r="A126" s="10">
        <v>45869.479166666977</v>
      </c>
      <c r="B126">
        <f>COUNT(A126:$A$1158)/(48*252)</f>
        <v>8.5400132275132282E-2</v>
      </c>
      <c r="C126">
        <v>2.242</v>
      </c>
      <c r="D126">
        <v>0.10100000000000001</v>
      </c>
      <c r="E126">
        <f t="shared" si="12"/>
        <v>1.241650745954396</v>
      </c>
      <c r="F126">
        <f t="shared" si="13"/>
        <v>-0.10718272497878156</v>
      </c>
      <c r="G126">
        <f t="shared" si="16"/>
        <v>4.0000000000000036E-3</v>
      </c>
      <c r="H126">
        <f>IF(MOD(COUNTA($C$7:C126)-1,$J$2),H125,ROUND(F126*P126,-2))</f>
        <v>-1100</v>
      </c>
      <c r="I126">
        <f t="shared" si="17"/>
        <v>0</v>
      </c>
      <c r="J126">
        <f t="shared" si="18"/>
        <v>0</v>
      </c>
      <c r="K126">
        <f t="shared" si="19"/>
        <v>2711.8114020978692</v>
      </c>
      <c r="L126">
        <f t="shared" si="20"/>
        <v>245.61140209786936</v>
      </c>
      <c r="M126">
        <f t="shared" si="21"/>
        <v>-4.3999999999996362</v>
      </c>
      <c r="N126">
        <f t="shared" si="23"/>
        <v>245.61140209786936</v>
      </c>
      <c r="O126" s="5">
        <f t="shared" si="14"/>
        <v>2.0882326911464716E-2</v>
      </c>
      <c r="P126">
        <f t="shared" si="22"/>
        <v>10000</v>
      </c>
      <c r="Q126">
        <f t="shared" si="15"/>
        <v>208.82326911464716</v>
      </c>
    </row>
    <row r="127" spans="1:17" x14ac:dyDescent="0.15">
      <c r="A127" s="10">
        <v>45869.545138888992</v>
      </c>
      <c r="B127">
        <f>COUNT(A127:$A$1158)/(48*252)</f>
        <v>8.531746031746032E-2</v>
      </c>
      <c r="C127">
        <v>2.2400000000000002</v>
      </c>
      <c r="D127">
        <v>0.10100000000000001</v>
      </c>
      <c r="E127">
        <f t="shared" si="12"/>
        <v>1.236848757968849</v>
      </c>
      <c r="F127">
        <f t="shared" si="13"/>
        <v>-0.10807161834692247</v>
      </c>
      <c r="G127">
        <f t="shared" si="16"/>
        <v>-1.9999999999997797E-3</v>
      </c>
      <c r="H127">
        <f>IF(MOD(COUNTA($C$7:C127)-1,$J$2),H126,ROUND(F127*P127,-2))</f>
        <v>-1100</v>
      </c>
      <c r="I127">
        <f t="shared" si="17"/>
        <v>0</v>
      </c>
      <c r="J127">
        <f t="shared" si="18"/>
        <v>0</v>
      </c>
      <c r="K127">
        <f t="shared" si="19"/>
        <v>2711.8114020978692</v>
      </c>
      <c r="L127">
        <f t="shared" si="20"/>
        <v>247.81140209786872</v>
      </c>
      <c r="M127">
        <f t="shared" si="21"/>
        <v>2.1999999999993634</v>
      </c>
      <c r="N127">
        <f t="shared" si="23"/>
        <v>247.81140209786872</v>
      </c>
      <c r="O127" s="5">
        <f t="shared" si="14"/>
        <v>2.106444108240596E-2</v>
      </c>
      <c r="P127">
        <f t="shared" si="22"/>
        <v>10000</v>
      </c>
      <c r="Q127">
        <f t="shared" si="15"/>
        <v>210.64441082405961</v>
      </c>
    </row>
    <row r="128" spans="1:17" x14ac:dyDescent="0.15">
      <c r="A128" s="10">
        <v>45869.548611111008</v>
      </c>
      <c r="B128">
        <f>COUNT(A128:$A$1158)/(48*252)</f>
        <v>8.5234788359788358E-2</v>
      </c>
      <c r="C128">
        <v>2.2400000000000002</v>
      </c>
      <c r="D128">
        <v>0.1</v>
      </c>
      <c r="E128">
        <f t="shared" si="12"/>
        <v>1.2373521738680748</v>
      </c>
      <c r="F128">
        <f t="shared" si="13"/>
        <v>-0.10797818303395956</v>
      </c>
      <c r="G128">
        <f t="shared" si="16"/>
        <v>0</v>
      </c>
      <c r="H128">
        <f>IF(MOD(COUNTA($C$7:C128)-1,$J$2),H127,ROUND(F128*P128,-2))</f>
        <v>-1100</v>
      </c>
      <c r="I128">
        <f t="shared" si="17"/>
        <v>0</v>
      </c>
      <c r="J128">
        <f t="shared" si="18"/>
        <v>0</v>
      </c>
      <c r="K128">
        <f t="shared" si="19"/>
        <v>2711.8114020978692</v>
      </c>
      <c r="L128">
        <f t="shared" si="20"/>
        <v>247.81140209786872</v>
      </c>
      <c r="M128">
        <f t="shared" si="21"/>
        <v>0</v>
      </c>
      <c r="N128">
        <f t="shared" si="23"/>
        <v>247.81140209786872</v>
      </c>
      <c r="O128" s="5">
        <f t="shared" si="14"/>
        <v>2.1031212846522013E-2</v>
      </c>
      <c r="P128">
        <f t="shared" si="22"/>
        <v>10000</v>
      </c>
      <c r="Q128">
        <f t="shared" si="15"/>
        <v>210.31212846522013</v>
      </c>
    </row>
    <row r="129" spans="1:17" x14ac:dyDescent="0.15">
      <c r="A129" s="10">
        <v>45869.552083333023</v>
      </c>
      <c r="B129">
        <f>COUNT(A129:$A$1158)/(48*252)</f>
        <v>8.5152116402116396E-2</v>
      </c>
      <c r="C129">
        <v>2.2400000000000002</v>
      </c>
      <c r="D129">
        <v>0.10199999999999999</v>
      </c>
      <c r="E129">
        <f t="shared" si="12"/>
        <v>1.2378563694403146</v>
      </c>
      <c r="F129">
        <f t="shared" si="13"/>
        <v>-0.10788466132985852</v>
      </c>
      <c r="G129">
        <f t="shared" si="16"/>
        <v>0</v>
      </c>
      <c r="H129">
        <f>IF(MOD(COUNTA($C$7:C129)-1,$J$2),H128,ROUND(F129*P129,-2))</f>
        <v>-1100</v>
      </c>
      <c r="I129">
        <f t="shared" si="17"/>
        <v>0</v>
      </c>
      <c r="J129">
        <f t="shared" si="18"/>
        <v>0</v>
      </c>
      <c r="K129">
        <f t="shared" si="19"/>
        <v>2711.8114020978692</v>
      </c>
      <c r="L129">
        <f t="shared" si="20"/>
        <v>247.81140209786872</v>
      </c>
      <c r="M129">
        <f t="shared" si="21"/>
        <v>0</v>
      </c>
      <c r="N129">
        <f t="shared" si="23"/>
        <v>247.81140209786872</v>
      </c>
      <c r="O129" s="5">
        <f t="shared" si="14"/>
        <v>2.0997988698294195E-2</v>
      </c>
      <c r="P129">
        <f t="shared" si="22"/>
        <v>10000</v>
      </c>
      <c r="Q129">
        <f t="shared" si="15"/>
        <v>209.97988698294196</v>
      </c>
    </row>
    <row r="130" spans="1:17" x14ac:dyDescent="0.15">
      <c r="A130" s="10">
        <v>45869.555555555969</v>
      </c>
      <c r="B130">
        <f>COUNT(A130:$A$1158)/(48*252)</f>
        <v>8.5069444444444448E-2</v>
      </c>
      <c r="C130">
        <v>2.2440000000000002</v>
      </c>
      <c r="D130">
        <v>0.10199999999999999</v>
      </c>
      <c r="E130">
        <f t="shared" si="12"/>
        <v>1.2489864602311154</v>
      </c>
      <c r="F130">
        <f t="shared" si="13"/>
        <v>-0.10583501306435039</v>
      </c>
      <c r="G130">
        <f t="shared" si="16"/>
        <v>4.0000000000000036E-3</v>
      </c>
      <c r="H130">
        <f>IF(MOD(COUNTA($C$7:C130)-1,$J$2),H129,ROUND(F130*P130,-2))</f>
        <v>-1100</v>
      </c>
      <c r="I130">
        <f t="shared" si="17"/>
        <v>0</v>
      </c>
      <c r="J130">
        <f t="shared" si="18"/>
        <v>0</v>
      </c>
      <c r="K130">
        <f t="shared" si="19"/>
        <v>2711.8114020978692</v>
      </c>
      <c r="L130">
        <f t="shared" si="20"/>
        <v>243.41140209786909</v>
      </c>
      <c r="M130">
        <f t="shared" si="21"/>
        <v>-4.3999999999996362</v>
      </c>
      <c r="N130">
        <f t="shared" si="23"/>
        <v>243.41140209786909</v>
      </c>
      <c r="O130" s="5">
        <f t="shared" si="14"/>
        <v>2.0537526308616744E-2</v>
      </c>
      <c r="P130">
        <f t="shared" si="22"/>
        <v>10000</v>
      </c>
      <c r="Q130">
        <f t="shared" si="15"/>
        <v>205.37526308616745</v>
      </c>
    </row>
    <row r="131" spans="1:17" x14ac:dyDescent="0.15">
      <c r="A131" s="10">
        <v>45869.559027777985</v>
      </c>
      <c r="B131">
        <f>COUNT(A131:$A$1158)/(48*252)</f>
        <v>8.4986772486772486E-2</v>
      </c>
      <c r="C131">
        <v>2.2440000000000002</v>
      </c>
      <c r="D131">
        <v>0.10199999999999999</v>
      </c>
      <c r="E131">
        <f t="shared" si="12"/>
        <v>1.2494973875060575</v>
      </c>
      <c r="F131">
        <f t="shared" si="13"/>
        <v>-0.10574160421928192</v>
      </c>
      <c r="G131">
        <f t="shared" si="16"/>
        <v>0</v>
      </c>
      <c r="H131">
        <f>IF(MOD(COUNTA($C$7:C131)-1,$J$2),H130,ROUND(F131*P131,-2))</f>
        <v>-1100</v>
      </c>
      <c r="I131">
        <f t="shared" si="17"/>
        <v>0</v>
      </c>
      <c r="J131">
        <f t="shared" si="18"/>
        <v>0</v>
      </c>
      <c r="K131">
        <f t="shared" si="19"/>
        <v>2711.8114020978692</v>
      </c>
      <c r="L131">
        <f t="shared" si="20"/>
        <v>243.41140209786909</v>
      </c>
      <c r="M131">
        <f t="shared" si="21"/>
        <v>0</v>
      </c>
      <c r="N131">
        <f t="shared" si="23"/>
        <v>243.41140209786909</v>
      </c>
      <c r="O131" s="5">
        <f t="shared" si="14"/>
        <v>2.0504684622106889E-2</v>
      </c>
      <c r="P131">
        <f t="shared" si="22"/>
        <v>10000</v>
      </c>
      <c r="Q131">
        <f t="shared" si="15"/>
        <v>205.0468462210689</v>
      </c>
    </row>
    <row r="132" spans="1:17" x14ac:dyDescent="0.15">
      <c r="A132" s="10">
        <v>45869.5625</v>
      </c>
      <c r="B132">
        <f>COUNT(A132:$A$1158)/(48*252)</f>
        <v>8.4904100529100524E-2</v>
      </c>
      <c r="C132">
        <v>2.2440000000000002</v>
      </c>
      <c r="D132">
        <v>0.10100000000000001</v>
      </c>
      <c r="E132">
        <f t="shared" si="12"/>
        <v>1.2500091077674889</v>
      </c>
      <c r="F132">
        <f t="shared" si="13"/>
        <v>-0.10564811015092279</v>
      </c>
      <c r="G132">
        <f t="shared" si="16"/>
        <v>0</v>
      </c>
      <c r="H132">
        <f>IF(MOD(COUNTA($C$7:C132)-1,$J$2),H131,ROUND(F132*P132,-2))</f>
        <v>-1100</v>
      </c>
      <c r="I132">
        <f t="shared" si="17"/>
        <v>0</v>
      </c>
      <c r="J132">
        <f t="shared" si="18"/>
        <v>0</v>
      </c>
      <c r="K132">
        <f t="shared" si="19"/>
        <v>2711.8114020978692</v>
      </c>
      <c r="L132">
        <f t="shared" si="20"/>
        <v>243.41140209786909</v>
      </c>
      <c r="M132">
        <f t="shared" si="21"/>
        <v>0</v>
      </c>
      <c r="N132">
        <f t="shared" si="23"/>
        <v>243.41140209786909</v>
      </c>
      <c r="O132" s="5">
        <f t="shared" si="14"/>
        <v>2.0471847440106494E-2</v>
      </c>
      <c r="P132">
        <f t="shared" si="22"/>
        <v>10000</v>
      </c>
      <c r="Q132">
        <f t="shared" si="15"/>
        <v>204.71847440106495</v>
      </c>
    </row>
    <row r="133" spans="1:17" x14ac:dyDescent="0.15">
      <c r="A133" s="10">
        <v>45869.565972222015</v>
      </c>
      <c r="B133">
        <f>COUNT(A133:$A$1158)/(48*252)</f>
        <v>8.4821428571428575E-2</v>
      </c>
      <c r="C133">
        <v>2.2480000000000002</v>
      </c>
      <c r="D133">
        <v>0.10299999999999999</v>
      </c>
      <c r="E133">
        <f t="shared" si="12"/>
        <v>1.2611433086664539</v>
      </c>
      <c r="F133">
        <f t="shared" si="13"/>
        <v>-0.10362860971778209</v>
      </c>
      <c r="G133">
        <f t="shared" si="16"/>
        <v>4.0000000000000036E-3</v>
      </c>
      <c r="H133">
        <f>IF(MOD(COUNTA($C$7:C133)-1,$J$2),H132,ROUND(F133*P133,-2))</f>
        <v>-1000</v>
      </c>
      <c r="I133">
        <f t="shared" si="17"/>
        <v>100</v>
      </c>
      <c r="J133">
        <f t="shared" si="18"/>
        <v>0</v>
      </c>
      <c r="K133">
        <f t="shared" si="19"/>
        <v>2487.0012860978691</v>
      </c>
      <c r="L133">
        <f t="shared" si="20"/>
        <v>239.00128609786907</v>
      </c>
      <c r="M133">
        <f t="shared" si="21"/>
        <v>-4.4101160000000164</v>
      </c>
      <c r="N133">
        <f t="shared" si="23"/>
        <v>239.00128609786907</v>
      </c>
      <c r="O133" s="5">
        <f t="shared" si="14"/>
        <v>2.0020658213113135E-2</v>
      </c>
      <c r="P133">
        <f t="shared" si="22"/>
        <v>10000</v>
      </c>
      <c r="Q133">
        <f t="shared" si="15"/>
        <v>200.20658213113134</v>
      </c>
    </row>
    <row r="134" spans="1:17" x14ac:dyDescent="0.15">
      <c r="A134" s="10">
        <v>45869.569444444962</v>
      </c>
      <c r="B134">
        <f>COUNT(A134:$A$1158)/(48*252)</f>
        <v>8.4738756613756613E-2</v>
      </c>
      <c r="C134">
        <v>2.2469999999999999</v>
      </c>
      <c r="D134">
        <v>0.10199999999999999</v>
      </c>
      <c r="E134">
        <f t="shared" si="12"/>
        <v>1.2590068581549134</v>
      </c>
      <c r="F134">
        <f t="shared" si="13"/>
        <v>-0.10401392736897919</v>
      </c>
      <c r="G134">
        <f t="shared" si="16"/>
        <v>-1.000000000000334E-3</v>
      </c>
      <c r="H134">
        <f>IF(MOD(COUNTA($C$7:C134)-1,$J$2),H133,ROUND(F134*P134,-2))</f>
        <v>-1000</v>
      </c>
      <c r="I134">
        <f t="shared" si="17"/>
        <v>0</v>
      </c>
      <c r="J134">
        <f t="shared" si="18"/>
        <v>0</v>
      </c>
      <c r="K134">
        <f t="shared" si="19"/>
        <v>2487.0012860978691</v>
      </c>
      <c r="L134">
        <f t="shared" si="20"/>
        <v>240.00128609786907</v>
      </c>
      <c r="M134">
        <f t="shared" si="21"/>
        <v>1</v>
      </c>
      <c r="N134">
        <f t="shared" si="23"/>
        <v>240.00128609786907</v>
      </c>
      <c r="O134" s="5">
        <f t="shared" si="14"/>
        <v>2.0091978601625093E-2</v>
      </c>
      <c r="P134">
        <f t="shared" si="22"/>
        <v>10000</v>
      </c>
      <c r="Q134">
        <f t="shared" si="15"/>
        <v>200.91978601625092</v>
      </c>
    </row>
    <row r="135" spans="1:17" x14ac:dyDescent="0.15">
      <c r="A135" s="10">
        <v>45869.572916666977</v>
      </c>
      <c r="B135">
        <f>COUNT(A135:$A$1158)/(48*252)</f>
        <v>8.4656084656084651E-2</v>
      </c>
      <c r="C135">
        <v>2.2440000000000002</v>
      </c>
      <c r="D135">
        <v>0.10100000000000001</v>
      </c>
      <c r="E135">
        <f t="shared" si="12"/>
        <v>1.2515490460504854</v>
      </c>
      <c r="F135">
        <f t="shared" si="13"/>
        <v>-0.10536711568031742</v>
      </c>
      <c r="G135">
        <f t="shared" si="16"/>
        <v>-2.9999999999996696E-3</v>
      </c>
      <c r="H135">
        <f>IF(MOD(COUNTA($C$7:C135)-1,$J$2),H134,ROUND(F135*P135,-2))</f>
        <v>-1100</v>
      </c>
      <c r="I135">
        <f t="shared" si="17"/>
        <v>-100</v>
      </c>
      <c r="J135">
        <f t="shared" si="18"/>
        <v>0</v>
      </c>
      <c r="K135">
        <f t="shared" si="19"/>
        <v>2711.391188097869</v>
      </c>
      <c r="L135">
        <f t="shared" si="20"/>
        <v>242.99118809786887</v>
      </c>
      <c r="M135">
        <f t="shared" si="21"/>
        <v>2.9899019999998018</v>
      </c>
      <c r="N135">
        <f t="shared" si="23"/>
        <v>242.99118809786887</v>
      </c>
      <c r="O135" s="5">
        <f t="shared" si="14"/>
        <v>2.0373363170387182E-2</v>
      </c>
      <c r="P135">
        <f t="shared" si="22"/>
        <v>10000</v>
      </c>
      <c r="Q135">
        <f t="shared" si="15"/>
        <v>203.73363170387182</v>
      </c>
    </row>
    <row r="136" spans="1:17" x14ac:dyDescent="0.15">
      <c r="A136" s="10">
        <v>45869.576388888992</v>
      </c>
      <c r="B136">
        <f>COUNT(A136:$A$1158)/(48*252)</f>
        <v>8.4573412698412703E-2</v>
      </c>
      <c r="C136">
        <v>2.2440000000000002</v>
      </c>
      <c r="D136">
        <v>0.1</v>
      </c>
      <c r="E136">
        <f t="shared" ref="E136:E199" si="24">(LN(C136/$B$2)+($B$1+0.5*$D$1*$D$1)*B136)/($D$1*SQRT(B136))</f>
        <v>1.2520639578712893</v>
      </c>
      <c r="F136">
        <f t="shared" ref="F136:F199" si="25">NORMSDIST(E136)-1</f>
        <v>-0.10527327979287771</v>
      </c>
      <c r="G136">
        <f t="shared" si="16"/>
        <v>0</v>
      </c>
      <c r="H136">
        <f>IF(MOD(COUNTA($C$7:C136)-1,$J$2),H135,ROUND(F136*P136,-2))</f>
        <v>-1100</v>
      </c>
      <c r="I136">
        <f t="shared" si="17"/>
        <v>0</v>
      </c>
      <c r="J136">
        <f t="shared" si="18"/>
        <v>0</v>
      </c>
      <c r="K136">
        <f t="shared" si="19"/>
        <v>2711.391188097869</v>
      </c>
      <c r="L136">
        <f t="shared" si="20"/>
        <v>242.99118809786887</v>
      </c>
      <c r="M136">
        <f t="shared" si="21"/>
        <v>0</v>
      </c>
      <c r="N136">
        <f t="shared" si="23"/>
        <v>242.99118809786887</v>
      </c>
      <c r="O136" s="5">
        <f t="shared" ref="O136:O199" si="26">put_bs($B$1,$J$1,C136,$B$2,B136)</f>
        <v>2.0340544256049226E-2</v>
      </c>
      <c r="P136">
        <f t="shared" si="22"/>
        <v>10000</v>
      </c>
      <c r="Q136">
        <f t="shared" ref="Q136:Q199" si="27">P136*O136</f>
        <v>203.40544256049225</v>
      </c>
    </row>
    <row r="137" spans="1:17" x14ac:dyDescent="0.15">
      <c r="A137" s="10">
        <v>45869.579861111008</v>
      </c>
      <c r="B137">
        <f>COUNT(A137:$A$1158)/(48*252)</f>
        <v>8.4490740740740741E-2</v>
      </c>
      <c r="C137">
        <v>2.2440000000000002</v>
      </c>
      <c r="D137">
        <v>0.1</v>
      </c>
      <c r="E137">
        <f t="shared" si="24"/>
        <v>1.252579672519043</v>
      </c>
      <c r="F137">
        <f t="shared" si="25"/>
        <v>-0.10517935821905711</v>
      </c>
      <c r="G137">
        <f t="shared" ref="G137:G200" si="28">C137-C136</f>
        <v>0</v>
      </c>
      <c r="H137">
        <f>IF(MOD(COUNTA($C$7:C137)-1,$J$2),H136,ROUND(F137*P137,-2))</f>
        <v>-1100</v>
      </c>
      <c r="I137">
        <f t="shared" ref="I137:I200" si="29">H137-H136</f>
        <v>0</v>
      </c>
      <c r="J137">
        <f t="shared" ref="J137:J200" si="30">J136</f>
        <v>0</v>
      </c>
      <c r="K137">
        <f t="shared" ref="K137:K200" si="31">K136-I137*C137-ABS(I137*C137*$F$2)</f>
        <v>2711.391188097869</v>
      </c>
      <c r="L137">
        <f t="shared" ref="L137:L200" si="32">K137+H137*C137</f>
        <v>242.99118809786887</v>
      </c>
      <c r="M137">
        <f t="shared" ref="M137:M200" si="33">L137-L136</f>
        <v>0</v>
      </c>
      <c r="N137">
        <f t="shared" si="23"/>
        <v>242.99118809786887</v>
      </c>
      <c r="O137" s="5">
        <f t="shared" si="26"/>
        <v>2.0307729971432903E-2</v>
      </c>
      <c r="P137">
        <f t="shared" ref="P137:P200" si="34">P136</f>
        <v>10000</v>
      </c>
      <c r="Q137">
        <f t="shared" si="27"/>
        <v>203.07729971432903</v>
      </c>
    </row>
    <row r="138" spans="1:17" x14ac:dyDescent="0.15">
      <c r="A138" s="10">
        <v>45869.583333333023</v>
      </c>
      <c r="B138">
        <f>COUNT(A138:$A$1158)/(48*252)</f>
        <v>8.4408068783068779E-2</v>
      </c>
      <c r="C138">
        <v>2.2450000000000001</v>
      </c>
      <c r="D138">
        <v>0.10100000000000001</v>
      </c>
      <c r="E138">
        <f t="shared" si="24"/>
        <v>1.2557598857756156</v>
      </c>
      <c r="F138">
        <f t="shared" si="25"/>
        <v>-0.10460151977207421</v>
      </c>
      <c r="G138">
        <f t="shared" si="28"/>
        <v>9.9999999999988987E-4</v>
      </c>
      <c r="H138">
        <f>IF(MOD(COUNTA($C$7:C138)-1,$J$2),H137,ROUND(F138*P138,-2))</f>
        <v>-1100</v>
      </c>
      <c r="I138">
        <f t="shared" si="29"/>
        <v>0</v>
      </c>
      <c r="J138">
        <f t="shared" si="30"/>
        <v>0</v>
      </c>
      <c r="K138">
        <f t="shared" si="31"/>
        <v>2711.391188097869</v>
      </c>
      <c r="L138">
        <f t="shared" si="32"/>
        <v>241.89118809786896</v>
      </c>
      <c r="M138">
        <f t="shared" si="33"/>
        <v>-1.0999999999999091</v>
      </c>
      <c r="N138">
        <f t="shared" ref="N138:N201" si="35">L138-$F$1</f>
        <v>241.89118809786896</v>
      </c>
      <c r="O138" s="5">
        <f t="shared" si="26"/>
        <v>2.0170077059189551E-2</v>
      </c>
      <c r="P138">
        <f t="shared" si="34"/>
        <v>10000</v>
      </c>
      <c r="Q138">
        <f t="shared" si="27"/>
        <v>201.70077059189552</v>
      </c>
    </row>
    <row r="139" spans="1:17" x14ac:dyDescent="0.15">
      <c r="A139" s="10">
        <v>45869.586805555969</v>
      </c>
      <c r="B139">
        <f>COUNT(A139:$A$1158)/(48*252)</f>
        <v>8.4325396825396831E-2</v>
      </c>
      <c r="C139">
        <v>2.2490000000000001</v>
      </c>
      <c r="D139">
        <v>0.104</v>
      </c>
      <c r="E139">
        <f t="shared" si="24"/>
        <v>1.2669266566662505</v>
      </c>
      <c r="F139">
        <f t="shared" si="25"/>
        <v>-0.1025907580891251</v>
      </c>
      <c r="G139">
        <f t="shared" si="28"/>
        <v>4.0000000000000036E-3</v>
      </c>
      <c r="H139">
        <f>IF(MOD(COUNTA($C$7:C139)-1,$J$2),H138,ROUND(F139*P139,-2))</f>
        <v>-1000</v>
      </c>
      <c r="I139">
        <f t="shared" si="29"/>
        <v>100</v>
      </c>
      <c r="J139">
        <f t="shared" si="30"/>
        <v>0</v>
      </c>
      <c r="K139">
        <f t="shared" si="31"/>
        <v>2486.4810675978688</v>
      </c>
      <c r="L139">
        <f t="shared" si="32"/>
        <v>237.48106759786879</v>
      </c>
      <c r="M139">
        <f t="shared" si="33"/>
        <v>-4.4101205000001755</v>
      </c>
      <c r="N139">
        <f t="shared" si="35"/>
        <v>237.48106759786879</v>
      </c>
      <c r="O139" s="5">
        <f t="shared" si="26"/>
        <v>1.9723179360861015E-2</v>
      </c>
      <c r="P139">
        <f t="shared" si="34"/>
        <v>10000</v>
      </c>
      <c r="Q139">
        <f t="shared" si="27"/>
        <v>197.23179360861016</v>
      </c>
    </row>
    <row r="140" spans="1:17" x14ac:dyDescent="0.15">
      <c r="A140" s="10">
        <v>45869.590277777985</v>
      </c>
      <c r="B140">
        <f>COUNT(A140:$A$1158)/(48*252)</f>
        <v>8.4242724867724869E-2</v>
      </c>
      <c r="C140">
        <v>2.2469999999999999</v>
      </c>
      <c r="D140">
        <v>0.105</v>
      </c>
      <c r="E140">
        <f t="shared" si="24"/>
        <v>1.26212701181793</v>
      </c>
      <c r="F140">
        <f t="shared" si="25"/>
        <v>-0.10345154345507668</v>
      </c>
      <c r="G140">
        <f t="shared" si="28"/>
        <v>-2.0000000000002238E-3</v>
      </c>
      <c r="H140">
        <f>IF(MOD(COUNTA($C$7:C140)-1,$J$2),H139,ROUND(F140*P140,-2))</f>
        <v>-1000</v>
      </c>
      <c r="I140">
        <f t="shared" si="29"/>
        <v>0</v>
      </c>
      <c r="J140">
        <f t="shared" si="30"/>
        <v>0</v>
      </c>
      <c r="K140">
        <f t="shared" si="31"/>
        <v>2486.4810675978688</v>
      </c>
      <c r="L140">
        <f t="shared" si="32"/>
        <v>239.48106759786879</v>
      </c>
      <c r="M140">
        <f t="shared" si="33"/>
        <v>2</v>
      </c>
      <c r="N140">
        <f t="shared" si="35"/>
        <v>239.48106759786879</v>
      </c>
      <c r="O140" s="5">
        <f t="shared" si="26"/>
        <v>1.989679633431779E-2</v>
      </c>
      <c r="P140">
        <f t="shared" si="34"/>
        <v>10000</v>
      </c>
      <c r="Q140">
        <f t="shared" si="27"/>
        <v>198.9679633431779</v>
      </c>
    </row>
    <row r="141" spans="1:17" x14ac:dyDescent="0.15">
      <c r="A141" s="10">
        <v>45869.59375</v>
      </c>
      <c r="B141">
        <f>COUNT(A141:$A$1158)/(48*252)</f>
        <v>8.4160052910052907E-2</v>
      </c>
      <c r="C141">
        <v>2.246</v>
      </c>
      <c r="D141">
        <v>0.104</v>
      </c>
      <c r="E141">
        <f t="shared" si="24"/>
        <v>1.2599846428658612</v>
      </c>
      <c r="F141">
        <f t="shared" si="25"/>
        <v>-0.10383745113224851</v>
      </c>
      <c r="G141">
        <f t="shared" si="28"/>
        <v>-9.9999999999988987E-4</v>
      </c>
      <c r="H141">
        <f>IF(MOD(COUNTA($C$7:C141)-1,$J$2),H140,ROUND(F141*P141,-2))</f>
        <v>-1000</v>
      </c>
      <c r="I141">
        <f t="shared" si="29"/>
        <v>0</v>
      </c>
      <c r="J141">
        <f t="shared" si="30"/>
        <v>0</v>
      </c>
      <c r="K141">
        <f t="shared" si="31"/>
        <v>2486.4810675978688</v>
      </c>
      <c r="L141">
        <f t="shared" si="32"/>
        <v>240.48106759786879</v>
      </c>
      <c r="M141">
        <f t="shared" si="33"/>
        <v>1</v>
      </c>
      <c r="N141">
        <f t="shared" si="35"/>
        <v>240.48106759786879</v>
      </c>
      <c r="O141" s="5">
        <f t="shared" si="26"/>
        <v>1.9967880595110094E-2</v>
      </c>
      <c r="P141">
        <f t="shared" si="34"/>
        <v>10000</v>
      </c>
      <c r="Q141">
        <f t="shared" si="27"/>
        <v>199.67880595110094</v>
      </c>
    </row>
    <row r="142" spans="1:17" x14ac:dyDescent="0.15">
      <c r="A142" s="10">
        <v>45869.597222222015</v>
      </c>
      <c r="B142">
        <f>COUNT(A142:$A$1158)/(48*252)</f>
        <v>8.4077380952380959E-2</v>
      </c>
      <c r="C142">
        <v>2.2440000000000002</v>
      </c>
      <c r="D142">
        <v>0.104</v>
      </c>
      <c r="E142">
        <f t="shared" si="24"/>
        <v>1.2551703579983271</v>
      </c>
      <c r="F142">
        <f t="shared" si="25"/>
        <v>-0.10470846180913274</v>
      </c>
      <c r="G142">
        <f t="shared" si="28"/>
        <v>-1.9999999999997797E-3</v>
      </c>
      <c r="H142">
        <f>IF(MOD(COUNTA($C$7:C142)-1,$J$2),H141,ROUND(F142*P142,-2))</f>
        <v>-1000</v>
      </c>
      <c r="I142">
        <f t="shared" si="29"/>
        <v>0</v>
      </c>
      <c r="J142">
        <f t="shared" si="30"/>
        <v>0</v>
      </c>
      <c r="K142">
        <f t="shared" si="31"/>
        <v>2486.4810675978688</v>
      </c>
      <c r="L142">
        <f t="shared" si="32"/>
        <v>242.48106759786879</v>
      </c>
      <c r="M142">
        <f t="shared" si="33"/>
        <v>2</v>
      </c>
      <c r="N142">
        <f t="shared" si="35"/>
        <v>242.48106759786879</v>
      </c>
      <c r="O142" s="5">
        <f t="shared" si="26"/>
        <v>2.0143728881931972E-2</v>
      </c>
      <c r="P142">
        <f t="shared" si="34"/>
        <v>10000</v>
      </c>
      <c r="Q142">
        <f t="shared" si="27"/>
        <v>201.43728881931972</v>
      </c>
    </row>
    <row r="143" spans="1:17" x14ac:dyDescent="0.15">
      <c r="A143" s="10">
        <v>45869.600694444962</v>
      </c>
      <c r="B143">
        <f>COUNT(A143:$A$1158)/(48*252)</f>
        <v>8.3994708994708997E-2</v>
      </c>
      <c r="C143">
        <v>2.258</v>
      </c>
      <c r="D143">
        <v>0.108</v>
      </c>
      <c r="E143">
        <f t="shared" si="24"/>
        <v>1.2929664643405208</v>
      </c>
      <c r="F143">
        <f t="shared" si="25"/>
        <v>-9.8011329028335537E-2</v>
      </c>
      <c r="G143">
        <f t="shared" si="28"/>
        <v>1.399999999999979E-2</v>
      </c>
      <c r="H143">
        <f>IF(MOD(COUNTA($C$7:C143)-1,$J$2),H142,ROUND(F143*P143,-2))</f>
        <v>-1000</v>
      </c>
      <c r="I143">
        <f t="shared" si="29"/>
        <v>0</v>
      </c>
      <c r="J143">
        <f t="shared" si="30"/>
        <v>0</v>
      </c>
      <c r="K143">
        <f t="shared" si="31"/>
        <v>2486.4810675978688</v>
      </c>
      <c r="L143">
        <f t="shared" si="32"/>
        <v>228.48106759786879</v>
      </c>
      <c r="M143">
        <f t="shared" si="33"/>
        <v>-14</v>
      </c>
      <c r="N143">
        <f t="shared" si="35"/>
        <v>228.48106759786879</v>
      </c>
      <c r="O143" s="5">
        <f t="shared" si="26"/>
        <v>1.8692979224149586E-2</v>
      </c>
      <c r="P143">
        <f t="shared" si="34"/>
        <v>10000</v>
      </c>
      <c r="Q143">
        <f t="shared" si="27"/>
        <v>186.92979224149587</v>
      </c>
    </row>
    <row r="144" spans="1:17" x14ac:dyDescent="0.15">
      <c r="A144" s="10">
        <v>45869.604166666977</v>
      </c>
      <c r="B144">
        <f>COUNT(A144:$A$1158)/(48*252)</f>
        <v>8.3912037037037035E-2</v>
      </c>
      <c r="C144">
        <v>2.2549999999999999</v>
      </c>
      <c r="D144">
        <v>0.108</v>
      </c>
      <c r="E144">
        <f t="shared" si="24"/>
        <v>1.2855341678234473</v>
      </c>
      <c r="F144">
        <f t="shared" si="25"/>
        <v>-9.930284241686349E-2</v>
      </c>
      <c r="G144">
        <f t="shared" si="28"/>
        <v>-3.0000000000001137E-3</v>
      </c>
      <c r="H144">
        <f>IF(MOD(COUNTA($C$7:C144)-1,$J$2),H143,ROUND(F144*P144,-2))</f>
        <v>-1000</v>
      </c>
      <c r="I144">
        <f t="shared" si="29"/>
        <v>0</v>
      </c>
      <c r="J144">
        <f t="shared" si="30"/>
        <v>0</v>
      </c>
      <c r="K144">
        <f t="shared" si="31"/>
        <v>2486.4810675978688</v>
      </c>
      <c r="L144">
        <f t="shared" si="32"/>
        <v>231.48106759786879</v>
      </c>
      <c r="M144">
        <f t="shared" si="33"/>
        <v>3</v>
      </c>
      <c r="N144">
        <f t="shared" si="35"/>
        <v>231.48106759786879</v>
      </c>
      <c r="O144" s="5">
        <f t="shared" si="26"/>
        <v>1.8957340430820646E-2</v>
      </c>
      <c r="P144">
        <f t="shared" si="34"/>
        <v>10000</v>
      </c>
      <c r="Q144">
        <f t="shared" si="27"/>
        <v>189.57340430820645</v>
      </c>
    </row>
    <row r="145" spans="1:17" x14ac:dyDescent="0.15">
      <c r="A145" s="10">
        <v>45869.607638888992</v>
      </c>
      <c r="B145">
        <f>COUNT(A145:$A$1158)/(48*252)</f>
        <v>8.3829365079365073E-2</v>
      </c>
      <c r="C145">
        <v>2.2480000000000002</v>
      </c>
      <c r="D145">
        <v>0.106</v>
      </c>
      <c r="E145">
        <f t="shared" si="24"/>
        <v>1.2674188825848709</v>
      </c>
      <c r="F145">
        <f t="shared" si="25"/>
        <v>-0.1025027757718564</v>
      </c>
      <c r="G145">
        <f t="shared" si="28"/>
        <v>-6.9999999999996732E-3</v>
      </c>
      <c r="H145">
        <f>IF(MOD(COUNTA($C$7:C145)-1,$J$2),H144,ROUND(F145*P145,-2))</f>
        <v>-1000</v>
      </c>
      <c r="I145">
        <f t="shared" si="29"/>
        <v>0</v>
      </c>
      <c r="J145">
        <f t="shared" si="30"/>
        <v>0</v>
      </c>
      <c r="K145">
        <f t="shared" si="31"/>
        <v>2486.4810675978688</v>
      </c>
      <c r="L145">
        <f t="shared" si="32"/>
        <v>238.48106759786879</v>
      </c>
      <c r="M145">
        <f t="shared" si="33"/>
        <v>7</v>
      </c>
      <c r="N145">
        <f t="shared" si="35"/>
        <v>238.48106759786879</v>
      </c>
      <c r="O145" s="5">
        <f t="shared" si="26"/>
        <v>1.9631539864983921E-2</v>
      </c>
      <c r="P145">
        <f t="shared" si="34"/>
        <v>10000</v>
      </c>
      <c r="Q145">
        <f t="shared" si="27"/>
        <v>196.31539864983921</v>
      </c>
    </row>
    <row r="146" spans="1:17" x14ac:dyDescent="0.15">
      <c r="A146" s="10">
        <v>45869.611111111008</v>
      </c>
      <c r="B146">
        <f>COUNT(A146:$A$1158)/(48*252)</f>
        <v>8.3746693121693125E-2</v>
      </c>
      <c r="C146">
        <v>2.2519999999999998</v>
      </c>
      <c r="D146">
        <v>0.105</v>
      </c>
      <c r="E146">
        <f t="shared" si="24"/>
        <v>1.2786178048872838</v>
      </c>
      <c r="F146">
        <f t="shared" si="25"/>
        <v>-0.10051583847058621</v>
      </c>
      <c r="G146">
        <f t="shared" si="28"/>
        <v>3.9999999999995595E-3</v>
      </c>
      <c r="H146">
        <f>IF(MOD(COUNTA($C$7:C146)-1,$J$2),H145,ROUND(F146*P146,-2))</f>
        <v>-1000</v>
      </c>
      <c r="I146">
        <f t="shared" si="29"/>
        <v>0</v>
      </c>
      <c r="J146">
        <f t="shared" si="30"/>
        <v>0</v>
      </c>
      <c r="K146">
        <f t="shared" si="31"/>
        <v>2486.4810675978688</v>
      </c>
      <c r="L146">
        <f t="shared" si="32"/>
        <v>234.48106759786879</v>
      </c>
      <c r="M146">
        <f t="shared" si="33"/>
        <v>-4</v>
      </c>
      <c r="N146">
        <f t="shared" si="35"/>
        <v>234.48106759786879</v>
      </c>
      <c r="O146" s="5">
        <f t="shared" si="26"/>
        <v>1.9193307738741089E-2</v>
      </c>
      <c r="P146">
        <f t="shared" si="34"/>
        <v>10000</v>
      </c>
      <c r="Q146">
        <f t="shared" si="27"/>
        <v>191.93307738741089</v>
      </c>
    </row>
    <row r="147" spans="1:17" x14ac:dyDescent="0.15">
      <c r="A147" s="10">
        <v>45869.614583333023</v>
      </c>
      <c r="B147">
        <f>COUNT(A147:$A$1158)/(48*252)</f>
        <v>8.3664021164021163E-2</v>
      </c>
      <c r="C147">
        <v>2.246</v>
      </c>
      <c r="D147">
        <v>0.10299999999999999</v>
      </c>
      <c r="E147">
        <f t="shared" si="24"/>
        <v>1.2631312479835601</v>
      </c>
      <c r="F147">
        <f t="shared" si="25"/>
        <v>-0.10327100788378041</v>
      </c>
      <c r="G147">
        <f t="shared" si="28"/>
        <v>-5.9999999999997833E-3</v>
      </c>
      <c r="H147">
        <f>IF(MOD(COUNTA($C$7:C147)-1,$J$2),H146,ROUND(F147*P147,-2))</f>
        <v>-1000</v>
      </c>
      <c r="I147">
        <f t="shared" si="29"/>
        <v>0</v>
      </c>
      <c r="J147">
        <f t="shared" si="30"/>
        <v>0</v>
      </c>
      <c r="K147">
        <f t="shared" si="31"/>
        <v>2486.4810675978688</v>
      </c>
      <c r="L147">
        <f t="shared" si="32"/>
        <v>240.48106759786879</v>
      </c>
      <c r="M147">
        <f t="shared" si="33"/>
        <v>6</v>
      </c>
      <c r="N147">
        <f t="shared" si="35"/>
        <v>240.48106759786879</v>
      </c>
      <c r="O147" s="5">
        <f t="shared" si="26"/>
        <v>1.9772342172417134E-2</v>
      </c>
      <c r="P147">
        <f t="shared" si="34"/>
        <v>10000</v>
      </c>
      <c r="Q147">
        <f t="shared" si="27"/>
        <v>197.72342172417135</v>
      </c>
    </row>
    <row r="148" spans="1:17" x14ac:dyDescent="0.15">
      <c r="A148" s="10">
        <v>45869.618055555969</v>
      </c>
      <c r="B148">
        <f>COUNT(A148:$A$1158)/(48*252)</f>
        <v>8.3581349206349201E-2</v>
      </c>
      <c r="C148">
        <v>2.2450000000000001</v>
      </c>
      <c r="D148">
        <v>0.10199999999999999</v>
      </c>
      <c r="E148">
        <f t="shared" si="24"/>
        <v>1.2609829287980037</v>
      </c>
      <c r="F148">
        <f t="shared" si="25"/>
        <v>-0.10365749888106401</v>
      </c>
      <c r="G148">
        <f t="shared" si="28"/>
        <v>-9.9999999999988987E-4</v>
      </c>
      <c r="H148">
        <f>IF(MOD(COUNTA($C$7:C148)-1,$J$2),H147,ROUND(F148*P148,-2))</f>
        <v>-1000</v>
      </c>
      <c r="I148">
        <f t="shared" si="29"/>
        <v>0</v>
      </c>
      <c r="J148">
        <f t="shared" si="30"/>
        <v>0</v>
      </c>
      <c r="K148">
        <f t="shared" si="31"/>
        <v>2486.4810675978688</v>
      </c>
      <c r="L148">
        <f t="shared" si="32"/>
        <v>241.48106759786879</v>
      </c>
      <c r="M148">
        <f t="shared" si="33"/>
        <v>1</v>
      </c>
      <c r="N148">
        <f t="shared" si="35"/>
        <v>241.48106759786879</v>
      </c>
      <c r="O148" s="5">
        <f t="shared" si="26"/>
        <v>1.9843186826218634E-2</v>
      </c>
      <c r="P148">
        <f t="shared" si="34"/>
        <v>10000</v>
      </c>
      <c r="Q148">
        <f t="shared" si="27"/>
        <v>198.43186826218633</v>
      </c>
    </row>
    <row r="149" spans="1:17" x14ac:dyDescent="0.15">
      <c r="A149" s="10">
        <v>45869.621527777985</v>
      </c>
      <c r="B149">
        <f>COUNT(A149:$A$1158)/(48*252)</f>
        <v>8.3498677248677253E-2</v>
      </c>
      <c r="C149">
        <v>2.2400000000000002</v>
      </c>
      <c r="D149">
        <v>0.1</v>
      </c>
      <c r="E149">
        <f t="shared" si="24"/>
        <v>1.2481070123376947</v>
      </c>
      <c r="F149">
        <f t="shared" si="25"/>
        <v>-0.10599593531372498</v>
      </c>
      <c r="G149">
        <f t="shared" si="28"/>
        <v>-4.9999999999998934E-3</v>
      </c>
      <c r="H149">
        <f>IF(MOD(COUNTA($C$7:C149)-1,$J$2),H148,ROUND(F149*P149,-2))</f>
        <v>-1100</v>
      </c>
      <c r="I149">
        <f t="shared" si="29"/>
        <v>-100</v>
      </c>
      <c r="J149">
        <f t="shared" si="30"/>
        <v>0</v>
      </c>
      <c r="K149">
        <f t="shared" si="31"/>
        <v>2710.4709875978688</v>
      </c>
      <c r="L149">
        <f t="shared" si="32"/>
        <v>246.47098759786832</v>
      </c>
      <c r="M149">
        <f t="shared" si="33"/>
        <v>4.989919999999529</v>
      </c>
      <c r="N149">
        <f t="shared" si="35"/>
        <v>246.47098759786832</v>
      </c>
      <c r="O149" s="5">
        <f t="shared" si="26"/>
        <v>2.0334402094394272E-2</v>
      </c>
      <c r="P149">
        <f t="shared" si="34"/>
        <v>10000</v>
      </c>
      <c r="Q149">
        <f t="shared" si="27"/>
        <v>203.34402094394272</v>
      </c>
    </row>
    <row r="150" spans="1:17" x14ac:dyDescent="0.15">
      <c r="A150" s="10">
        <v>45869.625</v>
      </c>
      <c r="B150">
        <f>COUNT(A150:$A$1158)/(48*252)</f>
        <v>8.3416005291005291E-2</v>
      </c>
      <c r="C150">
        <v>2.2370000000000001</v>
      </c>
      <c r="D150">
        <v>0.1</v>
      </c>
      <c r="E150">
        <f t="shared" si="24"/>
        <v>1.2405680272253519</v>
      </c>
      <c r="F150">
        <f t="shared" si="25"/>
        <v>-0.10738268465695244</v>
      </c>
      <c r="G150">
        <f t="shared" si="28"/>
        <v>-3.0000000000001137E-3</v>
      </c>
      <c r="H150">
        <f>IF(MOD(COUNTA($C$7:C150)-1,$J$2),H149,ROUND(F150*P150,-2))</f>
        <v>-1100</v>
      </c>
      <c r="I150">
        <f t="shared" si="29"/>
        <v>0</v>
      </c>
      <c r="J150">
        <f t="shared" si="30"/>
        <v>0</v>
      </c>
      <c r="K150">
        <f t="shared" si="31"/>
        <v>2710.4709875978688</v>
      </c>
      <c r="L150">
        <f t="shared" si="32"/>
        <v>249.7709875978685</v>
      </c>
      <c r="M150">
        <f t="shared" si="33"/>
        <v>3.3000000000001819</v>
      </c>
      <c r="N150">
        <f t="shared" si="35"/>
        <v>249.7709875978685</v>
      </c>
      <c r="O150" s="5">
        <f t="shared" si="26"/>
        <v>2.0621190194463818E-2</v>
      </c>
      <c r="P150">
        <f t="shared" si="34"/>
        <v>10000</v>
      </c>
      <c r="Q150">
        <f t="shared" si="27"/>
        <v>206.21190194463819</v>
      </c>
    </row>
    <row r="151" spans="1:17" x14ac:dyDescent="0.15">
      <c r="A151" s="10">
        <v>45870.399305555969</v>
      </c>
      <c r="B151">
        <f>COUNT(A151:$A$1158)/(48*252)</f>
        <v>8.3333333333333329E-2</v>
      </c>
      <c r="C151">
        <v>2.2130000000000001</v>
      </c>
      <c r="D151">
        <v>9.5000000000000001E-2</v>
      </c>
      <c r="E151">
        <f t="shared" si="24"/>
        <v>1.1761818034937657</v>
      </c>
      <c r="F151">
        <f t="shared" si="25"/>
        <v>-0.11976111714241211</v>
      </c>
      <c r="G151">
        <f t="shared" si="28"/>
        <v>-2.4000000000000021E-2</v>
      </c>
      <c r="H151">
        <f>IF(MOD(COUNTA($C$7:C151)-1,$J$2),H150,ROUND(F151*P151,-2))</f>
        <v>-1200</v>
      </c>
      <c r="I151">
        <f t="shared" si="29"/>
        <v>-100</v>
      </c>
      <c r="J151">
        <f t="shared" si="30"/>
        <v>0</v>
      </c>
      <c r="K151">
        <f t="shared" si="31"/>
        <v>2931.7610290978691</v>
      </c>
      <c r="L151">
        <f t="shared" si="32"/>
        <v>276.16102909786923</v>
      </c>
      <c r="M151">
        <f t="shared" si="33"/>
        <v>26.390041500000734</v>
      </c>
      <c r="N151">
        <f t="shared" si="35"/>
        <v>276.16102909786923</v>
      </c>
      <c r="O151" s="5">
        <f t="shared" si="26"/>
        <v>2.3310127455553442E-2</v>
      </c>
      <c r="P151">
        <f t="shared" si="34"/>
        <v>10000</v>
      </c>
      <c r="Q151">
        <f t="shared" si="27"/>
        <v>233.10127455553442</v>
      </c>
    </row>
    <row r="152" spans="1:17" x14ac:dyDescent="0.15">
      <c r="A152" s="10">
        <v>45870.402777777985</v>
      </c>
      <c r="B152">
        <f>COUNT(A152:$A$1158)/(48*252)</f>
        <v>8.3250661375661381E-2</v>
      </c>
      <c r="C152">
        <v>2.2160000000000002</v>
      </c>
      <c r="D152">
        <v>9.5000000000000001E-2</v>
      </c>
      <c r="E152">
        <f t="shared" si="24"/>
        <v>1.1848236978394546</v>
      </c>
      <c r="F152">
        <f t="shared" si="25"/>
        <v>-0.11804358041154639</v>
      </c>
      <c r="G152">
        <f t="shared" si="28"/>
        <v>3.0000000000001137E-3</v>
      </c>
      <c r="H152">
        <f>IF(MOD(COUNTA($C$7:C152)-1,$J$2),H151,ROUND(F152*P152,-2))</f>
        <v>-1200</v>
      </c>
      <c r="I152">
        <f t="shared" si="29"/>
        <v>0</v>
      </c>
      <c r="J152">
        <f t="shared" si="30"/>
        <v>0</v>
      </c>
      <c r="K152">
        <f t="shared" si="31"/>
        <v>2931.7610290978691</v>
      </c>
      <c r="L152">
        <f t="shared" si="32"/>
        <v>272.56102909786887</v>
      </c>
      <c r="M152">
        <f t="shared" si="33"/>
        <v>-3.6000000000003638</v>
      </c>
      <c r="N152">
        <f t="shared" si="35"/>
        <v>272.56102909786887</v>
      </c>
      <c r="O152" s="5">
        <f t="shared" si="26"/>
        <v>2.2917843945319927E-2</v>
      </c>
      <c r="P152">
        <f t="shared" si="34"/>
        <v>10000</v>
      </c>
      <c r="Q152">
        <f t="shared" si="27"/>
        <v>229.17843945319927</v>
      </c>
    </row>
    <row r="153" spans="1:17" x14ac:dyDescent="0.15">
      <c r="A153" s="10">
        <v>45870.40625</v>
      </c>
      <c r="B153">
        <f>COUNT(A153:$A$1158)/(48*252)</f>
        <v>8.3167989417989419E-2</v>
      </c>
      <c r="C153">
        <v>2.218</v>
      </c>
      <c r="D153">
        <v>9.6000000000000002E-2</v>
      </c>
      <c r="E153">
        <f t="shared" si="24"/>
        <v>1.1907485034885035</v>
      </c>
      <c r="F153">
        <f t="shared" si="25"/>
        <v>-0.11687616524916422</v>
      </c>
      <c r="G153">
        <f t="shared" si="28"/>
        <v>1.9999999999997797E-3</v>
      </c>
      <c r="H153">
        <f>IF(MOD(COUNTA($C$7:C153)-1,$J$2),H152,ROUND(F153*P153,-2))</f>
        <v>-1200</v>
      </c>
      <c r="I153">
        <f t="shared" si="29"/>
        <v>0</v>
      </c>
      <c r="J153">
        <f t="shared" si="30"/>
        <v>0</v>
      </c>
      <c r="K153">
        <f t="shared" si="31"/>
        <v>2931.7610290978691</v>
      </c>
      <c r="L153">
        <f t="shared" si="32"/>
        <v>270.16102909786923</v>
      </c>
      <c r="M153">
        <f t="shared" si="33"/>
        <v>-2.3999999999996362</v>
      </c>
      <c r="N153">
        <f t="shared" si="35"/>
        <v>270.16102909786923</v>
      </c>
      <c r="O153" s="5">
        <f t="shared" si="26"/>
        <v>2.2647589690357406E-2</v>
      </c>
      <c r="P153">
        <f t="shared" si="34"/>
        <v>10000</v>
      </c>
      <c r="Q153">
        <f t="shared" si="27"/>
        <v>226.47589690357407</v>
      </c>
    </row>
    <row r="154" spans="1:17" x14ac:dyDescent="0.15">
      <c r="A154" s="10">
        <v>45870.409722222015</v>
      </c>
      <c r="B154">
        <f>COUNT(A154:$A$1158)/(48*252)</f>
        <v>8.3085317460317457E-2</v>
      </c>
      <c r="C154">
        <v>2.214</v>
      </c>
      <c r="D154">
        <v>9.2999999999999999E-2</v>
      </c>
      <c r="E154">
        <f t="shared" si="24"/>
        <v>1.1803658878558154</v>
      </c>
      <c r="F154">
        <f t="shared" si="25"/>
        <v>-0.11892736156153572</v>
      </c>
      <c r="G154">
        <f t="shared" si="28"/>
        <v>-4.0000000000000036E-3</v>
      </c>
      <c r="H154">
        <f>IF(MOD(COUNTA($C$7:C154)-1,$J$2),H153,ROUND(F154*P154,-2))</f>
        <v>-1200</v>
      </c>
      <c r="I154">
        <f t="shared" si="29"/>
        <v>0</v>
      </c>
      <c r="J154">
        <f t="shared" si="30"/>
        <v>0</v>
      </c>
      <c r="K154">
        <f t="shared" si="31"/>
        <v>2931.7610290978691</v>
      </c>
      <c r="L154">
        <f t="shared" si="32"/>
        <v>274.96102909786896</v>
      </c>
      <c r="M154">
        <f t="shared" si="33"/>
        <v>4.7999999999997272</v>
      </c>
      <c r="N154">
        <f t="shared" si="35"/>
        <v>274.96102909786896</v>
      </c>
      <c r="O154" s="5">
        <f t="shared" si="26"/>
        <v>2.3083755853956223E-2</v>
      </c>
      <c r="P154">
        <f t="shared" si="34"/>
        <v>10000</v>
      </c>
      <c r="Q154">
        <f t="shared" si="27"/>
        <v>230.83755853956222</v>
      </c>
    </row>
    <row r="155" spans="1:17" x14ac:dyDescent="0.15">
      <c r="A155" s="10">
        <v>45870.413194444962</v>
      </c>
      <c r="B155">
        <f>COUNT(A155:$A$1158)/(48*252)</f>
        <v>8.3002645502645508E-2</v>
      </c>
      <c r="C155">
        <v>2.214</v>
      </c>
      <c r="D155">
        <v>9.2999999999999999E-2</v>
      </c>
      <c r="E155">
        <f t="shared" si="24"/>
        <v>1.1808560189336399</v>
      </c>
      <c r="F155">
        <f t="shared" si="25"/>
        <v>-0.11882996282679759</v>
      </c>
      <c r="G155">
        <f t="shared" si="28"/>
        <v>0</v>
      </c>
      <c r="H155">
        <f>IF(MOD(COUNTA($C$7:C155)-1,$J$2),H154,ROUND(F155*P155,-2))</f>
        <v>-1200</v>
      </c>
      <c r="I155">
        <f t="shared" si="29"/>
        <v>0</v>
      </c>
      <c r="J155">
        <f t="shared" si="30"/>
        <v>0</v>
      </c>
      <c r="K155">
        <f t="shared" si="31"/>
        <v>2931.7610290978691</v>
      </c>
      <c r="L155">
        <f t="shared" si="32"/>
        <v>274.96102909786896</v>
      </c>
      <c r="M155">
        <f t="shared" si="33"/>
        <v>0</v>
      </c>
      <c r="N155">
        <f t="shared" si="35"/>
        <v>274.96102909786896</v>
      </c>
      <c r="O155" s="5">
        <f t="shared" si="26"/>
        <v>2.3048133189662867E-2</v>
      </c>
      <c r="P155">
        <f t="shared" si="34"/>
        <v>10000</v>
      </c>
      <c r="Q155">
        <f t="shared" si="27"/>
        <v>230.48133189662866</v>
      </c>
    </row>
    <row r="156" spans="1:17" x14ac:dyDescent="0.15">
      <c r="A156" s="10">
        <v>45870.416666666977</v>
      </c>
      <c r="B156">
        <f>COUNT(A156:$A$1158)/(48*252)</f>
        <v>8.2919973544973546E-2</v>
      </c>
      <c r="C156">
        <v>2.2120000000000002</v>
      </c>
      <c r="D156">
        <v>9.0999999999999998E-2</v>
      </c>
      <c r="E156">
        <f t="shared" si="24"/>
        <v>1.1758954452441592</v>
      </c>
      <c r="F156">
        <f t="shared" si="25"/>
        <v>-0.11981832960162342</v>
      </c>
      <c r="G156">
        <f t="shared" si="28"/>
        <v>-1.9999999999997797E-3</v>
      </c>
      <c r="H156">
        <f>IF(MOD(COUNTA($C$7:C156)-1,$J$2),H155,ROUND(F156*P156,-2))</f>
        <v>-1200</v>
      </c>
      <c r="I156">
        <f t="shared" si="29"/>
        <v>0</v>
      </c>
      <c r="J156">
        <f t="shared" si="30"/>
        <v>0</v>
      </c>
      <c r="K156">
        <f t="shared" si="31"/>
        <v>2931.7610290978691</v>
      </c>
      <c r="L156">
        <f t="shared" si="32"/>
        <v>277.36102909786905</v>
      </c>
      <c r="M156">
        <f t="shared" si="33"/>
        <v>2.4000000000000909</v>
      </c>
      <c r="N156">
        <f t="shared" si="35"/>
        <v>277.36102909786905</v>
      </c>
      <c r="O156" s="5">
        <f t="shared" si="26"/>
        <v>2.3251062321535121E-2</v>
      </c>
      <c r="P156">
        <f t="shared" si="34"/>
        <v>10000</v>
      </c>
      <c r="Q156">
        <f t="shared" si="27"/>
        <v>232.51062321535122</v>
      </c>
    </row>
    <row r="157" spans="1:17" x14ac:dyDescent="0.15">
      <c r="A157" s="10">
        <v>45870.420138888992</v>
      </c>
      <c r="B157">
        <f>COUNT(A157:$A$1158)/(48*252)</f>
        <v>8.2837301587301584E-2</v>
      </c>
      <c r="C157">
        <v>2.214</v>
      </c>
      <c r="D157">
        <v>9.1999999999999998E-2</v>
      </c>
      <c r="E157">
        <f t="shared" si="24"/>
        <v>1.1818386273652257</v>
      </c>
      <c r="F157">
        <f t="shared" si="25"/>
        <v>-0.11863486883837682</v>
      </c>
      <c r="G157">
        <f t="shared" si="28"/>
        <v>1.9999999999997797E-3</v>
      </c>
      <c r="H157">
        <f>IF(MOD(COUNTA($C$7:C157)-1,$J$2),H156,ROUND(F157*P157,-2))</f>
        <v>-1200</v>
      </c>
      <c r="I157">
        <f t="shared" si="29"/>
        <v>0</v>
      </c>
      <c r="J157">
        <f t="shared" si="30"/>
        <v>0</v>
      </c>
      <c r="K157">
        <f t="shared" si="31"/>
        <v>2931.7610290978691</v>
      </c>
      <c r="L157">
        <f t="shared" si="32"/>
        <v>274.96102909786896</v>
      </c>
      <c r="M157">
        <f t="shared" si="33"/>
        <v>-2.4000000000000909</v>
      </c>
      <c r="N157">
        <f t="shared" si="35"/>
        <v>274.96102909786896</v>
      </c>
      <c r="O157" s="5">
        <f t="shared" si="26"/>
        <v>2.2976894867527964E-2</v>
      </c>
      <c r="P157">
        <f t="shared" si="34"/>
        <v>10000</v>
      </c>
      <c r="Q157">
        <f t="shared" si="27"/>
        <v>229.76894867527963</v>
      </c>
    </row>
    <row r="158" spans="1:17" x14ac:dyDescent="0.15">
      <c r="A158" s="10">
        <v>45870.423611111008</v>
      </c>
      <c r="B158">
        <f>COUNT(A158:$A$1158)/(48*252)</f>
        <v>8.2754629629629636E-2</v>
      </c>
      <c r="C158">
        <v>2.2149999999999999</v>
      </c>
      <c r="D158">
        <v>9.1999999999999998E-2</v>
      </c>
      <c r="E158">
        <f t="shared" si="24"/>
        <v>1.1850577251596144</v>
      </c>
      <c r="F158">
        <f t="shared" si="25"/>
        <v>-0.11799731211049058</v>
      </c>
      <c r="G158">
        <f t="shared" si="28"/>
        <v>9.9999999999988987E-4</v>
      </c>
      <c r="H158">
        <f>IF(MOD(COUNTA($C$7:C158)-1,$J$2),H157,ROUND(F158*P158,-2))</f>
        <v>-1200</v>
      </c>
      <c r="I158">
        <f t="shared" si="29"/>
        <v>0</v>
      </c>
      <c r="J158">
        <f t="shared" si="30"/>
        <v>0</v>
      </c>
      <c r="K158">
        <f t="shared" si="31"/>
        <v>2931.7610290978691</v>
      </c>
      <c r="L158">
        <f t="shared" si="32"/>
        <v>273.76102909786914</v>
      </c>
      <c r="M158">
        <f t="shared" si="33"/>
        <v>-1.1999999999998181</v>
      </c>
      <c r="N158">
        <f t="shared" si="35"/>
        <v>273.76102909786914</v>
      </c>
      <c r="O158" s="5">
        <f t="shared" si="26"/>
        <v>2.2823012179590818E-2</v>
      </c>
      <c r="P158">
        <f t="shared" si="34"/>
        <v>10000</v>
      </c>
      <c r="Q158">
        <f t="shared" si="27"/>
        <v>228.23012179590819</v>
      </c>
    </row>
    <row r="159" spans="1:17" x14ac:dyDescent="0.15">
      <c r="A159" s="10">
        <v>45870.427083333023</v>
      </c>
      <c r="B159">
        <f>COUNT(A159:$A$1158)/(48*252)</f>
        <v>8.2671957671957674E-2</v>
      </c>
      <c r="C159">
        <v>2.2149999999999999</v>
      </c>
      <c r="D159">
        <v>9.1999999999999998E-2</v>
      </c>
      <c r="E159">
        <f t="shared" si="24"/>
        <v>1.1855523568101691</v>
      </c>
      <c r="F159">
        <f t="shared" si="25"/>
        <v>-0.11789956332285367</v>
      </c>
      <c r="G159">
        <f t="shared" si="28"/>
        <v>0</v>
      </c>
      <c r="H159">
        <f>IF(MOD(COUNTA($C$7:C159)-1,$J$2),H158,ROUND(F159*P159,-2))</f>
        <v>-1200</v>
      </c>
      <c r="I159">
        <f t="shared" si="29"/>
        <v>0</v>
      </c>
      <c r="J159">
        <f t="shared" si="30"/>
        <v>0</v>
      </c>
      <c r="K159">
        <f t="shared" si="31"/>
        <v>2931.7610290978691</v>
      </c>
      <c r="L159">
        <f t="shared" si="32"/>
        <v>273.76102909786914</v>
      </c>
      <c r="M159">
        <f t="shared" si="33"/>
        <v>0</v>
      </c>
      <c r="N159">
        <f t="shared" si="35"/>
        <v>273.76102909786914</v>
      </c>
      <c r="O159" s="5">
        <f t="shared" si="26"/>
        <v>2.2787496739154034E-2</v>
      </c>
      <c r="P159">
        <f t="shared" si="34"/>
        <v>10000</v>
      </c>
      <c r="Q159">
        <f t="shared" si="27"/>
        <v>227.87496739154034</v>
      </c>
    </row>
    <row r="160" spans="1:17" x14ac:dyDescent="0.15">
      <c r="A160" s="10">
        <v>45870.430555555969</v>
      </c>
      <c r="B160">
        <f>COUNT(A160:$A$1158)/(48*252)</f>
        <v>8.2589285714285712E-2</v>
      </c>
      <c r="C160">
        <v>2.2130000000000001</v>
      </c>
      <c r="D160">
        <v>9.0999999999999998E-2</v>
      </c>
      <c r="E160">
        <f t="shared" si="24"/>
        <v>1.1805878578957882</v>
      </c>
      <c r="F160">
        <f t="shared" si="25"/>
        <v>-0.11888324474391965</v>
      </c>
      <c r="G160">
        <f t="shared" si="28"/>
        <v>-1.9999999999997797E-3</v>
      </c>
      <c r="H160">
        <f>IF(MOD(COUNTA($C$7:C160)-1,$J$2),H159,ROUND(F160*P160,-2))</f>
        <v>-1200</v>
      </c>
      <c r="I160">
        <f t="shared" si="29"/>
        <v>0</v>
      </c>
      <c r="J160">
        <f t="shared" si="30"/>
        <v>0</v>
      </c>
      <c r="K160">
        <f t="shared" si="31"/>
        <v>2931.7610290978691</v>
      </c>
      <c r="L160">
        <f t="shared" si="32"/>
        <v>276.16102909786923</v>
      </c>
      <c r="M160">
        <f t="shared" si="33"/>
        <v>2.4000000000000909</v>
      </c>
      <c r="N160">
        <f t="shared" si="35"/>
        <v>276.16102909786923</v>
      </c>
      <c r="O160" s="5">
        <f t="shared" si="26"/>
        <v>2.2988667452951084E-2</v>
      </c>
      <c r="P160">
        <f t="shared" si="34"/>
        <v>10000</v>
      </c>
      <c r="Q160">
        <f t="shared" si="27"/>
        <v>229.88667452951083</v>
      </c>
    </row>
    <row r="161" spans="1:17" x14ac:dyDescent="0.15">
      <c r="A161" s="10">
        <v>45870.434027777985</v>
      </c>
      <c r="B161">
        <f>COUNT(A161:$A$1158)/(48*252)</f>
        <v>8.250661375661375E-2</v>
      </c>
      <c r="C161">
        <v>2.2040000000000002</v>
      </c>
      <c r="D161">
        <v>8.8999999999999996E-2</v>
      </c>
      <c r="E161">
        <f t="shared" si="24"/>
        <v>1.1564381335720466</v>
      </c>
      <c r="F161">
        <f t="shared" si="25"/>
        <v>-0.12375099563145753</v>
      </c>
      <c r="G161">
        <f t="shared" si="28"/>
        <v>-8.999999999999897E-3</v>
      </c>
      <c r="H161">
        <f>IF(MOD(COUNTA($C$7:C161)-1,$J$2),H160,ROUND(F161*P161,-2))</f>
        <v>-1200</v>
      </c>
      <c r="I161">
        <f t="shared" si="29"/>
        <v>0</v>
      </c>
      <c r="J161">
        <f t="shared" si="30"/>
        <v>0</v>
      </c>
      <c r="K161">
        <f t="shared" si="31"/>
        <v>2931.7610290978691</v>
      </c>
      <c r="L161">
        <f t="shared" si="32"/>
        <v>286.96102909786896</v>
      </c>
      <c r="M161">
        <f t="shared" si="33"/>
        <v>10.799999999999727</v>
      </c>
      <c r="N161">
        <f t="shared" si="35"/>
        <v>286.96102909786896</v>
      </c>
      <c r="O161" s="5">
        <f t="shared" si="26"/>
        <v>2.4044251558256624E-2</v>
      </c>
      <c r="P161">
        <f t="shared" si="34"/>
        <v>10000</v>
      </c>
      <c r="Q161">
        <f t="shared" si="27"/>
        <v>240.44251558256624</v>
      </c>
    </row>
    <row r="162" spans="1:17" x14ac:dyDescent="0.15">
      <c r="A162" s="10">
        <v>45870.4375</v>
      </c>
      <c r="B162">
        <f>COUNT(A162:$A$1158)/(48*252)</f>
        <v>8.2423941798941802E-2</v>
      </c>
      <c r="C162">
        <v>2.2069999999999999</v>
      </c>
      <c r="D162">
        <v>0.09</v>
      </c>
      <c r="E162">
        <f t="shared" si="24"/>
        <v>1.1651497406085742</v>
      </c>
      <c r="F162">
        <f t="shared" si="25"/>
        <v>-0.1219791928269045</v>
      </c>
      <c r="G162">
        <f t="shared" si="28"/>
        <v>2.9999999999996696E-3</v>
      </c>
      <c r="H162">
        <f>IF(MOD(COUNTA($C$7:C162)-1,$J$2),H161,ROUND(F162*P162,-2))</f>
        <v>-1200</v>
      </c>
      <c r="I162">
        <f t="shared" si="29"/>
        <v>0</v>
      </c>
      <c r="J162">
        <f t="shared" si="30"/>
        <v>0</v>
      </c>
      <c r="K162">
        <f t="shared" si="31"/>
        <v>2931.7610290978691</v>
      </c>
      <c r="L162">
        <f t="shared" si="32"/>
        <v>283.3610290978695</v>
      </c>
      <c r="M162">
        <f t="shared" si="33"/>
        <v>-3.5999999999994543</v>
      </c>
      <c r="N162">
        <f t="shared" si="35"/>
        <v>283.3610290978695</v>
      </c>
      <c r="O162" s="5">
        <f t="shared" si="26"/>
        <v>2.3639219689546187E-2</v>
      </c>
      <c r="P162">
        <f t="shared" si="34"/>
        <v>10000</v>
      </c>
      <c r="Q162">
        <f t="shared" si="27"/>
        <v>236.39219689546186</v>
      </c>
    </row>
    <row r="163" spans="1:17" x14ac:dyDescent="0.15">
      <c r="A163" s="10">
        <v>45870.440972222015</v>
      </c>
      <c r="B163">
        <f>COUNT(A163:$A$1158)/(48*252)</f>
        <v>8.234126984126984E-2</v>
      </c>
      <c r="C163">
        <v>2.2000000000000002</v>
      </c>
      <c r="D163">
        <v>8.4000000000000005E-2</v>
      </c>
      <c r="E163">
        <f t="shared" si="24"/>
        <v>1.1464068656052211</v>
      </c>
      <c r="F163">
        <f t="shared" si="25"/>
        <v>-0.12581342162735254</v>
      </c>
      <c r="G163">
        <f t="shared" si="28"/>
        <v>-6.9999999999996732E-3</v>
      </c>
      <c r="H163">
        <f>IF(MOD(COUNTA($C$7:C163)-1,$J$2),H162,ROUND(F163*P163,-2))</f>
        <v>-1300</v>
      </c>
      <c r="I163">
        <f t="shared" si="29"/>
        <v>-100</v>
      </c>
      <c r="J163">
        <f t="shared" si="30"/>
        <v>0</v>
      </c>
      <c r="K163">
        <f t="shared" si="31"/>
        <v>3151.7511290978691</v>
      </c>
      <c r="L163">
        <f t="shared" si="32"/>
        <v>291.75112909786867</v>
      </c>
      <c r="M163">
        <f t="shared" si="33"/>
        <v>8.3900999999991654</v>
      </c>
      <c r="N163">
        <f t="shared" si="35"/>
        <v>291.75112909786867</v>
      </c>
      <c r="O163" s="5">
        <f t="shared" si="26"/>
        <v>2.4469799073800258E-2</v>
      </c>
      <c r="P163">
        <f t="shared" si="34"/>
        <v>10000</v>
      </c>
      <c r="Q163">
        <f t="shared" si="27"/>
        <v>244.69799073800257</v>
      </c>
    </row>
    <row r="164" spans="1:17" x14ac:dyDescent="0.15">
      <c r="A164" s="10">
        <v>45870.444444444962</v>
      </c>
      <c r="B164">
        <f>COUNT(A164:$A$1158)/(48*252)</f>
        <v>8.2258597883597878E-2</v>
      </c>
      <c r="C164">
        <v>2.1989999999999998</v>
      </c>
      <c r="D164">
        <v>8.2000000000000003E-2</v>
      </c>
      <c r="E164">
        <f t="shared" si="24"/>
        <v>1.1441313344793747</v>
      </c>
      <c r="F164">
        <f t="shared" si="25"/>
        <v>-0.1262845872366557</v>
      </c>
      <c r="G164">
        <f t="shared" si="28"/>
        <v>-1.000000000000334E-3</v>
      </c>
      <c r="H164">
        <f>IF(MOD(COUNTA($C$7:C164)-1,$J$2),H163,ROUND(F164*P164,-2))</f>
        <v>-1300</v>
      </c>
      <c r="I164">
        <f t="shared" si="29"/>
        <v>0</v>
      </c>
      <c r="J164">
        <f t="shared" si="30"/>
        <v>0</v>
      </c>
      <c r="K164">
        <f t="shared" si="31"/>
        <v>3151.7511290978691</v>
      </c>
      <c r="L164">
        <f t="shared" si="32"/>
        <v>293.05112909786931</v>
      </c>
      <c r="M164">
        <f t="shared" si="33"/>
        <v>1.3000000000006366</v>
      </c>
      <c r="N164">
        <f t="shared" si="35"/>
        <v>293.05112909786931</v>
      </c>
      <c r="O164" s="5">
        <f t="shared" si="26"/>
        <v>2.4558817608815398E-2</v>
      </c>
      <c r="P164">
        <f t="shared" si="34"/>
        <v>10000</v>
      </c>
      <c r="Q164">
        <f t="shared" si="27"/>
        <v>245.58817608815397</v>
      </c>
    </row>
    <row r="165" spans="1:17" x14ac:dyDescent="0.15">
      <c r="A165" s="10">
        <v>45870.447916666977</v>
      </c>
      <c r="B165">
        <f>COUNT(A165:$A$1158)/(48*252)</f>
        <v>8.217592592592593E-2</v>
      </c>
      <c r="C165">
        <v>2.202</v>
      </c>
      <c r="D165">
        <v>8.4000000000000005E-2</v>
      </c>
      <c r="E165">
        <f t="shared" si="24"/>
        <v>1.1528694918961166</v>
      </c>
      <c r="F165">
        <f t="shared" si="25"/>
        <v>-0.12448197793392357</v>
      </c>
      <c r="G165">
        <f t="shared" si="28"/>
        <v>3.0000000000001137E-3</v>
      </c>
      <c r="H165">
        <f>IF(MOD(COUNTA($C$7:C165)-1,$J$2),H164,ROUND(F165*P165,-2))</f>
        <v>-1200</v>
      </c>
      <c r="I165">
        <f t="shared" si="29"/>
        <v>100</v>
      </c>
      <c r="J165">
        <f t="shared" si="30"/>
        <v>0</v>
      </c>
      <c r="K165">
        <f t="shared" si="31"/>
        <v>2931.5412200978694</v>
      </c>
      <c r="L165">
        <f t="shared" si="32"/>
        <v>289.14122009786934</v>
      </c>
      <c r="M165">
        <f t="shared" si="33"/>
        <v>-3.9099089999999705</v>
      </c>
      <c r="N165">
        <f t="shared" si="35"/>
        <v>289.14122009786934</v>
      </c>
      <c r="O165" s="5">
        <f t="shared" si="26"/>
        <v>2.4145742076623899E-2</v>
      </c>
      <c r="P165">
        <f t="shared" si="34"/>
        <v>10000</v>
      </c>
      <c r="Q165">
        <f t="shared" si="27"/>
        <v>241.45742076623898</v>
      </c>
    </row>
    <row r="166" spans="1:17" x14ac:dyDescent="0.15">
      <c r="A166" s="10">
        <v>45870.451388888992</v>
      </c>
      <c r="B166">
        <f>COUNT(A166:$A$1158)/(48*252)</f>
        <v>8.2093253968253968E-2</v>
      </c>
      <c r="C166">
        <v>2.2029999999999998</v>
      </c>
      <c r="D166">
        <v>8.4000000000000005E-2</v>
      </c>
      <c r="E166">
        <f t="shared" si="24"/>
        <v>1.156104244070268</v>
      </c>
      <c r="F166">
        <f t="shared" si="25"/>
        <v>-0.12381926014352951</v>
      </c>
      <c r="G166">
        <f t="shared" si="28"/>
        <v>9.9999999999988987E-4</v>
      </c>
      <c r="H166">
        <f>IF(MOD(COUNTA($C$7:C166)-1,$J$2),H165,ROUND(F166*P166,-2))</f>
        <v>-1200</v>
      </c>
      <c r="I166">
        <f t="shared" si="29"/>
        <v>0</v>
      </c>
      <c r="J166">
        <f t="shared" si="30"/>
        <v>0</v>
      </c>
      <c r="K166">
        <f t="shared" si="31"/>
        <v>2931.5412200978694</v>
      </c>
      <c r="L166">
        <f t="shared" si="32"/>
        <v>287.94122009786952</v>
      </c>
      <c r="M166">
        <f t="shared" si="33"/>
        <v>-1.1999999999998181</v>
      </c>
      <c r="N166">
        <f t="shared" si="35"/>
        <v>287.94122009786952</v>
      </c>
      <c r="O166" s="5">
        <f t="shared" si="26"/>
        <v>2.3984860426339238E-2</v>
      </c>
      <c r="P166">
        <f t="shared" si="34"/>
        <v>10000</v>
      </c>
      <c r="Q166">
        <f t="shared" si="27"/>
        <v>239.84860426339239</v>
      </c>
    </row>
    <row r="167" spans="1:17" x14ac:dyDescent="0.15">
      <c r="A167" s="10">
        <v>45870.454861111008</v>
      </c>
      <c r="B167">
        <f>COUNT(A167:$A$1158)/(48*252)</f>
        <v>8.2010582010582006E-2</v>
      </c>
      <c r="C167">
        <v>2.2010000000000001</v>
      </c>
      <c r="D167">
        <v>8.4000000000000005E-2</v>
      </c>
      <c r="E167">
        <f t="shared" si="24"/>
        <v>1.1510796575146087</v>
      </c>
      <c r="F167">
        <f t="shared" si="25"/>
        <v>-0.12484973301289526</v>
      </c>
      <c r="G167">
        <f t="shared" si="28"/>
        <v>-1.9999999999997797E-3</v>
      </c>
      <c r="H167">
        <f>IF(MOD(COUNTA($C$7:C167)-1,$J$2),H166,ROUND(F167*P167,-2))</f>
        <v>-1200</v>
      </c>
      <c r="I167">
        <f t="shared" si="29"/>
        <v>0</v>
      </c>
      <c r="J167">
        <f t="shared" si="30"/>
        <v>0</v>
      </c>
      <c r="K167">
        <f t="shared" si="31"/>
        <v>2931.5412200978694</v>
      </c>
      <c r="L167">
        <f t="shared" si="32"/>
        <v>290.34122009786915</v>
      </c>
      <c r="M167">
        <f t="shared" si="33"/>
        <v>2.3999999999996362</v>
      </c>
      <c r="N167">
        <f t="shared" si="35"/>
        <v>290.34122009786915</v>
      </c>
      <c r="O167" s="5">
        <f t="shared" si="26"/>
        <v>2.4196748747602859E-2</v>
      </c>
      <c r="P167">
        <f t="shared" si="34"/>
        <v>10000</v>
      </c>
      <c r="Q167">
        <f t="shared" si="27"/>
        <v>241.96748747602859</v>
      </c>
    </row>
    <row r="168" spans="1:17" x14ac:dyDescent="0.15">
      <c r="A168" s="10">
        <v>45870.458333333023</v>
      </c>
      <c r="B168">
        <f>COUNT(A168:$A$1158)/(48*252)</f>
        <v>8.1927910052910058E-2</v>
      </c>
      <c r="C168">
        <v>2.202</v>
      </c>
      <c r="D168">
        <v>8.5000000000000006E-2</v>
      </c>
      <c r="E168">
        <f t="shared" si="24"/>
        <v>1.1543186065204689</v>
      </c>
      <c r="F168">
        <f t="shared" si="25"/>
        <v>-0.12418478547892298</v>
      </c>
      <c r="G168">
        <f t="shared" si="28"/>
        <v>9.9999999999988987E-4</v>
      </c>
      <c r="H168">
        <f>IF(MOD(COUNTA($C$7:C168)-1,$J$2),H167,ROUND(F168*P168,-2))</f>
        <v>-1200</v>
      </c>
      <c r="I168">
        <f t="shared" si="29"/>
        <v>0</v>
      </c>
      <c r="J168">
        <f t="shared" si="30"/>
        <v>0</v>
      </c>
      <c r="K168">
        <f t="shared" si="31"/>
        <v>2931.5412200978694</v>
      </c>
      <c r="L168">
        <f t="shared" si="32"/>
        <v>289.14122009786934</v>
      </c>
      <c r="M168">
        <f t="shared" si="33"/>
        <v>-1.1999999999998181</v>
      </c>
      <c r="N168">
        <f t="shared" si="35"/>
        <v>289.14122009786934</v>
      </c>
      <c r="O168" s="5">
        <f t="shared" si="26"/>
        <v>2.403540413967642E-2</v>
      </c>
      <c r="P168">
        <f t="shared" si="34"/>
        <v>10000</v>
      </c>
      <c r="Q168">
        <f t="shared" si="27"/>
        <v>240.35404139676419</v>
      </c>
    </row>
    <row r="169" spans="1:17" x14ac:dyDescent="0.15">
      <c r="A169" s="10">
        <v>45870.461805555969</v>
      </c>
      <c r="B169">
        <f>COUNT(A169:$A$1158)/(48*252)</f>
        <v>8.1845238095238096E-2</v>
      </c>
      <c r="C169">
        <v>2.1970000000000001</v>
      </c>
      <c r="D169">
        <v>8.3000000000000004E-2</v>
      </c>
      <c r="E169">
        <f t="shared" si="24"/>
        <v>1.1410010996504871</v>
      </c>
      <c r="F169">
        <f t="shared" si="25"/>
        <v>-0.1269347326932545</v>
      </c>
      <c r="G169">
        <f t="shared" si="28"/>
        <v>-4.9999999999998934E-3</v>
      </c>
      <c r="H169">
        <f>IF(MOD(COUNTA($C$7:C169)-1,$J$2),H168,ROUND(F169*P169,-2))</f>
        <v>-1300</v>
      </c>
      <c r="I169">
        <f t="shared" si="29"/>
        <v>-100</v>
      </c>
      <c r="J169">
        <f t="shared" si="30"/>
        <v>0</v>
      </c>
      <c r="K169">
        <f t="shared" si="31"/>
        <v>3151.2313335978693</v>
      </c>
      <c r="L169">
        <f t="shared" si="32"/>
        <v>295.13133359786934</v>
      </c>
      <c r="M169">
        <f t="shared" si="33"/>
        <v>5.9901135000000068</v>
      </c>
      <c r="N169">
        <f t="shared" si="35"/>
        <v>295.13133359786934</v>
      </c>
      <c r="O169" s="5">
        <f t="shared" si="26"/>
        <v>2.4626156715313763E-2</v>
      </c>
      <c r="P169">
        <f t="shared" si="34"/>
        <v>10000</v>
      </c>
      <c r="Q169">
        <f t="shared" si="27"/>
        <v>246.26156715313763</v>
      </c>
    </row>
    <row r="170" spans="1:17" x14ac:dyDescent="0.15">
      <c r="A170" s="10">
        <v>45870.465277777985</v>
      </c>
      <c r="B170">
        <f>COUNT(A170:$A$1158)/(48*252)</f>
        <v>8.1762566137566134E-2</v>
      </c>
      <c r="C170">
        <v>2.2000000000000002</v>
      </c>
      <c r="D170">
        <v>8.4000000000000005E-2</v>
      </c>
      <c r="E170">
        <f t="shared" si="24"/>
        <v>1.1497687249345152</v>
      </c>
      <c r="F170">
        <f t="shared" si="25"/>
        <v>-0.12511956989503292</v>
      </c>
      <c r="G170">
        <f t="shared" si="28"/>
        <v>3.0000000000001137E-3</v>
      </c>
      <c r="H170">
        <f>IF(MOD(COUNTA($C$7:C170)-1,$J$2),H169,ROUND(F170*P170,-2))</f>
        <v>-1300</v>
      </c>
      <c r="I170">
        <f t="shared" si="29"/>
        <v>0</v>
      </c>
      <c r="J170">
        <f t="shared" si="30"/>
        <v>0</v>
      </c>
      <c r="K170">
        <f t="shared" si="31"/>
        <v>3151.2313335978693</v>
      </c>
      <c r="L170">
        <f t="shared" si="32"/>
        <v>291.2313335978688</v>
      </c>
      <c r="M170">
        <f t="shared" si="33"/>
        <v>-3.9000000000005457</v>
      </c>
      <c r="N170">
        <f t="shared" si="35"/>
        <v>291.2313335978688</v>
      </c>
      <c r="O170" s="5">
        <f t="shared" si="26"/>
        <v>2.4210956843475129E-2</v>
      </c>
      <c r="P170">
        <f t="shared" si="34"/>
        <v>10000</v>
      </c>
      <c r="Q170">
        <f t="shared" si="27"/>
        <v>242.10956843475128</v>
      </c>
    </row>
    <row r="171" spans="1:17" x14ac:dyDescent="0.15">
      <c r="A171" s="10">
        <v>45870.46875</v>
      </c>
      <c r="B171">
        <f>COUNT(A171:$A$1158)/(48*252)</f>
        <v>8.1679894179894186E-2</v>
      </c>
      <c r="C171">
        <v>2.198</v>
      </c>
      <c r="D171">
        <v>8.4000000000000005E-2</v>
      </c>
      <c r="E171">
        <f t="shared" si="24"/>
        <v>1.1447244209781344</v>
      </c>
      <c r="F171">
        <f t="shared" si="25"/>
        <v>-0.12616166595764855</v>
      </c>
      <c r="G171">
        <f t="shared" si="28"/>
        <v>-2.0000000000002238E-3</v>
      </c>
      <c r="H171">
        <f>IF(MOD(COUNTA($C$7:C171)-1,$J$2),H170,ROUND(F171*P171,-2))</f>
        <v>-1300</v>
      </c>
      <c r="I171">
        <f t="shared" si="29"/>
        <v>0</v>
      </c>
      <c r="J171">
        <f t="shared" si="30"/>
        <v>0</v>
      </c>
      <c r="K171">
        <f t="shared" si="31"/>
        <v>3151.2313335978693</v>
      </c>
      <c r="L171">
        <f t="shared" si="32"/>
        <v>293.83133359786916</v>
      </c>
      <c r="M171">
        <f t="shared" si="33"/>
        <v>2.6000000000003638</v>
      </c>
      <c r="N171">
        <f t="shared" si="35"/>
        <v>293.83133359786916</v>
      </c>
      <c r="O171" s="5">
        <f t="shared" si="26"/>
        <v>2.4425164482094808E-2</v>
      </c>
      <c r="P171">
        <f t="shared" si="34"/>
        <v>10000</v>
      </c>
      <c r="Q171">
        <f t="shared" si="27"/>
        <v>244.25164482094809</v>
      </c>
    </row>
    <row r="172" spans="1:17" x14ac:dyDescent="0.15">
      <c r="A172" s="10">
        <v>45870.472222222015</v>
      </c>
      <c r="B172">
        <f>COUNT(A172:$A$1158)/(48*252)</f>
        <v>8.1597222222222224E-2</v>
      </c>
      <c r="C172">
        <v>2.194</v>
      </c>
      <c r="D172">
        <v>8.2000000000000003E-2</v>
      </c>
      <c r="E172">
        <f t="shared" si="24"/>
        <v>1.1341297071664773</v>
      </c>
      <c r="F172">
        <f t="shared" si="25"/>
        <v>-0.12837007203740547</v>
      </c>
      <c r="G172">
        <f t="shared" si="28"/>
        <v>-4.0000000000000036E-3</v>
      </c>
      <c r="H172">
        <f>IF(MOD(COUNTA($C$7:C172)-1,$J$2),H171,ROUND(F172*P172,-2))</f>
        <v>-1300</v>
      </c>
      <c r="I172">
        <f t="shared" si="29"/>
        <v>0</v>
      </c>
      <c r="J172">
        <f t="shared" si="30"/>
        <v>0</v>
      </c>
      <c r="K172">
        <f t="shared" si="31"/>
        <v>3151.2313335978693</v>
      </c>
      <c r="L172">
        <f t="shared" si="32"/>
        <v>299.03133359786943</v>
      </c>
      <c r="M172">
        <f t="shared" si="33"/>
        <v>5.2000000000002728</v>
      </c>
      <c r="N172">
        <f t="shared" si="35"/>
        <v>299.03133359786943</v>
      </c>
      <c r="O172" s="5">
        <f t="shared" si="26"/>
        <v>2.4896846672045392E-2</v>
      </c>
      <c r="P172">
        <f t="shared" si="34"/>
        <v>10000</v>
      </c>
      <c r="Q172">
        <f t="shared" si="27"/>
        <v>248.96846672045393</v>
      </c>
    </row>
    <row r="173" spans="1:17" x14ac:dyDescent="0.15">
      <c r="A173" s="10">
        <v>45870.475694444962</v>
      </c>
      <c r="B173">
        <f>COUNT(A173:$A$1158)/(48*252)</f>
        <v>8.1514550264550262E-2</v>
      </c>
      <c r="C173">
        <v>2.1880000000000002</v>
      </c>
      <c r="D173">
        <v>8.1000000000000003E-2</v>
      </c>
      <c r="E173">
        <f t="shared" si="24"/>
        <v>1.1179457591719877</v>
      </c>
      <c r="F173">
        <f t="shared" si="25"/>
        <v>-0.13179507997494977</v>
      </c>
      <c r="G173">
        <f t="shared" si="28"/>
        <v>-5.9999999999997833E-3</v>
      </c>
      <c r="H173">
        <f>IF(MOD(COUNTA($C$7:C173)-1,$J$2),H172,ROUND(F173*P173,-2))</f>
        <v>-1300</v>
      </c>
      <c r="I173">
        <f t="shared" si="29"/>
        <v>0</v>
      </c>
      <c r="J173">
        <f t="shared" si="30"/>
        <v>0</v>
      </c>
      <c r="K173">
        <f t="shared" si="31"/>
        <v>3151.2313335978693</v>
      </c>
      <c r="L173">
        <f t="shared" si="32"/>
        <v>306.83133359786916</v>
      </c>
      <c r="M173">
        <f t="shared" si="33"/>
        <v>7.7999999999997272</v>
      </c>
      <c r="N173">
        <f t="shared" si="35"/>
        <v>306.83133359786916</v>
      </c>
      <c r="O173" s="5">
        <f t="shared" si="26"/>
        <v>2.5639435396962895E-2</v>
      </c>
      <c r="P173">
        <f t="shared" si="34"/>
        <v>10000</v>
      </c>
      <c r="Q173">
        <f t="shared" si="27"/>
        <v>256.39435396962892</v>
      </c>
    </row>
    <row r="174" spans="1:17" x14ac:dyDescent="0.15">
      <c r="A174" s="10">
        <v>45870.479166666977</v>
      </c>
      <c r="B174">
        <f>COUNT(A174:$A$1158)/(48*252)</f>
        <v>8.1431878306878314E-2</v>
      </c>
      <c r="C174">
        <v>2.1840000000000002</v>
      </c>
      <c r="D174">
        <v>8.1000000000000003E-2</v>
      </c>
      <c r="E174">
        <f t="shared" si="24"/>
        <v>1.1072765738804189</v>
      </c>
      <c r="F174">
        <f t="shared" si="25"/>
        <v>-0.13408718472105385</v>
      </c>
      <c r="G174">
        <f t="shared" si="28"/>
        <v>-4.0000000000000036E-3</v>
      </c>
      <c r="H174">
        <f>IF(MOD(COUNTA($C$7:C174)-1,$J$2),H173,ROUND(F174*P174,-2))</f>
        <v>-1300</v>
      </c>
      <c r="I174">
        <f t="shared" si="29"/>
        <v>0</v>
      </c>
      <c r="J174">
        <f t="shared" si="30"/>
        <v>0</v>
      </c>
      <c r="K174">
        <f t="shared" si="31"/>
        <v>3151.2313335978693</v>
      </c>
      <c r="L174">
        <f t="shared" si="32"/>
        <v>312.03133359786898</v>
      </c>
      <c r="M174">
        <f t="shared" si="33"/>
        <v>5.1999999999998181</v>
      </c>
      <c r="N174">
        <f t="shared" si="35"/>
        <v>312.03133359786898</v>
      </c>
      <c r="O174" s="5">
        <f t="shared" si="26"/>
        <v>2.6132819555011011E-2</v>
      </c>
      <c r="P174">
        <f t="shared" si="34"/>
        <v>10000</v>
      </c>
      <c r="Q174">
        <f t="shared" si="27"/>
        <v>261.32819555011008</v>
      </c>
    </row>
    <row r="175" spans="1:17" x14ac:dyDescent="0.15">
      <c r="A175" s="10">
        <v>45870.545138888992</v>
      </c>
      <c r="B175">
        <f>COUNT(A175:$A$1158)/(48*252)</f>
        <v>8.1349206349206352E-2</v>
      </c>
      <c r="C175">
        <v>2.1880000000000002</v>
      </c>
      <c r="D175">
        <v>8.2000000000000003E-2</v>
      </c>
      <c r="E175">
        <f t="shared" si="24"/>
        <v>1.1188842248825275</v>
      </c>
      <c r="F175">
        <f t="shared" si="25"/>
        <v>-0.1315947668538604</v>
      </c>
      <c r="G175">
        <f t="shared" si="28"/>
        <v>4.0000000000000036E-3</v>
      </c>
      <c r="H175">
        <f>IF(MOD(COUNTA($C$7:C175)-1,$J$2),H174,ROUND(F175*P175,-2))</f>
        <v>-1300</v>
      </c>
      <c r="I175">
        <f t="shared" si="29"/>
        <v>0</v>
      </c>
      <c r="J175">
        <f t="shared" si="30"/>
        <v>0</v>
      </c>
      <c r="K175">
        <f t="shared" si="31"/>
        <v>3151.2313335978693</v>
      </c>
      <c r="L175">
        <f t="shared" si="32"/>
        <v>306.83133359786916</v>
      </c>
      <c r="M175">
        <f t="shared" si="33"/>
        <v>-5.1999999999998181</v>
      </c>
      <c r="N175">
        <f t="shared" si="35"/>
        <v>306.83133359786916</v>
      </c>
      <c r="O175" s="5">
        <f t="shared" si="26"/>
        <v>2.5563097775823662E-2</v>
      </c>
      <c r="P175">
        <f t="shared" si="34"/>
        <v>10000</v>
      </c>
      <c r="Q175">
        <f t="shared" si="27"/>
        <v>255.63097775823661</v>
      </c>
    </row>
    <row r="176" spans="1:17" x14ac:dyDescent="0.15">
      <c r="A176" s="10">
        <v>45870.548611111008</v>
      </c>
      <c r="B176">
        <f>COUNT(A176:$A$1158)/(48*252)</f>
        <v>8.126653439153439E-2</v>
      </c>
      <c r="C176">
        <v>2.181</v>
      </c>
      <c r="D176">
        <v>7.9000000000000001E-2</v>
      </c>
      <c r="E176">
        <f t="shared" si="24"/>
        <v>1.0998298163475011</v>
      </c>
      <c r="F176">
        <f t="shared" si="25"/>
        <v>-0.13570313929585853</v>
      </c>
      <c r="G176">
        <f t="shared" si="28"/>
        <v>-7.0000000000001172E-3</v>
      </c>
      <c r="H176">
        <f>IF(MOD(COUNTA($C$7:C176)-1,$J$2),H175,ROUND(F176*P176,-2))</f>
        <v>-1300</v>
      </c>
      <c r="I176">
        <f t="shared" si="29"/>
        <v>0</v>
      </c>
      <c r="J176">
        <f t="shared" si="30"/>
        <v>0</v>
      </c>
      <c r="K176">
        <f t="shared" si="31"/>
        <v>3151.2313335978693</v>
      </c>
      <c r="L176">
        <f t="shared" si="32"/>
        <v>315.93133359786907</v>
      </c>
      <c r="M176">
        <f t="shared" si="33"/>
        <v>9.0999999999999091</v>
      </c>
      <c r="N176">
        <f t="shared" si="35"/>
        <v>315.93133359786907</v>
      </c>
      <c r="O176" s="5">
        <f t="shared" si="26"/>
        <v>2.646005952123659E-2</v>
      </c>
      <c r="P176">
        <f t="shared" si="34"/>
        <v>10000</v>
      </c>
      <c r="Q176">
        <f t="shared" si="27"/>
        <v>264.60059521236587</v>
      </c>
    </row>
    <row r="177" spans="1:17" x14ac:dyDescent="0.15">
      <c r="A177" s="10">
        <v>45870.552083333023</v>
      </c>
      <c r="B177">
        <f>COUNT(A177:$A$1158)/(48*252)</f>
        <v>8.1183862433862428E-2</v>
      </c>
      <c r="C177">
        <v>2.1829999999999998</v>
      </c>
      <c r="D177">
        <v>0.08</v>
      </c>
      <c r="E177">
        <f t="shared" si="24"/>
        <v>1.1058787692383152</v>
      </c>
      <c r="F177">
        <f t="shared" si="25"/>
        <v>-0.13438949762462249</v>
      </c>
      <c r="G177">
        <f t="shared" si="28"/>
        <v>1.9999999999997797E-3</v>
      </c>
      <c r="H177">
        <f>IF(MOD(COUNTA($C$7:C177)-1,$J$2),H176,ROUND(F177*P177,-2))</f>
        <v>-1300</v>
      </c>
      <c r="I177">
        <f t="shared" si="29"/>
        <v>0</v>
      </c>
      <c r="J177">
        <f t="shared" si="30"/>
        <v>0</v>
      </c>
      <c r="K177">
        <f t="shared" si="31"/>
        <v>3151.2313335978693</v>
      </c>
      <c r="L177">
        <f t="shared" si="32"/>
        <v>313.33133359786962</v>
      </c>
      <c r="M177">
        <f t="shared" si="33"/>
        <v>-2.5999999999994543</v>
      </c>
      <c r="N177">
        <f t="shared" si="35"/>
        <v>313.33133359786962</v>
      </c>
      <c r="O177" s="5">
        <f t="shared" si="26"/>
        <v>2.6151196907006236E-2</v>
      </c>
      <c r="P177">
        <f t="shared" si="34"/>
        <v>10000</v>
      </c>
      <c r="Q177">
        <f t="shared" si="27"/>
        <v>261.51196907006238</v>
      </c>
    </row>
    <row r="178" spans="1:17" x14ac:dyDescent="0.15">
      <c r="A178" s="10">
        <v>45870.555555555969</v>
      </c>
      <c r="B178">
        <f>COUNT(A178:$A$1158)/(48*252)</f>
        <v>8.1101190476190479E-2</v>
      </c>
      <c r="C178">
        <v>2.1850000000000001</v>
      </c>
      <c r="D178">
        <v>8.2000000000000003E-2</v>
      </c>
      <c r="E178">
        <f t="shared" si="24"/>
        <v>1.1119290523551215</v>
      </c>
      <c r="F178">
        <f t="shared" si="25"/>
        <v>-0.1330843280918369</v>
      </c>
      <c r="G178">
        <f t="shared" si="28"/>
        <v>2.0000000000002238E-3</v>
      </c>
      <c r="H178">
        <f>IF(MOD(COUNTA($C$7:C178)-1,$J$2),H177,ROUND(F178*P178,-2))</f>
        <v>-1300</v>
      </c>
      <c r="I178">
        <f t="shared" si="29"/>
        <v>0</v>
      </c>
      <c r="J178">
        <f t="shared" si="30"/>
        <v>0</v>
      </c>
      <c r="K178">
        <f t="shared" si="31"/>
        <v>3151.2313335978693</v>
      </c>
      <c r="L178">
        <f t="shared" si="32"/>
        <v>310.73133359786925</v>
      </c>
      <c r="M178">
        <f t="shared" si="33"/>
        <v>-2.6000000000003638</v>
      </c>
      <c r="N178">
        <f t="shared" si="35"/>
        <v>310.73133359786925</v>
      </c>
      <c r="O178" s="5">
        <f t="shared" si="26"/>
        <v>2.5845153684338262E-2</v>
      </c>
      <c r="P178">
        <f t="shared" si="34"/>
        <v>10000</v>
      </c>
      <c r="Q178">
        <f t="shared" si="27"/>
        <v>258.4515368433826</v>
      </c>
    </row>
    <row r="179" spans="1:17" x14ac:dyDescent="0.15">
      <c r="A179" s="10">
        <v>45870.559027777985</v>
      </c>
      <c r="B179">
        <f>COUNT(A179:$A$1158)/(48*252)</f>
        <v>8.1018518518518517E-2</v>
      </c>
      <c r="C179">
        <v>2.1859999999999999</v>
      </c>
      <c r="D179">
        <v>8.2000000000000003E-2</v>
      </c>
      <c r="E179">
        <f t="shared" si="24"/>
        <v>1.1151897180937775</v>
      </c>
      <c r="F179">
        <f t="shared" si="25"/>
        <v>-0.13238456559395373</v>
      </c>
      <c r="G179">
        <f t="shared" si="28"/>
        <v>9.9999999999988987E-4</v>
      </c>
      <c r="H179">
        <f>IF(MOD(COUNTA($C$7:C179)-1,$J$2),H178,ROUND(F179*P179,-2))</f>
        <v>-1300</v>
      </c>
      <c r="I179">
        <f t="shared" si="29"/>
        <v>0</v>
      </c>
      <c r="J179">
        <f t="shared" si="30"/>
        <v>0</v>
      </c>
      <c r="K179">
        <f t="shared" si="31"/>
        <v>3151.2313335978693</v>
      </c>
      <c r="L179">
        <f t="shared" si="32"/>
        <v>309.43133359786952</v>
      </c>
      <c r="M179">
        <f t="shared" si="33"/>
        <v>-1.2999999999997272</v>
      </c>
      <c r="N179">
        <f t="shared" si="35"/>
        <v>309.43133359786952</v>
      </c>
      <c r="O179" s="5">
        <f t="shared" si="26"/>
        <v>2.5673999286353166E-2</v>
      </c>
      <c r="P179">
        <f t="shared" si="34"/>
        <v>10000</v>
      </c>
      <c r="Q179">
        <f t="shared" si="27"/>
        <v>256.73999286353165</v>
      </c>
    </row>
    <row r="180" spans="1:17" x14ac:dyDescent="0.15">
      <c r="A180" s="10">
        <v>45870.5625</v>
      </c>
      <c r="B180">
        <f>COUNT(A180:$A$1158)/(48*252)</f>
        <v>8.0935846560846555E-2</v>
      </c>
      <c r="C180">
        <v>2.1850000000000001</v>
      </c>
      <c r="D180">
        <v>8.2000000000000003E-2</v>
      </c>
      <c r="E180">
        <f t="shared" si="24"/>
        <v>1.1128666693699805</v>
      </c>
      <c r="F180">
        <f t="shared" si="25"/>
        <v>-0.13288284841015596</v>
      </c>
      <c r="G180">
        <f t="shared" si="28"/>
        <v>-9.9999999999988987E-4</v>
      </c>
      <c r="H180">
        <f>IF(MOD(COUNTA($C$7:C180)-1,$J$2),H179,ROUND(F180*P180,-2))</f>
        <v>-1300</v>
      </c>
      <c r="I180">
        <f t="shared" si="29"/>
        <v>0</v>
      </c>
      <c r="J180">
        <f t="shared" si="30"/>
        <v>0</v>
      </c>
      <c r="K180">
        <f t="shared" si="31"/>
        <v>3151.2313335978693</v>
      </c>
      <c r="L180">
        <f t="shared" si="32"/>
        <v>310.73133359786925</v>
      </c>
      <c r="M180">
        <f t="shared" si="33"/>
        <v>1.2999999999997272</v>
      </c>
      <c r="N180">
        <f t="shared" si="35"/>
        <v>310.73133359786925</v>
      </c>
      <c r="O180" s="5">
        <f t="shared" si="26"/>
        <v>2.576821254438294E-2</v>
      </c>
      <c r="P180">
        <f t="shared" si="34"/>
        <v>10000</v>
      </c>
      <c r="Q180">
        <f t="shared" si="27"/>
        <v>257.68212544382942</v>
      </c>
    </row>
    <row r="181" spans="1:17" x14ac:dyDescent="0.15">
      <c r="A181" s="10">
        <v>45870.565972222015</v>
      </c>
      <c r="B181">
        <f>COUNT(A181:$A$1158)/(48*252)</f>
        <v>8.0853174603174607E-2</v>
      </c>
      <c r="C181">
        <v>2.1829999999999998</v>
      </c>
      <c r="D181">
        <v>8.2000000000000003E-2</v>
      </c>
      <c r="E181">
        <f t="shared" si="24"/>
        <v>1.1077426024768304</v>
      </c>
      <c r="F181">
        <f t="shared" si="25"/>
        <v>-0.13398649741619728</v>
      </c>
      <c r="G181">
        <f t="shared" si="28"/>
        <v>-2.0000000000002238E-3</v>
      </c>
      <c r="H181">
        <f>IF(MOD(COUNTA($C$7:C181)-1,$J$2),H180,ROUND(F181*P181,-2))</f>
        <v>-1300</v>
      </c>
      <c r="I181">
        <f t="shared" si="29"/>
        <v>0</v>
      </c>
      <c r="J181">
        <f t="shared" si="30"/>
        <v>0</v>
      </c>
      <c r="K181">
        <f t="shared" si="31"/>
        <v>3151.2313335978693</v>
      </c>
      <c r="L181">
        <f t="shared" si="32"/>
        <v>313.33133359786962</v>
      </c>
      <c r="M181">
        <f t="shared" si="33"/>
        <v>2.6000000000003638</v>
      </c>
      <c r="N181">
        <f t="shared" si="35"/>
        <v>313.33133359786962</v>
      </c>
      <c r="O181" s="5">
        <f t="shared" si="26"/>
        <v>2.5996508704805521E-2</v>
      </c>
      <c r="P181">
        <f t="shared" si="34"/>
        <v>10000</v>
      </c>
      <c r="Q181">
        <f t="shared" si="27"/>
        <v>259.96508704805524</v>
      </c>
    </row>
    <row r="182" spans="1:17" x14ac:dyDescent="0.15">
      <c r="A182" s="10">
        <v>45870.569444444962</v>
      </c>
      <c r="B182">
        <f>COUNT(A182:$A$1158)/(48*252)</f>
        <v>8.0770502645502645E-2</v>
      </c>
      <c r="C182">
        <v>2.181</v>
      </c>
      <c r="D182">
        <v>8.1000000000000003E-2</v>
      </c>
      <c r="E182">
        <f t="shared" si="24"/>
        <v>1.1026084531964084</v>
      </c>
      <c r="F182">
        <f t="shared" si="25"/>
        <v>-0.13509861885248653</v>
      </c>
      <c r="G182">
        <f t="shared" si="28"/>
        <v>-1.9999999999997797E-3</v>
      </c>
      <c r="H182">
        <f>IF(MOD(COUNTA($C$7:C182)-1,$J$2),H181,ROUND(F182*P182,-2))</f>
        <v>-1300</v>
      </c>
      <c r="I182">
        <f t="shared" si="29"/>
        <v>0</v>
      </c>
      <c r="J182">
        <f t="shared" si="30"/>
        <v>0</v>
      </c>
      <c r="K182">
        <f t="shared" si="31"/>
        <v>3151.2313335978693</v>
      </c>
      <c r="L182">
        <f t="shared" si="32"/>
        <v>315.93133359786907</v>
      </c>
      <c r="M182">
        <f t="shared" si="33"/>
        <v>2.5999999999994543</v>
      </c>
      <c r="N182">
        <f t="shared" si="35"/>
        <v>315.93133359786907</v>
      </c>
      <c r="O182" s="5">
        <f t="shared" si="26"/>
        <v>2.622681829314677E-2</v>
      </c>
      <c r="P182">
        <f t="shared" si="34"/>
        <v>10000</v>
      </c>
      <c r="Q182">
        <f t="shared" si="27"/>
        <v>262.26818293146772</v>
      </c>
    </row>
    <row r="183" spans="1:17" x14ac:dyDescent="0.15">
      <c r="A183" s="10">
        <v>45870.572916666977</v>
      </c>
      <c r="B183">
        <f>COUNT(A183:$A$1158)/(48*252)</f>
        <v>8.0687830687830683E-2</v>
      </c>
      <c r="C183">
        <v>2.1880000000000002</v>
      </c>
      <c r="D183">
        <v>8.2000000000000003E-2</v>
      </c>
      <c r="E183">
        <f t="shared" si="24"/>
        <v>1.1226689080693202</v>
      </c>
      <c r="F183">
        <f t="shared" si="25"/>
        <v>-0.13078906882059582</v>
      </c>
      <c r="G183">
        <f t="shared" si="28"/>
        <v>7.0000000000001172E-3</v>
      </c>
      <c r="H183">
        <f>IF(MOD(COUNTA($C$7:C183)-1,$J$2),H182,ROUND(F183*P183,-2))</f>
        <v>-1300</v>
      </c>
      <c r="I183">
        <f t="shared" si="29"/>
        <v>0</v>
      </c>
      <c r="J183">
        <f t="shared" si="30"/>
        <v>0</v>
      </c>
      <c r="K183">
        <f t="shared" si="31"/>
        <v>3151.2313335978693</v>
      </c>
      <c r="L183">
        <f t="shared" si="32"/>
        <v>306.83133359786916</v>
      </c>
      <c r="M183">
        <f t="shared" si="33"/>
        <v>-9.0999999999999091</v>
      </c>
      <c r="N183">
        <f t="shared" si="35"/>
        <v>306.83133359786916</v>
      </c>
      <c r="O183" s="5">
        <f t="shared" si="26"/>
        <v>2.5257751099153625E-2</v>
      </c>
      <c r="P183">
        <f t="shared" si="34"/>
        <v>10000</v>
      </c>
      <c r="Q183">
        <f t="shared" si="27"/>
        <v>252.57751099153626</v>
      </c>
    </row>
    <row r="184" spans="1:17" x14ac:dyDescent="0.15">
      <c r="A184" s="10">
        <v>45870.576388888992</v>
      </c>
      <c r="B184">
        <f>COUNT(A184:$A$1158)/(48*252)</f>
        <v>8.0605158730158735E-2</v>
      </c>
      <c r="C184">
        <v>2.194</v>
      </c>
      <c r="D184">
        <v>8.3000000000000004E-2</v>
      </c>
      <c r="E184">
        <f t="shared" si="24"/>
        <v>1.1398996904071492</v>
      </c>
      <c r="F184">
        <f t="shared" si="25"/>
        <v>-0.12716404702713369</v>
      </c>
      <c r="G184">
        <f t="shared" si="28"/>
        <v>5.9999999999997833E-3</v>
      </c>
      <c r="H184">
        <f>IF(MOD(COUNTA($C$7:C184)-1,$J$2),H183,ROUND(F184*P184,-2))</f>
        <v>-1300</v>
      </c>
      <c r="I184">
        <f t="shared" si="29"/>
        <v>0</v>
      </c>
      <c r="J184">
        <f t="shared" si="30"/>
        <v>0</v>
      </c>
      <c r="K184">
        <f t="shared" si="31"/>
        <v>3151.2313335978693</v>
      </c>
      <c r="L184">
        <f t="shared" si="32"/>
        <v>299.03133359786943</v>
      </c>
      <c r="M184">
        <f t="shared" si="33"/>
        <v>-7.7999999999997272</v>
      </c>
      <c r="N184">
        <f t="shared" si="35"/>
        <v>299.03133359786943</v>
      </c>
      <c r="O184" s="5">
        <f t="shared" si="26"/>
        <v>2.4446066073533834E-2</v>
      </c>
      <c r="P184">
        <f t="shared" si="34"/>
        <v>10000</v>
      </c>
      <c r="Q184">
        <f t="shared" si="27"/>
        <v>244.46066073533834</v>
      </c>
    </row>
    <row r="185" spans="1:17" x14ac:dyDescent="0.15">
      <c r="A185" s="10">
        <v>45870.579861111008</v>
      </c>
      <c r="B185">
        <f>COUNT(A185:$A$1158)/(48*252)</f>
        <v>8.0522486772486773E-2</v>
      </c>
      <c r="C185">
        <v>2.1930000000000001</v>
      </c>
      <c r="D185">
        <v>8.3000000000000004E-2</v>
      </c>
      <c r="E185">
        <f t="shared" si="24"/>
        <v>1.1375950458594377</v>
      </c>
      <c r="F185">
        <f t="shared" si="25"/>
        <v>-0.12764480813166712</v>
      </c>
      <c r="G185">
        <f t="shared" si="28"/>
        <v>-9.9999999999988987E-4</v>
      </c>
      <c r="H185">
        <f>IF(MOD(COUNTA($C$7:C185)-1,$J$2),H184,ROUND(F185*P185,-2))</f>
        <v>-1300</v>
      </c>
      <c r="I185">
        <f t="shared" si="29"/>
        <v>0</v>
      </c>
      <c r="J185">
        <f t="shared" si="30"/>
        <v>0</v>
      </c>
      <c r="K185">
        <f t="shared" si="31"/>
        <v>3151.2313335978693</v>
      </c>
      <c r="L185">
        <f t="shared" si="32"/>
        <v>300.33133359786916</v>
      </c>
      <c r="M185">
        <f t="shared" si="33"/>
        <v>1.2999999999997272</v>
      </c>
      <c r="N185">
        <f t="shared" si="35"/>
        <v>300.33133359786916</v>
      </c>
      <c r="O185" s="5">
        <f t="shared" si="26"/>
        <v>2.4535860071599913E-2</v>
      </c>
      <c r="P185">
        <f t="shared" si="34"/>
        <v>10000</v>
      </c>
      <c r="Q185">
        <f t="shared" si="27"/>
        <v>245.35860071599913</v>
      </c>
    </row>
    <row r="186" spans="1:17" x14ac:dyDescent="0.15">
      <c r="A186" s="10">
        <v>45870.583333333023</v>
      </c>
      <c r="B186">
        <f>COUNT(A186:$A$1158)/(48*252)</f>
        <v>8.0439814814814811E-2</v>
      </c>
      <c r="C186">
        <v>2.1930000000000001</v>
      </c>
      <c r="D186">
        <v>8.3000000000000004E-2</v>
      </c>
      <c r="E186">
        <f t="shared" si="24"/>
        <v>1.1380803808462161</v>
      </c>
      <c r="F186">
        <f t="shared" si="25"/>
        <v>-0.12754345979250314</v>
      </c>
      <c r="G186">
        <f t="shared" si="28"/>
        <v>0</v>
      </c>
      <c r="H186">
        <f>IF(MOD(COUNTA($C$7:C186)-1,$J$2),H185,ROUND(F186*P186,-2))</f>
        <v>-1300</v>
      </c>
      <c r="I186">
        <f t="shared" si="29"/>
        <v>0</v>
      </c>
      <c r="J186">
        <f t="shared" si="30"/>
        <v>0</v>
      </c>
      <c r="K186">
        <f t="shared" si="31"/>
        <v>3151.2313335978693</v>
      </c>
      <c r="L186">
        <f t="shared" si="32"/>
        <v>300.33133359786916</v>
      </c>
      <c r="M186">
        <f t="shared" si="33"/>
        <v>0</v>
      </c>
      <c r="N186">
        <f t="shared" si="35"/>
        <v>300.33133359786916</v>
      </c>
      <c r="O186" s="5">
        <f t="shared" si="26"/>
        <v>2.4498200026916883E-2</v>
      </c>
      <c r="P186">
        <f t="shared" si="34"/>
        <v>10000</v>
      </c>
      <c r="Q186">
        <f t="shared" si="27"/>
        <v>244.98200026916882</v>
      </c>
    </row>
    <row r="187" spans="1:17" x14ac:dyDescent="0.15">
      <c r="A187" s="10">
        <v>45870.586805555969</v>
      </c>
      <c r="B187">
        <f>COUNT(A187:$A$1158)/(48*252)</f>
        <v>8.0357142857142863E-2</v>
      </c>
      <c r="C187">
        <v>2.1869999999999998</v>
      </c>
      <c r="D187">
        <v>0.08</v>
      </c>
      <c r="E187">
        <f t="shared" si="24"/>
        <v>1.1217788214737432</v>
      </c>
      <c r="F187">
        <f t="shared" si="25"/>
        <v>-0.13097824656702817</v>
      </c>
      <c r="G187">
        <f t="shared" si="28"/>
        <v>-6.0000000000002274E-3</v>
      </c>
      <c r="H187">
        <f>IF(MOD(COUNTA($C$7:C187)-1,$J$2),H186,ROUND(F187*P187,-2))</f>
        <v>-1300</v>
      </c>
      <c r="I187">
        <f t="shared" si="29"/>
        <v>0</v>
      </c>
      <c r="J187">
        <f t="shared" si="30"/>
        <v>0</v>
      </c>
      <c r="K187">
        <f t="shared" si="31"/>
        <v>3151.2313335978693</v>
      </c>
      <c r="L187">
        <f t="shared" si="32"/>
        <v>308.13133359786934</v>
      </c>
      <c r="M187">
        <f t="shared" si="33"/>
        <v>7.8000000000001819</v>
      </c>
      <c r="N187">
        <f t="shared" si="35"/>
        <v>308.13133359786934</v>
      </c>
      <c r="O187" s="5">
        <f t="shared" si="26"/>
        <v>2.5235763183902582E-2</v>
      </c>
      <c r="P187">
        <f t="shared" si="34"/>
        <v>10000</v>
      </c>
      <c r="Q187">
        <f t="shared" si="27"/>
        <v>252.35763183902583</v>
      </c>
    </row>
    <row r="188" spans="1:17" x14ac:dyDescent="0.15">
      <c r="A188" s="10">
        <v>45870.590277777985</v>
      </c>
      <c r="B188">
        <f>COUNT(A188:$A$1158)/(48*252)</f>
        <v>8.0274470899470901E-2</v>
      </c>
      <c r="C188">
        <v>2.1869999999999998</v>
      </c>
      <c r="D188">
        <v>0.08</v>
      </c>
      <c r="E188">
        <f t="shared" si="24"/>
        <v>1.12225711571817</v>
      </c>
      <c r="F188">
        <f t="shared" si="25"/>
        <v>-0.13087656709589757</v>
      </c>
      <c r="G188">
        <f t="shared" si="28"/>
        <v>0</v>
      </c>
      <c r="H188">
        <f>IF(MOD(COUNTA($C$7:C188)-1,$J$2),H187,ROUND(F188*P188,-2))</f>
        <v>-1300</v>
      </c>
      <c r="I188">
        <f t="shared" si="29"/>
        <v>0</v>
      </c>
      <c r="J188">
        <f t="shared" si="30"/>
        <v>0</v>
      </c>
      <c r="K188">
        <f t="shared" si="31"/>
        <v>3151.2313335978693</v>
      </c>
      <c r="L188">
        <f t="shared" si="32"/>
        <v>308.13133359786934</v>
      </c>
      <c r="M188">
        <f t="shared" si="33"/>
        <v>0</v>
      </c>
      <c r="N188">
        <f t="shared" si="35"/>
        <v>308.13133359786934</v>
      </c>
      <c r="O188" s="5">
        <f t="shared" si="26"/>
        <v>2.5197495083686905E-2</v>
      </c>
      <c r="P188">
        <f t="shared" si="34"/>
        <v>10000</v>
      </c>
      <c r="Q188">
        <f t="shared" si="27"/>
        <v>251.97495083686906</v>
      </c>
    </row>
    <row r="189" spans="1:17" x14ac:dyDescent="0.15">
      <c r="A189" s="10">
        <v>45870.59375</v>
      </c>
      <c r="B189">
        <f>COUNT(A189:$A$1158)/(48*252)</f>
        <v>8.0191798941798939E-2</v>
      </c>
      <c r="C189">
        <v>2.1909999999999998</v>
      </c>
      <c r="D189">
        <v>8.1000000000000003E-2</v>
      </c>
      <c r="E189">
        <f t="shared" si="24"/>
        <v>1.1339446427033502</v>
      </c>
      <c r="F189">
        <f t="shared" si="25"/>
        <v>-0.12840888466021472</v>
      </c>
      <c r="G189">
        <f t="shared" si="28"/>
        <v>4.0000000000000036E-3</v>
      </c>
      <c r="H189">
        <f>IF(MOD(COUNTA($C$7:C189)-1,$J$2),H188,ROUND(F189*P189,-2))</f>
        <v>-1300</v>
      </c>
      <c r="I189">
        <f t="shared" si="29"/>
        <v>0</v>
      </c>
      <c r="J189">
        <f t="shared" si="30"/>
        <v>0</v>
      </c>
      <c r="K189">
        <f t="shared" si="31"/>
        <v>3151.2313335978693</v>
      </c>
      <c r="L189">
        <f t="shared" si="32"/>
        <v>302.93133359786952</v>
      </c>
      <c r="M189">
        <f t="shared" si="33"/>
        <v>-5.1999999999998181</v>
      </c>
      <c r="N189">
        <f t="shared" si="35"/>
        <v>302.93133359786952</v>
      </c>
      <c r="O189" s="5">
        <f t="shared" si="26"/>
        <v>2.4640871303452161E-2</v>
      </c>
      <c r="P189">
        <f t="shared" si="34"/>
        <v>10000</v>
      </c>
      <c r="Q189">
        <f t="shared" si="27"/>
        <v>246.40871303452161</v>
      </c>
    </row>
    <row r="190" spans="1:17" x14ac:dyDescent="0.15">
      <c r="A190" s="10">
        <v>45870.597222222015</v>
      </c>
      <c r="B190">
        <f>COUNT(A190:$A$1158)/(48*252)</f>
        <v>8.0109126984126991E-2</v>
      </c>
      <c r="C190">
        <v>2.1949999999999998</v>
      </c>
      <c r="D190">
        <v>8.4000000000000005E-2</v>
      </c>
      <c r="E190">
        <f t="shared" si="24"/>
        <v>1.1456240717580739</v>
      </c>
      <c r="F190">
        <f t="shared" si="25"/>
        <v>-0.12597536636040041</v>
      </c>
      <c r="G190">
        <f t="shared" si="28"/>
        <v>4.0000000000000036E-3</v>
      </c>
      <c r="H190">
        <f>IF(MOD(COUNTA($C$7:C190)-1,$J$2),H189,ROUND(F190*P190,-2))</f>
        <v>-1300</v>
      </c>
      <c r="I190">
        <f t="shared" si="29"/>
        <v>0</v>
      </c>
      <c r="J190">
        <f t="shared" si="30"/>
        <v>0</v>
      </c>
      <c r="K190">
        <f t="shared" si="31"/>
        <v>3151.2313335978693</v>
      </c>
      <c r="L190">
        <f t="shared" si="32"/>
        <v>297.73133359786925</v>
      </c>
      <c r="M190">
        <f t="shared" si="33"/>
        <v>-5.2000000000002728</v>
      </c>
      <c r="N190">
        <f t="shared" si="35"/>
        <v>297.73133359786925</v>
      </c>
      <c r="O190" s="5">
        <f t="shared" si="26"/>
        <v>2.4094457677409031E-2</v>
      </c>
      <c r="P190">
        <f t="shared" si="34"/>
        <v>10000</v>
      </c>
      <c r="Q190">
        <f t="shared" si="27"/>
        <v>240.94457677409031</v>
      </c>
    </row>
    <row r="191" spans="1:17" x14ac:dyDescent="0.15">
      <c r="A191" s="10">
        <v>45870.600694444962</v>
      </c>
      <c r="B191">
        <f>COUNT(A191:$A$1158)/(48*252)</f>
        <v>8.0026455026455029E-2</v>
      </c>
      <c r="C191">
        <v>2.1989999999999998</v>
      </c>
      <c r="D191">
        <v>8.5000000000000006E-2</v>
      </c>
      <c r="E191">
        <f t="shared" si="24"/>
        <v>1.1572954746600448</v>
      </c>
      <c r="F191">
        <f t="shared" si="25"/>
        <v>-0.12357583088880697</v>
      </c>
      <c r="G191">
        <f t="shared" si="28"/>
        <v>4.0000000000000036E-3</v>
      </c>
      <c r="H191">
        <f>IF(MOD(COUNTA($C$7:C191)-1,$J$2),H190,ROUND(F191*P191,-2))</f>
        <v>-1200</v>
      </c>
      <c r="I191">
        <f t="shared" si="29"/>
        <v>100</v>
      </c>
      <c r="J191">
        <f t="shared" si="30"/>
        <v>0</v>
      </c>
      <c r="K191">
        <f t="shared" si="31"/>
        <v>2931.3214380978693</v>
      </c>
      <c r="L191">
        <f t="shared" si="32"/>
        <v>292.52143809786958</v>
      </c>
      <c r="M191">
        <f t="shared" si="33"/>
        <v>-5.2098954999996749</v>
      </c>
      <c r="N191">
        <f t="shared" si="35"/>
        <v>292.52143809786958</v>
      </c>
      <c r="O191" s="5">
        <f t="shared" si="26"/>
        <v>2.355811844156791E-2</v>
      </c>
      <c r="P191">
        <f t="shared" si="34"/>
        <v>10000</v>
      </c>
      <c r="Q191">
        <f t="shared" si="27"/>
        <v>235.5811844156791</v>
      </c>
    </row>
    <row r="192" spans="1:17" x14ac:dyDescent="0.15">
      <c r="A192" s="10">
        <v>45870.604166666977</v>
      </c>
      <c r="B192">
        <f>COUNT(A192:$A$1158)/(48*252)</f>
        <v>7.9943783068783067E-2</v>
      </c>
      <c r="C192">
        <v>2.1909999999999998</v>
      </c>
      <c r="D192">
        <v>8.2000000000000003E-2</v>
      </c>
      <c r="E192">
        <f t="shared" si="24"/>
        <v>1.1354040341169014</v>
      </c>
      <c r="F192">
        <f t="shared" si="25"/>
        <v>-0.12810303509841714</v>
      </c>
      <c r="G192">
        <f t="shared" si="28"/>
        <v>-8.0000000000000071E-3</v>
      </c>
      <c r="H192">
        <f>IF(MOD(COUNTA($C$7:C192)-1,$J$2),H191,ROUND(F192*P192,-2))</f>
        <v>-1200</v>
      </c>
      <c r="I192">
        <f t="shared" si="29"/>
        <v>0</v>
      </c>
      <c r="J192">
        <f t="shared" si="30"/>
        <v>0</v>
      </c>
      <c r="K192">
        <f t="shared" si="31"/>
        <v>2931.3214380978693</v>
      </c>
      <c r="L192">
        <f t="shared" si="32"/>
        <v>302.12143809786949</v>
      </c>
      <c r="M192">
        <f t="shared" si="33"/>
        <v>9.5999999999999091</v>
      </c>
      <c r="N192">
        <f t="shared" si="35"/>
        <v>302.12143809786949</v>
      </c>
      <c r="O192" s="5">
        <f t="shared" si="26"/>
        <v>2.4527293080967127E-2</v>
      </c>
      <c r="P192">
        <f t="shared" si="34"/>
        <v>10000</v>
      </c>
      <c r="Q192">
        <f t="shared" si="27"/>
        <v>245.27293080967127</v>
      </c>
    </row>
    <row r="193" spans="1:17" x14ac:dyDescent="0.15">
      <c r="A193" s="10">
        <v>45870.607638888992</v>
      </c>
      <c r="B193">
        <f>COUNT(A193:$A$1158)/(48*252)</f>
        <v>7.9861111111111105E-2</v>
      </c>
      <c r="C193">
        <v>2.194</v>
      </c>
      <c r="D193">
        <v>8.2000000000000003E-2</v>
      </c>
      <c r="E193">
        <f t="shared" si="24"/>
        <v>1.1443023806788417</v>
      </c>
      <c r="F193">
        <f t="shared" si="25"/>
        <v>-0.1262491281674587</v>
      </c>
      <c r="G193">
        <f t="shared" si="28"/>
        <v>3.0000000000001137E-3</v>
      </c>
      <c r="H193">
        <f>IF(MOD(COUNTA($C$7:C193)-1,$J$2),H192,ROUND(F193*P193,-2))</f>
        <v>-1300</v>
      </c>
      <c r="I193">
        <f t="shared" si="29"/>
        <v>-100</v>
      </c>
      <c r="J193">
        <f t="shared" si="30"/>
        <v>0</v>
      </c>
      <c r="K193">
        <f t="shared" si="31"/>
        <v>3150.7115650978694</v>
      </c>
      <c r="L193">
        <f t="shared" si="32"/>
        <v>298.51156509786961</v>
      </c>
      <c r="M193">
        <f t="shared" si="33"/>
        <v>-3.6098729999998795</v>
      </c>
      <c r="N193">
        <f t="shared" si="35"/>
        <v>298.51156509786961</v>
      </c>
      <c r="O193" s="5">
        <f t="shared" si="26"/>
        <v>2.4108064990551792E-2</v>
      </c>
      <c r="P193">
        <f t="shared" si="34"/>
        <v>10000</v>
      </c>
      <c r="Q193">
        <f t="shared" si="27"/>
        <v>241.08064990551793</v>
      </c>
    </row>
    <row r="194" spans="1:17" x14ac:dyDescent="0.15">
      <c r="A194" s="10">
        <v>45870.611111111008</v>
      </c>
      <c r="B194">
        <f>COUNT(A194:$A$1158)/(48*252)</f>
        <v>7.9778439153439157E-2</v>
      </c>
      <c r="C194">
        <v>2.1890000000000001</v>
      </c>
      <c r="D194">
        <v>8.1000000000000003E-2</v>
      </c>
      <c r="E194">
        <f t="shared" si="24"/>
        <v>1.1307648433310615</v>
      </c>
      <c r="F194">
        <f t="shared" si="25"/>
        <v>-0.12907704043155988</v>
      </c>
      <c r="G194">
        <f t="shared" si="28"/>
        <v>-4.9999999999998934E-3</v>
      </c>
      <c r="H194">
        <f>IF(MOD(COUNTA($C$7:C194)-1,$J$2),H193,ROUND(F194*P194,-2))</f>
        <v>-1300</v>
      </c>
      <c r="I194">
        <f t="shared" si="29"/>
        <v>0</v>
      </c>
      <c r="J194">
        <f t="shared" si="30"/>
        <v>0</v>
      </c>
      <c r="K194">
        <f t="shared" si="31"/>
        <v>3150.7115650978694</v>
      </c>
      <c r="L194">
        <f t="shared" si="32"/>
        <v>305.01156509786915</v>
      </c>
      <c r="M194">
        <f t="shared" si="33"/>
        <v>6.4999999999995453</v>
      </c>
      <c r="N194">
        <f t="shared" si="35"/>
        <v>305.01156509786915</v>
      </c>
      <c r="O194" s="5">
        <f t="shared" si="26"/>
        <v>2.4708552241302861E-2</v>
      </c>
      <c r="P194">
        <f t="shared" si="34"/>
        <v>10000</v>
      </c>
      <c r="Q194">
        <f t="shared" si="27"/>
        <v>247.08552241302863</v>
      </c>
    </row>
    <row r="195" spans="1:17" x14ac:dyDescent="0.15">
      <c r="A195" s="10">
        <v>45870.614583333023</v>
      </c>
      <c r="B195">
        <f>COUNT(A195:$A$1158)/(48*252)</f>
        <v>7.9695767195767195E-2</v>
      </c>
      <c r="C195">
        <v>2.1800000000000002</v>
      </c>
      <c r="D195">
        <v>7.6999999999999999E-2</v>
      </c>
      <c r="E195">
        <f t="shared" si="24"/>
        <v>1.1059021339218404</v>
      </c>
      <c r="F195">
        <f t="shared" si="25"/>
        <v>-0.13438444053950993</v>
      </c>
      <c r="G195">
        <f t="shared" si="28"/>
        <v>-8.999999999999897E-3</v>
      </c>
      <c r="H195">
        <f>IF(MOD(COUNTA($C$7:C195)-1,$J$2),H194,ROUND(F195*P195,-2))</f>
        <v>-1300</v>
      </c>
      <c r="I195">
        <f t="shared" si="29"/>
        <v>0</v>
      </c>
      <c r="J195">
        <f t="shared" si="30"/>
        <v>0</v>
      </c>
      <c r="K195">
        <f t="shared" si="31"/>
        <v>3150.7115650978694</v>
      </c>
      <c r="L195">
        <f t="shared" si="32"/>
        <v>316.71156509786942</v>
      </c>
      <c r="M195">
        <f t="shared" si="33"/>
        <v>11.700000000000273</v>
      </c>
      <c r="N195">
        <f t="shared" si="35"/>
        <v>316.71156509786942</v>
      </c>
      <c r="O195" s="5">
        <f t="shared" si="26"/>
        <v>2.5855475008071227E-2</v>
      </c>
      <c r="P195">
        <f t="shared" si="34"/>
        <v>10000</v>
      </c>
      <c r="Q195">
        <f t="shared" si="27"/>
        <v>258.55475008071227</v>
      </c>
    </row>
    <row r="196" spans="1:17" x14ac:dyDescent="0.15">
      <c r="A196" s="10">
        <v>45870.618055555969</v>
      </c>
      <c r="B196">
        <f>COUNT(A196:$A$1158)/(48*252)</f>
        <v>7.9613095238095233E-2</v>
      </c>
      <c r="C196">
        <v>2.1829999999999998</v>
      </c>
      <c r="D196">
        <v>7.5999999999999998E-2</v>
      </c>
      <c r="E196">
        <f t="shared" si="24"/>
        <v>1.11484240570218</v>
      </c>
      <c r="F196">
        <f t="shared" si="25"/>
        <v>-0.13245898045728122</v>
      </c>
      <c r="G196">
        <f t="shared" si="28"/>
        <v>2.9999999999996696E-3</v>
      </c>
      <c r="H196">
        <f>IF(MOD(COUNTA($C$7:C196)-1,$J$2),H195,ROUND(F196*P196,-2))</f>
        <v>-1300</v>
      </c>
      <c r="I196">
        <f t="shared" si="29"/>
        <v>0</v>
      </c>
      <c r="J196">
        <f t="shared" si="30"/>
        <v>0</v>
      </c>
      <c r="K196">
        <f t="shared" si="31"/>
        <v>3150.7115650978694</v>
      </c>
      <c r="L196">
        <f t="shared" si="32"/>
        <v>312.81156509786979</v>
      </c>
      <c r="M196">
        <f t="shared" si="33"/>
        <v>-3.8999999999996362</v>
      </c>
      <c r="N196">
        <f t="shared" si="35"/>
        <v>312.81156509786979</v>
      </c>
      <c r="O196" s="5">
        <f t="shared" si="26"/>
        <v>2.5416384661894886E-2</v>
      </c>
      <c r="P196">
        <f t="shared" si="34"/>
        <v>10000</v>
      </c>
      <c r="Q196">
        <f t="shared" si="27"/>
        <v>254.16384661894887</v>
      </c>
    </row>
    <row r="197" spans="1:17" x14ac:dyDescent="0.15">
      <c r="A197" s="10">
        <v>45870.621527777985</v>
      </c>
      <c r="B197">
        <f>COUNT(A197:$A$1158)/(48*252)</f>
        <v>7.9530423280423285E-2</v>
      </c>
      <c r="C197">
        <v>2.1840000000000002</v>
      </c>
      <c r="D197">
        <v>7.5999999999999998E-2</v>
      </c>
      <c r="E197">
        <f t="shared" si="24"/>
        <v>1.1181428584399109</v>
      </c>
      <c r="F197">
        <f t="shared" si="25"/>
        <v>-0.13175299219530268</v>
      </c>
      <c r="G197">
        <f t="shared" si="28"/>
        <v>1.000000000000334E-3</v>
      </c>
      <c r="H197">
        <f>IF(MOD(COUNTA($C$7:C197)-1,$J$2),H196,ROUND(F197*P197,-2))</f>
        <v>-1300</v>
      </c>
      <c r="I197">
        <f t="shared" si="29"/>
        <v>0</v>
      </c>
      <c r="J197">
        <f t="shared" si="30"/>
        <v>0</v>
      </c>
      <c r="K197">
        <f t="shared" si="31"/>
        <v>3150.7115650978694</v>
      </c>
      <c r="L197">
        <f t="shared" si="32"/>
        <v>311.51156509786915</v>
      </c>
      <c r="M197">
        <f t="shared" si="33"/>
        <v>-1.3000000000006366</v>
      </c>
      <c r="N197">
        <f t="shared" si="35"/>
        <v>311.51156509786915</v>
      </c>
      <c r="O197" s="5">
        <f t="shared" si="26"/>
        <v>2.5245654017149455E-2</v>
      </c>
      <c r="P197">
        <f t="shared" si="34"/>
        <v>10000</v>
      </c>
      <c r="Q197">
        <f t="shared" si="27"/>
        <v>252.45654017149454</v>
      </c>
    </row>
    <row r="198" spans="1:17" x14ac:dyDescent="0.15">
      <c r="A198" s="10">
        <v>45870.625</v>
      </c>
      <c r="B198">
        <f>COUNT(A198:$A$1158)/(48*252)</f>
        <v>7.9447751322751323E-2</v>
      </c>
      <c r="C198">
        <v>2.1800000000000002</v>
      </c>
      <c r="D198">
        <v>7.6999999999999999E-2</v>
      </c>
      <c r="E198">
        <f t="shared" si="24"/>
        <v>1.1073278241604889</v>
      </c>
      <c r="F198">
        <f t="shared" si="25"/>
        <v>-0.13407610935387049</v>
      </c>
      <c r="G198">
        <f t="shared" si="28"/>
        <v>-4.0000000000000036E-3</v>
      </c>
      <c r="H198">
        <f>IF(MOD(COUNTA($C$7:C198)-1,$J$2),H197,ROUND(F198*P198,-2))</f>
        <v>-1300</v>
      </c>
      <c r="I198">
        <f t="shared" si="29"/>
        <v>0</v>
      </c>
      <c r="J198">
        <f t="shared" si="30"/>
        <v>0</v>
      </c>
      <c r="K198">
        <f t="shared" si="31"/>
        <v>3150.7115650978694</v>
      </c>
      <c r="L198">
        <f t="shared" si="32"/>
        <v>316.71156509786942</v>
      </c>
      <c r="M198">
        <f t="shared" si="33"/>
        <v>5.2000000000002728</v>
      </c>
      <c r="N198">
        <f t="shared" si="35"/>
        <v>316.71156509786942</v>
      </c>
      <c r="O198" s="5">
        <f t="shared" si="26"/>
        <v>2.573852145874006E-2</v>
      </c>
      <c r="P198">
        <f t="shared" si="34"/>
        <v>10000</v>
      </c>
      <c r="Q198">
        <f t="shared" si="27"/>
        <v>257.38521458740058</v>
      </c>
    </row>
    <row r="199" spans="1:17" x14ac:dyDescent="0.15">
      <c r="A199" s="10">
        <v>45871.399305555969</v>
      </c>
      <c r="B199">
        <f>COUNT(A199:$A$1158)/(48*252)</f>
        <v>7.9365079365079361E-2</v>
      </c>
      <c r="C199">
        <v>2.1949999999999998</v>
      </c>
      <c r="D199">
        <v>8.5000000000000006E-2</v>
      </c>
      <c r="E199">
        <f t="shared" si="24"/>
        <v>1.1500837737355989</v>
      </c>
      <c r="F199">
        <f t="shared" si="25"/>
        <v>-0.12505468441764722</v>
      </c>
      <c r="G199">
        <f t="shared" si="28"/>
        <v>1.499999999999968E-2</v>
      </c>
      <c r="H199">
        <f>IF(MOD(COUNTA($C$7:C199)-1,$J$2),H198,ROUND(F199*P199,-2))</f>
        <v>-1300</v>
      </c>
      <c r="I199">
        <f t="shared" si="29"/>
        <v>0</v>
      </c>
      <c r="J199">
        <f t="shared" si="30"/>
        <v>0</v>
      </c>
      <c r="K199">
        <f t="shared" si="31"/>
        <v>3150.7115650978694</v>
      </c>
      <c r="L199">
        <f t="shared" si="32"/>
        <v>297.21156509786942</v>
      </c>
      <c r="M199">
        <f t="shared" si="33"/>
        <v>-19.5</v>
      </c>
      <c r="N199">
        <f t="shared" si="35"/>
        <v>297.21156509786942</v>
      </c>
      <c r="O199" s="5">
        <f t="shared" si="26"/>
        <v>2.3757436315309965E-2</v>
      </c>
      <c r="P199">
        <f t="shared" si="34"/>
        <v>10000</v>
      </c>
      <c r="Q199">
        <f t="shared" si="27"/>
        <v>237.57436315309965</v>
      </c>
    </row>
    <row r="200" spans="1:17" x14ac:dyDescent="0.15">
      <c r="A200" s="10">
        <v>45871.402777777985</v>
      </c>
      <c r="B200">
        <f>COUNT(A200:$A$1158)/(48*252)</f>
        <v>7.9282407407407413E-2</v>
      </c>
      <c r="C200">
        <v>2.194</v>
      </c>
      <c r="D200">
        <v>8.5000000000000006E-2</v>
      </c>
      <c r="E200">
        <f t="shared" ref="E200:E263" si="36">(LN(C200/$B$2)+($B$1+0.5*$D$1*$D$1)*B200)/($D$1*SQRT(B200))</f>
        <v>1.1477723557704027</v>
      </c>
      <c r="F200">
        <f t="shared" ref="F200:F263" si="37">NORMSDIST(E200)-1</f>
        <v>-0.12553127611407378</v>
      </c>
      <c r="G200">
        <f t="shared" si="28"/>
        <v>-9.9999999999988987E-4</v>
      </c>
      <c r="H200">
        <f>IF(MOD(COUNTA($C$7:C200)-1,$J$2),H199,ROUND(F200*P200,-2))</f>
        <v>-1300</v>
      </c>
      <c r="I200">
        <f t="shared" si="29"/>
        <v>0</v>
      </c>
      <c r="J200">
        <f t="shared" si="30"/>
        <v>0</v>
      </c>
      <c r="K200">
        <f t="shared" si="31"/>
        <v>3150.7115650978694</v>
      </c>
      <c r="L200">
        <f t="shared" si="32"/>
        <v>298.51156509786961</v>
      </c>
      <c r="M200">
        <f t="shared" si="33"/>
        <v>1.3000000000001819</v>
      </c>
      <c r="N200">
        <f t="shared" si="35"/>
        <v>298.51156509786961</v>
      </c>
      <c r="O200" s="5">
        <f t="shared" ref="O200:O263" si="38">put_bs($B$1,$J$1,C200,$B$2,B200)</f>
        <v>2.3845237464126923E-2</v>
      </c>
      <c r="P200">
        <f t="shared" si="34"/>
        <v>10000</v>
      </c>
      <c r="Q200">
        <f t="shared" ref="Q200:Q263" si="39">P200*O200</f>
        <v>238.45237464126922</v>
      </c>
    </row>
    <row r="201" spans="1:17" x14ac:dyDescent="0.15">
      <c r="A201" s="10">
        <v>45871.40625</v>
      </c>
      <c r="B201">
        <f>COUNT(A201:$A$1158)/(48*252)</f>
        <v>7.9199735449735451E-2</v>
      </c>
      <c r="C201">
        <v>2.19</v>
      </c>
      <c r="D201">
        <v>8.4000000000000005E-2</v>
      </c>
      <c r="E201">
        <f t="shared" si="36"/>
        <v>1.1370083898198737</v>
      </c>
      <c r="F201">
        <f t="shared" si="37"/>
        <v>-0.12776738919555164</v>
      </c>
      <c r="G201">
        <f t="shared" ref="G201:G264" si="40">C201-C200</f>
        <v>-4.0000000000000036E-3</v>
      </c>
      <c r="H201">
        <f>IF(MOD(COUNTA($C$7:C201)-1,$J$2),H200,ROUND(F201*P201,-2))</f>
        <v>-1300</v>
      </c>
      <c r="I201">
        <f t="shared" ref="I201:I264" si="41">H201-H200</f>
        <v>0</v>
      </c>
      <c r="J201">
        <f t="shared" ref="J201:J264" si="42">J200</f>
        <v>0</v>
      </c>
      <c r="K201">
        <f t="shared" ref="K201:K264" si="43">K200-I201*C201-ABS(I201*C201*$F$2)</f>
        <v>3150.7115650978694</v>
      </c>
      <c r="L201">
        <f t="shared" ref="L201:L264" si="44">K201+H201*C201</f>
        <v>303.71156509786942</v>
      </c>
      <c r="M201">
        <f t="shared" ref="M201:M264" si="45">L201-L200</f>
        <v>5.1999999999998181</v>
      </c>
      <c r="N201">
        <f t="shared" si="35"/>
        <v>303.71156509786942</v>
      </c>
      <c r="O201" s="5">
        <f t="shared" si="38"/>
        <v>2.4314075535223412E-2</v>
      </c>
      <c r="P201">
        <f t="shared" ref="P201:P264" si="46">P200</f>
        <v>10000</v>
      </c>
      <c r="Q201">
        <f t="shared" si="39"/>
        <v>243.14075535223412</v>
      </c>
    </row>
    <row r="202" spans="1:17" x14ac:dyDescent="0.15">
      <c r="A202" s="10">
        <v>45871.409722222015</v>
      </c>
      <c r="B202">
        <f>COUNT(A202:$A$1158)/(48*252)</f>
        <v>7.9117063492063489E-2</v>
      </c>
      <c r="C202">
        <v>2.1920000000000002</v>
      </c>
      <c r="D202">
        <v>8.4000000000000005E-2</v>
      </c>
      <c r="E202">
        <f t="shared" si="36"/>
        <v>1.1431393673367629</v>
      </c>
      <c r="F202">
        <f t="shared" si="37"/>
        <v>-0.12649036577951567</v>
      </c>
      <c r="G202">
        <f t="shared" si="40"/>
        <v>2.0000000000002238E-3</v>
      </c>
      <c r="H202">
        <f>IF(MOD(COUNTA($C$7:C202)-1,$J$2),H201,ROUND(F202*P202,-2))</f>
        <v>-1300</v>
      </c>
      <c r="I202">
        <f t="shared" si="41"/>
        <v>0</v>
      </c>
      <c r="J202">
        <f t="shared" si="42"/>
        <v>0</v>
      </c>
      <c r="K202">
        <f t="shared" si="43"/>
        <v>3150.7115650978694</v>
      </c>
      <c r="L202">
        <f t="shared" si="44"/>
        <v>301.11156509786906</v>
      </c>
      <c r="M202">
        <f t="shared" si="45"/>
        <v>-2.6000000000003638</v>
      </c>
      <c r="N202">
        <f t="shared" ref="N202:N265" si="47">L202-$F$1</f>
        <v>301.11156509786906</v>
      </c>
      <c r="O202" s="5">
        <f t="shared" si="38"/>
        <v>2.4021969278928301E-2</v>
      </c>
      <c r="P202">
        <f t="shared" si="46"/>
        <v>10000</v>
      </c>
      <c r="Q202">
        <f t="shared" si="39"/>
        <v>240.21969278928302</v>
      </c>
    </row>
    <row r="203" spans="1:17" x14ac:dyDescent="0.15">
      <c r="A203" s="10">
        <v>45871.413194444962</v>
      </c>
      <c r="B203">
        <f>COUNT(A203:$A$1158)/(48*252)</f>
        <v>7.903439153439154E-2</v>
      </c>
      <c r="C203">
        <v>2.1960000000000002</v>
      </c>
      <c r="D203">
        <v>8.6999999999999994E-2</v>
      </c>
      <c r="E203">
        <f t="shared" si="36"/>
        <v>1.1549015983153874</v>
      </c>
      <c r="F203">
        <f t="shared" si="37"/>
        <v>-0.12406536241594623</v>
      </c>
      <c r="G203">
        <f t="shared" si="40"/>
        <v>4.0000000000000036E-3</v>
      </c>
      <c r="H203">
        <f>IF(MOD(COUNTA($C$7:C203)-1,$J$2),H202,ROUND(F203*P203,-2))</f>
        <v>-1200</v>
      </c>
      <c r="I203">
        <f t="shared" si="41"/>
        <v>100</v>
      </c>
      <c r="J203">
        <f t="shared" si="42"/>
        <v>0</v>
      </c>
      <c r="K203">
        <f t="shared" si="43"/>
        <v>2931.1016830978697</v>
      </c>
      <c r="L203">
        <f t="shared" si="44"/>
        <v>295.90168309786941</v>
      </c>
      <c r="M203">
        <f t="shared" si="45"/>
        <v>-5.2098819999996522</v>
      </c>
      <c r="N203">
        <f t="shared" si="47"/>
        <v>295.90168309786941</v>
      </c>
      <c r="O203" s="5">
        <f t="shared" si="38"/>
        <v>2.3483330172599126E-2</v>
      </c>
      <c r="P203">
        <f t="shared" si="46"/>
        <v>10000</v>
      </c>
      <c r="Q203">
        <f t="shared" si="39"/>
        <v>234.83330172599125</v>
      </c>
    </row>
    <row r="204" spans="1:17" x14ac:dyDescent="0.15">
      <c r="A204" s="10">
        <v>45871.416666666977</v>
      </c>
      <c r="B204">
        <f>COUNT(A204:$A$1158)/(48*252)</f>
        <v>7.8951719576719578E-2</v>
      </c>
      <c r="C204">
        <v>2.1970000000000001</v>
      </c>
      <c r="D204">
        <v>8.5999999999999993E-2</v>
      </c>
      <c r="E204">
        <f t="shared" si="36"/>
        <v>1.1582204624533032</v>
      </c>
      <c r="F204">
        <f t="shared" si="37"/>
        <v>-0.12338703994923572</v>
      </c>
      <c r="G204">
        <f t="shared" si="40"/>
        <v>9.9999999999988987E-4</v>
      </c>
      <c r="H204">
        <f>IF(MOD(COUNTA($C$7:C204)-1,$J$2),H203,ROUND(F204*P204,-2))</f>
        <v>-1200</v>
      </c>
      <c r="I204">
        <f t="shared" si="41"/>
        <v>0</v>
      </c>
      <c r="J204">
        <f t="shared" si="42"/>
        <v>0</v>
      </c>
      <c r="K204">
        <f t="shared" si="43"/>
        <v>2931.1016830978697</v>
      </c>
      <c r="L204">
        <f t="shared" si="44"/>
        <v>294.70168309786959</v>
      </c>
      <c r="M204">
        <f t="shared" si="45"/>
        <v>-1.1999999999998181</v>
      </c>
      <c r="N204">
        <f t="shared" si="47"/>
        <v>294.70168309786959</v>
      </c>
      <c r="O204" s="5">
        <f t="shared" si="38"/>
        <v>2.33223246359614E-2</v>
      </c>
      <c r="P204">
        <f t="shared" si="46"/>
        <v>10000</v>
      </c>
      <c r="Q204">
        <f t="shared" si="39"/>
        <v>233.223246359614</v>
      </c>
    </row>
    <row r="205" spans="1:17" x14ac:dyDescent="0.15">
      <c r="A205" s="10">
        <v>45871.420138888992</v>
      </c>
      <c r="B205">
        <f>COUNT(A205:$A$1158)/(48*252)</f>
        <v>7.8869047619047616E-2</v>
      </c>
      <c r="C205">
        <v>2.1949999999999998</v>
      </c>
      <c r="D205">
        <v>8.5000000000000006E-2</v>
      </c>
      <c r="E205">
        <f t="shared" si="36"/>
        <v>1.153094252407078</v>
      </c>
      <c r="F205">
        <f t="shared" si="37"/>
        <v>-0.12443585024909465</v>
      </c>
      <c r="G205">
        <f t="shared" si="40"/>
        <v>-2.0000000000002238E-3</v>
      </c>
      <c r="H205">
        <f>IF(MOD(COUNTA($C$7:C205)-1,$J$2),H204,ROUND(F205*P205,-2))</f>
        <v>-1200</v>
      </c>
      <c r="I205">
        <f t="shared" si="41"/>
        <v>0</v>
      </c>
      <c r="J205">
        <f t="shared" si="42"/>
        <v>0</v>
      </c>
      <c r="K205">
        <f t="shared" si="43"/>
        <v>2931.1016830978697</v>
      </c>
      <c r="L205">
        <f t="shared" si="44"/>
        <v>297.10168309786968</v>
      </c>
      <c r="M205">
        <f t="shared" si="45"/>
        <v>2.4000000000000909</v>
      </c>
      <c r="N205">
        <f t="shared" si="47"/>
        <v>297.10168309786968</v>
      </c>
      <c r="O205" s="5">
        <f t="shared" si="38"/>
        <v>2.3532816589120931E-2</v>
      </c>
      <c r="P205">
        <f t="shared" si="46"/>
        <v>10000</v>
      </c>
      <c r="Q205">
        <f t="shared" si="39"/>
        <v>235.3281658912093</v>
      </c>
    </row>
    <row r="206" spans="1:17" x14ac:dyDescent="0.15">
      <c r="A206" s="10">
        <v>45871.423611111008</v>
      </c>
      <c r="B206">
        <f>COUNT(A206:$A$1158)/(48*252)</f>
        <v>7.8786375661375668E-2</v>
      </c>
      <c r="C206">
        <v>2.1930000000000001</v>
      </c>
      <c r="D206">
        <v>8.5999999999999993E-2</v>
      </c>
      <c r="E206">
        <f t="shared" si="36"/>
        <v>1.147957845452195</v>
      </c>
      <c r="F206">
        <f t="shared" si="37"/>
        <v>-0.12549298324934233</v>
      </c>
      <c r="G206">
        <f t="shared" si="40"/>
        <v>-1.9999999999997797E-3</v>
      </c>
      <c r="H206">
        <f>IF(MOD(COUNTA($C$7:C206)-1,$J$2),H205,ROUND(F206*P206,-2))</f>
        <v>-1200</v>
      </c>
      <c r="I206">
        <f t="shared" si="41"/>
        <v>0</v>
      </c>
      <c r="J206">
        <f t="shared" si="42"/>
        <v>0</v>
      </c>
      <c r="K206">
        <f t="shared" si="43"/>
        <v>2931.1016830978697</v>
      </c>
      <c r="L206">
        <f t="shared" si="44"/>
        <v>299.50168309786977</v>
      </c>
      <c r="M206">
        <f t="shared" si="45"/>
        <v>2.4000000000000909</v>
      </c>
      <c r="N206">
        <f t="shared" si="47"/>
        <v>299.50168309786977</v>
      </c>
      <c r="O206" s="5">
        <f t="shared" si="38"/>
        <v>2.37452090548671E-2</v>
      </c>
      <c r="P206">
        <f t="shared" si="46"/>
        <v>10000</v>
      </c>
      <c r="Q206">
        <f t="shared" si="39"/>
        <v>237.45209054867101</v>
      </c>
    </row>
    <row r="207" spans="1:17" x14ac:dyDescent="0.15">
      <c r="A207" s="10">
        <v>45871.427083333023</v>
      </c>
      <c r="B207">
        <f>COUNT(A207:$A$1158)/(48*252)</f>
        <v>7.8703703703703706E-2</v>
      </c>
      <c r="C207">
        <v>2.1930000000000001</v>
      </c>
      <c r="D207">
        <v>8.5000000000000006E-2</v>
      </c>
      <c r="E207">
        <f t="shared" si="36"/>
        <v>1.1484604231268973</v>
      </c>
      <c r="F207">
        <f t="shared" si="37"/>
        <v>-0.12538927106891817</v>
      </c>
      <c r="G207">
        <f t="shared" si="40"/>
        <v>0</v>
      </c>
      <c r="H207">
        <f>IF(MOD(COUNTA($C$7:C207)-1,$J$2),H206,ROUND(F207*P207,-2))</f>
        <v>-1300</v>
      </c>
      <c r="I207">
        <f t="shared" si="41"/>
        <v>-100</v>
      </c>
      <c r="J207">
        <f t="shared" si="42"/>
        <v>0</v>
      </c>
      <c r="K207">
        <f t="shared" si="43"/>
        <v>3150.3918145978701</v>
      </c>
      <c r="L207">
        <f t="shared" si="44"/>
        <v>299.49181459786996</v>
      </c>
      <c r="M207">
        <f t="shared" si="45"/>
        <v>-9.8684999998113199E-3</v>
      </c>
      <c r="N207">
        <f t="shared" si="47"/>
        <v>299.49181459786996</v>
      </c>
      <c r="O207" s="5">
        <f t="shared" si="38"/>
        <v>2.3707571850890452E-2</v>
      </c>
      <c r="P207">
        <f t="shared" si="46"/>
        <v>10000</v>
      </c>
      <c r="Q207">
        <f t="shared" si="39"/>
        <v>237.07571850890452</v>
      </c>
    </row>
    <row r="208" spans="1:17" x14ac:dyDescent="0.15">
      <c r="A208" s="10">
        <v>45871.430555555969</v>
      </c>
      <c r="B208">
        <f>COUNT(A208:$A$1158)/(48*252)</f>
        <v>7.8621031746031744E-2</v>
      </c>
      <c r="C208">
        <v>2.1909999999999998</v>
      </c>
      <c r="D208">
        <v>8.5000000000000006E-2</v>
      </c>
      <c r="E208">
        <f t="shared" si="36"/>
        <v>1.1433116658846048</v>
      </c>
      <c r="F208">
        <f t="shared" si="37"/>
        <v>-0.12645460656832341</v>
      </c>
      <c r="G208">
        <f t="shared" si="40"/>
        <v>-2.0000000000002238E-3</v>
      </c>
      <c r="H208">
        <f>IF(MOD(COUNTA($C$7:C208)-1,$J$2),H207,ROUND(F208*P208,-2))</f>
        <v>-1300</v>
      </c>
      <c r="I208">
        <f t="shared" si="41"/>
        <v>0</v>
      </c>
      <c r="J208">
        <f t="shared" si="42"/>
        <v>0</v>
      </c>
      <c r="K208">
        <f t="shared" si="43"/>
        <v>3150.3918145978701</v>
      </c>
      <c r="L208">
        <f t="shared" si="44"/>
        <v>302.09181459787033</v>
      </c>
      <c r="M208">
        <f t="shared" si="45"/>
        <v>2.6000000000003638</v>
      </c>
      <c r="N208">
        <f t="shared" si="47"/>
        <v>302.09181459787033</v>
      </c>
      <c r="O208" s="5">
        <f t="shared" si="38"/>
        <v>2.392167461357253E-2</v>
      </c>
      <c r="P208">
        <f t="shared" si="46"/>
        <v>10000</v>
      </c>
      <c r="Q208">
        <f t="shared" si="39"/>
        <v>239.21674613572529</v>
      </c>
    </row>
    <row r="209" spans="1:17" x14ac:dyDescent="0.15">
      <c r="A209" s="10">
        <v>45871.434027777985</v>
      </c>
      <c r="B209">
        <f>COUNT(A209:$A$1158)/(48*252)</f>
        <v>7.8538359788359782E-2</v>
      </c>
      <c r="C209">
        <v>2.19</v>
      </c>
      <c r="D209">
        <v>8.4000000000000005E-2</v>
      </c>
      <c r="E209">
        <f t="shared" si="36"/>
        <v>1.1409834489104225</v>
      </c>
      <c r="F209">
        <f t="shared" si="37"/>
        <v>-0.12693840532129941</v>
      </c>
      <c r="G209">
        <f t="shared" si="40"/>
        <v>-9.9999999999988987E-4</v>
      </c>
      <c r="H209">
        <f>IF(MOD(COUNTA($C$7:C209)-1,$J$2),H208,ROUND(F209*P209,-2))</f>
        <v>-1300</v>
      </c>
      <c r="I209">
        <f t="shared" si="41"/>
        <v>0</v>
      </c>
      <c r="J209">
        <f t="shared" si="42"/>
        <v>0</v>
      </c>
      <c r="K209">
        <f t="shared" si="43"/>
        <v>3150.3918145978701</v>
      </c>
      <c r="L209">
        <f t="shared" si="44"/>
        <v>303.39181459787005</v>
      </c>
      <c r="M209">
        <f t="shared" si="45"/>
        <v>1.2999999999997272</v>
      </c>
      <c r="N209">
        <f t="shared" si="47"/>
        <v>303.39181459787005</v>
      </c>
      <c r="O209" s="5">
        <f t="shared" si="38"/>
        <v>2.4010476529073177E-2</v>
      </c>
      <c r="P209">
        <f t="shared" si="46"/>
        <v>10000</v>
      </c>
      <c r="Q209">
        <f t="shared" si="39"/>
        <v>240.10476529073176</v>
      </c>
    </row>
    <row r="210" spans="1:17" x14ac:dyDescent="0.15">
      <c r="A210" s="10">
        <v>45871.4375</v>
      </c>
      <c r="B210">
        <f>COUNT(A210:$A$1158)/(48*252)</f>
        <v>7.8455687830687834E-2</v>
      </c>
      <c r="C210">
        <v>2.1909999999999998</v>
      </c>
      <c r="D210">
        <v>8.3000000000000004E-2</v>
      </c>
      <c r="E210">
        <f t="shared" si="36"/>
        <v>1.1443151032478363</v>
      </c>
      <c r="F210">
        <f t="shared" si="37"/>
        <v>-0.12624649096753093</v>
      </c>
      <c r="G210">
        <f t="shared" si="40"/>
        <v>9.9999999999988987E-4</v>
      </c>
      <c r="H210">
        <f>IF(MOD(COUNTA($C$7:C210)-1,$J$2),H209,ROUND(F210*P210,-2))</f>
        <v>-1300</v>
      </c>
      <c r="I210">
        <f t="shared" si="41"/>
        <v>0</v>
      </c>
      <c r="J210">
        <f t="shared" si="42"/>
        <v>0</v>
      </c>
      <c r="K210">
        <f t="shared" si="43"/>
        <v>3150.3918145978701</v>
      </c>
      <c r="L210">
        <f t="shared" si="44"/>
        <v>302.09181459787033</v>
      </c>
      <c r="M210">
        <f t="shared" si="45"/>
        <v>-1.2999999999997272</v>
      </c>
      <c r="N210">
        <f t="shared" si="47"/>
        <v>302.09181459787033</v>
      </c>
      <c r="O210" s="5">
        <f t="shared" si="38"/>
        <v>2.3845990969891484E-2</v>
      </c>
      <c r="P210">
        <f t="shared" si="46"/>
        <v>10000</v>
      </c>
      <c r="Q210">
        <f t="shared" si="39"/>
        <v>238.45990969891483</v>
      </c>
    </row>
    <row r="211" spans="1:17" x14ac:dyDescent="0.15">
      <c r="A211" s="10">
        <v>45871.440972222015</v>
      </c>
      <c r="B211">
        <f>COUNT(A211:$A$1158)/(48*252)</f>
        <v>7.8373015873015872E-2</v>
      </c>
      <c r="C211">
        <v>2.1869999999999998</v>
      </c>
      <c r="D211">
        <v>8.5000000000000006E-2</v>
      </c>
      <c r="E211">
        <f t="shared" si="36"/>
        <v>1.1334803396092539</v>
      </c>
      <c r="F211">
        <f t="shared" si="37"/>
        <v>-0.12850629642795719</v>
      </c>
      <c r="G211">
        <f t="shared" si="40"/>
        <v>-4.0000000000000036E-3</v>
      </c>
      <c r="H211">
        <f>IF(MOD(COUNTA($C$7:C211)-1,$J$2),H210,ROUND(F211*P211,-2))</f>
        <v>-1300</v>
      </c>
      <c r="I211">
        <f t="shared" si="41"/>
        <v>0</v>
      </c>
      <c r="J211">
        <f t="shared" si="42"/>
        <v>0</v>
      </c>
      <c r="K211">
        <f t="shared" si="43"/>
        <v>3150.3918145978701</v>
      </c>
      <c r="L211">
        <f t="shared" si="44"/>
        <v>307.29181459787014</v>
      </c>
      <c r="M211">
        <f t="shared" si="45"/>
        <v>5.1999999999998181</v>
      </c>
      <c r="N211">
        <f t="shared" si="47"/>
        <v>307.29181459787014</v>
      </c>
      <c r="O211" s="5">
        <f t="shared" si="38"/>
        <v>2.431743643156925E-2</v>
      </c>
      <c r="P211">
        <f t="shared" si="46"/>
        <v>10000</v>
      </c>
      <c r="Q211">
        <f t="shared" si="39"/>
        <v>243.17436431569251</v>
      </c>
    </row>
    <row r="212" spans="1:17" x14ac:dyDescent="0.15">
      <c r="A212" s="10">
        <v>45871.444444444962</v>
      </c>
      <c r="B212">
        <f>COUNT(A212:$A$1158)/(48*252)</f>
        <v>7.829034391534391E-2</v>
      </c>
      <c r="C212">
        <v>2.1869999999999998</v>
      </c>
      <c r="D212">
        <v>8.5000000000000006E-2</v>
      </c>
      <c r="E212">
        <f t="shared" si="36"/>
        <v>1.1339781929311954</v>
      </c>
      <c r="F212">
        <f t="shared" si="37"/>
        <v>-0.12840184773811469</v>
      </c>
      <c r="G212">
        <f t="shared" si="40"/>
        <v>0</v>
      </c>
      <c r="H212">
        <f>IF(MOD(COUNTA($C$7:C212)-1,$J$2),H211,ROUND(F212*P212,-2))</f>
        <v>-1300</v>
      </c>
      <c r="I212">
        <f t="shared" si="41"/>
        <v>0</v>
      </c>
      <c r="J212">
        <f t="shared" si="42"/>
        <v>0</v>
      </c>
      <c r="K212">
        <f t="shared" si="43"/>
        <v>3150.3918145978701</v>
      </c>
      <c r="L212">
        <f t="shared" si="44"/>
        <v>307.29181459787014</v>
      </c>
      <c r="M212">
        <f t="shared" si="45"/>
        <v>0</v>
      </c>
      <c r="N212">
        <f t="shared" si="47"/>
        <v>307.29181459787014</v>
      </c>
      <c r="O212" s="5">
        <f t="shared" si="38"/>
        <v>2.427918002314261E-2</v>
      </c>
      <c r="P212">
        <f t="shared" si="46"/>
        <v>10000</v>
      </c>
      <c r="Q212">
        <f t="shared" si="39"/>
        <v>242.79180023142609</v>
      </c>
    </row>
    <row r="213" spans="1:17" x14ac:dyDescent="0.15">
      <c r="A213" s="10">
        <v>45871.447916666977</v>
      </c>
      <c r="B213">
        <f>COUNT(A213:$A$1158)/(48*252)</f>
        <v>7.8207671957671962E-2</v>
      </c>
      <c r="C213">
        <v>2.19</v>
      </c>
      <c r="D213">
        <v>8.5000000000000006E-2</v>
      </c>
      <c r="E213">
        <f t="shared" si="36"/>
        <v>1.1429911302546159</v>
      </c>
      <c r="F213">
        <f t="shared" si="37"/>
        <v>-0.12652113685939914</v>
      </c>
      <c r="G213">
        <f t="shared" si="40"/>
        <v>3.0000000000001137E-3</v>
      </c>
      <c r="H213">
        <f>IF(MOD(COUNTA($C$7:C213)-1,$J$2),H212,ROUND(F213*P213,-2))</f>
        <v>-1300</v>
      </c>
      <c r="I213">
        <f t="shared" si="41"/>
        <v>0</v>
      </c>
      <c r="J213">
        <f t="shared" si="42"/>
        <v>0</v>
      </c>
      <c r="K213">
        <f t="shared" si="43"/>
        <v>3150.3918145978701</v>
      </c>
      <c r="L213">
        <f t="shared" si="44"/>
        <v>303.39181459787005</v>
      </c>
      <c r="M213">
        <f t="shared" si="45"/>
        <v>-3.9000000000000909</v>
      </c>
      <c r="N213">
        <f t="shared" si="47"/>
        <v>303.39181459787005</v>
      </c>
      <c r="O213" s="5">
        <f t="shared" si="38"/>
        <v>2.3858701684710382E-2</v>
      </c>
      <c r="P213">
        <f t="shared" si="46"/>
        <v>10000</v>
      </c>
      <c r="Q213">
        <f t="shared" si="39"/>
        <v>238.58701684710383</v>
      </c>
    </row>
    <row r="214" spans="1:17" x14ac:dyDescent="0.15">
      <c r="A214" s="10">
        <v>45871.451388888992</v>
      </c>
      <c r="B214">
        <f>COUNT(A214:$A$1158)/(48*252)</f>
        <v>7.8125E-2</v>
      </c>
      <c r="C214">
        <v>2.1859999999999999</v>
      </c>
      <c r="D214">
        <v>8.3000000000000004E-2</v>
      </c>
      <c r="E214">
        <f t="shared" si="36"/>
        <v>1.1321342498699534</v>
      </c>
      <c r="F214">
        <f t="shared" si="37"/>
        <v>-0.12878899875149374</v>
      </c>
      <c r="G214">
        <f t="shared" si="40"/>
        <v>-4.0000000000000036E-3</v>
      </c>
      <c r="H214">
        <f>IF(MOD(COUNTA($C$7:C214)-1,$J$2),H213,ROUND(F214*P214,-2))</f>
        <v>-1300</v>
      </c>
      <c r="I214">
        <f t="shared" si="41"/>
        <v>0</v>
      </c>
      <c r="J214">
        <f t="shared" si="42"/>
        <v>0</v>
      </c>
      <c r="K214">
        <f t="shared" si="43"/>
        <v>3150.3918145978701</v>
      </c>
      <c r="L214">
        <f t="shared" si="44"/>
        <v>308.59181459787033</v>
      </c>
      <c r="M214">
        <f t="shared" si="45"/>
        <v>5.2000000000002728</v>
      </c>
      <c r="N214">
        <f t="shared" si="47"/>
        <v>308.59181459787033</v>
      </c>
      <c r="O214" s="5">
        <f t="shared" si="38"/>
        <v>2.4331160196975288E-2</v>
      </c>
      <c r="P214">
        <f t="shared" si="46"/>
        <v>10000</v>
      </c>
      <c r="Q214">
        <f t="shared" si="39"/>
        <v>243.31160196975287</v>
      </c>
    </row>
    <row r="215" spans="1:17" x14ac:dyDescent="0.15">
      <c r="A215" s="10">
        <v>45871.454861111008</v>
      </c>
      <c r="B215">
        <f>COUNT(A215:$A$1158)/(48*252)</f>
        <v>7.8042328042328038E-2</v>
      </c>
      <c r="C215">
        <v>2.1850000000000001</v>
      </c>
      <c r="D215">
        <v>8.3000000000000004E-2</v>
      </c>
      <c r="E215">
        <f t="shared" si="36"/>
        <v>1.1297881468615403</v>
      </c>
      <c r="F215">
        <f t="shared" si="37"/>
        <v>-0.12928275197807781</v>
      </c>
      <c r="G215">
        <f t="shared" si="40"/>
        <v>-9.9999999999988987E-4</v>
      </c>
      <c r="H215">
        <f>IF(MOD(COUNTA($C$7:C215)-1,$J$2),H214,ROUND(F215*P215,-2))</f>
        <v>-1300</v>
      </c>
      <c r="I215">
        <f t="shared" si="41"/>
        <v>0</v>
      </c>
      <c r="J215">
        <f t="shared" si="42"/>
        <v>0</v>
      </c>
      <c r="K215">
        <f t="shared" si="43"/>
        <v>3150.3918145978701</v>
      </c>
      <c r="L215">
        <f t="shared" si="44"/>
        <v>309.89181459787005</v>
      </c>
      <c r="M215">
        <f t="shared" si="45"/>
        <v>1.2999999999997272</v>
      </c>
      <c r="N215">
        <f t="shared" si="47"/>
        <v>309.89181459787005</v>
      </c>
      <c r="O215" s="5">
        <f t="shared" si="38"/>
        <v>2.442178467989603E-2</v>
      </c>
      <c r="P215">
        <f t="shared" si="46"/>
        <v>10000</v>
      </c>
      <c r="Q215">
        <f t="shared" si="39"/>
        <v>244.2178467989603</v>
      </c>
    </row>
    <row r="216" spans="1:17" x14ac:dyDescent="0.15">
      <c r="A216" s="10">
        <v>45871.458333333023</v>
      </c>
      <c r="B216">
        <f>COUNT(A216:$A$1158)/(48*252)</f>
        <v>7.795965608465609E-2</v>
      </c>
      <c r="C216">
        <v>2.1800000000000002</v>
      </c>
      <c r="D216">
        <v>8.2000000000000003E-2</v>
      </c>
      <c r="E216">
        <f t="shared" si="36"/>
        <v>1.1160343327974946</v>
      </c>
      <c r="F216">
        <f t="shared" si="37"/>
        <v>-0.13220371939692765</v>
      </c>
      <c r="G216">
        <f t="shared" si="40"/>
        <v>-4.9999999999998934E-3</v>
      </c>
      <c r="H216">
        <f>IF(MOD(COUNTA($C$7:C216)-1,$J$2),H215,ROUND(F216*P216,-2))</f>
        <v>-1300</v>
      </c>
      <c r="I216">
        <f t="shared" si="41"/>
        <v>0</v>
      </c>
      <c r="J216">
        <f t="shared" si="42"/>
        <v>0</v>
      </c>
      <c r="K216">
        <f t="shared" si="43"/>
        <v>3150.3918145978701</v>
      </c>
      <c r="L216">
        <f t="shared" si="44"/>
        <v>316.39181459787005</v>
      </c>
      <c r="M216">
        <f t="shared" si="45"/>
        <v>6.5</v>
      </c>
      <c r="N216">
        <f t="shared" si="47"/>
        <v>316.39181459787005</v>
      </c>
      <c r="O216" s="5">
        <f t="shared" si="38"/>
        <v>2.5036752368434056E-2</v>
      </c>
      <c r="P216">
        <f t="shared" si="46"/>
        <v>10000</v>
      </c>
      <c r="Q216">
        <f t="shared" si="39"/>
        <v>250.36752368434057</v>
      </c>
    </row>
    <row r="217" spans="1:17" x14ac:dyDescent="0.15">
      <c r="A217" s="10">
        <v>45871.461805555969</v>
      </c>
      <c r="B217">
        <f>COUNT(A217:$A$1158)/(48*252)</f>
        <v>7.7876984126984128E-2</v>
      </c>
      <c r="C217">
        <v>2.1779999999999999</v>
      </c>
      <c r="D217">
        <v>8.2000000000000003E-2</v>
      </c>
      <c r="E217">
        <f t="shared" si="36"/>
        <v>1.1108128385209939</v>
      </c>
      <c r="F217">
        <f t="shared" si="37"/>
        <v>-0.13332445955151684</v>
      </c>
      <c r="G217">
        <f t="shared" si="40"/>
        <v>-2.0000000000002238E-3</v>
      </c>
      <c r="H217">
        <f>IF(MOD(COUNTA($C$7:C217)-1,$J$2),H216,ROUND(F217*P217,-2))</f>
        <v>-1300</v>
      </c>
      <c r="I217">
        <f t="shared" si="41"/>
        <v>0</v>
      </c>
      <c r="J217">
        <f t="shared" si="42"/>
        <v>0</v>
      </c>
      <c r="K217">
        <f t="shared" si="43"/>
        <v>3150.3918145978701</v>
      </c>
      <c r="L217">
        <f t="shared" si="44"/>
        <v>318.99181459786996</v>
      </c>
      <c r="M217">
        <f t="shared" si="45"/>
        <v>2.5999999999999091</v>
      </c>
      <c r="N217">
        <f t="shared" si="47"/>
        <v>318.99181459786996</v>
      </c>
      <c r="O217" s="5">
        <f t="shared" si="38"/>
        <v>2.5263185905422536E-2</v>
      </c>
      <c r="P217">
        <f t="shared" si="46"/>
        <v>10000</v>
      </c>
      <c r="Q217">
        <f t="shared" si="39"/>
        <v>252.63185905422537</v>
      </c>
    </row>
    <row r="218" spans="1:17" x14ac:dyDescent="0.15">
      <c r="A218" s="10">
        <v>45871.465277777985</v>
      </c>
      <c r="B218">
        <f>COUNT(A218:$A$1158)/(48*252)</f>
        <v>7.7794312169312166E-2</v>
      </c>
      <c r="C218">
        <v>2.1789999999999998</v>
      </c>
      <c r="D218">
        <v>8.2000000000000003E-2</v>
      </c>
      <c r="E218">
        <f t="shared" si="36"/>
        <v>1.1141608173158799</v>
      </c>
      <c r="F218">
        <f t="shared" si="37"/>
        <v>-0.13260510079116838</v>
      </c>
      <c r="G218">
        <f t="shared" si="40"/>
        <v>9.9999999999988987E-4</v>
      </c>
      <c r="H218">
        <f>IF(MOD(COUNTA($C$7:C218)-1,$J$2),H217,ROUND(F218*P218,-2))</f>
        <v>-1300</v>
      </c>
      <c r="I218">
        <f t="shared" si="41"/>
        <v>0</v>
      </c>
      <c r="J218">
        <f t="shared" si="42"/>
        <v>0</v>
      </c>
      <c r="K218">
        <f t="shared" si="43"/>
        <v>3150.3918145978701</v>
      </c>
      <c r="L218">
        <f t="shared" si="44"/>
        <v>317.69181459787023</v>
      </c>
      <c r="M218">
        <f t="shared" si="45"/>
        <v>-1.2999999999997272</v>
      </c>
      <c r="N218">
        <f t="shared" si="47"/>
        <v>317.69181459787023</v>
      </c>
      <c r="O218" s="5">
        <f t="shared" si="38"/>
        <v>2.5091075452335354E-2</v>
      </c>
      <c r="P218">
        <f t="shared" si="46"/>
        <v>10000</v>
      </c>
      <c r="Q218">
        <f t="shared" si="39"/>
        <v>250.91075452335355</v>
      </c>
    </row>
    <row r="219" spans="1:17" x14ac:dyDescent="0.15">
      <c r="A219" s="10">
        <v>45871.46875</v>
      </c>
      <c r="B219">
        <f>COUNT(A219:$A$1158)/(48*252)</f>
        <v>7.7711640211640218E-2</v>
      </c>
      <c r="C219">
        <v>2.1749999999999998</v>
      </c>
      <c r="D219">
        <v>0.08</v>
      </c>
      <c r="E219">
        <f t="shared" si="36"/>
        <v>1.1032038213339814</v>
      </c>
      <c r="F219">
        <f t="shared" si="37"/>
        <v>-0.13496933111688481</v>
      </c>
      <c r="G219">
        <f t="shared" si="40"/>
        <v>-4.0000000000000036E-3</v>
      </c>
      <c r="H219">
        <f>IF(MOD(COUNTA($C$7:C219)-1,$J$2),H218,ROUND(F219*P219,-2))</f>
        <v>-1300</v>
      </c>
      <c r="I219">
        <f t="shared" si="41"/>
        <v>0</v>
      </c>
      <c r="J219">
        <f t="shared" si="42"/>
        <v>0</v>
      </c>
      <c r="K219">
        <f t="shared" si="43"/>
        <v>3150.3918145978701</v>
      </c>
      <c r="L219">
        <f t="shared" si="44"/>
        <v>322.89181459787051</v>
      </c>
      <c r="M219">
        <f t="shared" si="45"/>
        <v>5.2000000000002728</v>
      </c>
      <c r="N219">
        <f t="shared" si="47"/>
        <v>322.89181459787051</v>
      </c>
      <c r="O219" s="5">
        <f t="shared" si="38"/>
        <v>2.5586908281424181E-2</v>
      </c>
      <c r="P219">
        <f t="shared" si="46"/>
        <v>10000</v>
      </c>
      <c r="Q219">
        <f t="shared" si="39"/>
        <v>255.86908281424181</v>
      </c>
    </row>
    <row r="220" spans="1:17" x14ac:dyDescent="0.15">
      <c r="A220" s="10">
        <v>45871.472222222015</v>
      </c>
      <c r="B220">
        <f>COUNT(A220:$A$1158)/(48*252)</f>
        <v>7.7628968253968256E-2</v>
      </c>
      <c r="C220">
        <v>2.1749999999999998</v>
      </c>
      <c r="D220">
        <v>7.9000000000000001E-2</v>
      </c>
      <c r="E220">
        <f t="shared" si="36"/>
        <v>1.1036902262677595</v>
      </c>
      <c r="F220">
        <f t="shared" si="37"/>
        <v>-0.13486376839718117</v>
      </c>
      <c r="G220">
        <f t="shared" si="40"/>
        <v>0</v>
      </c>
      <c r="H220">
        <f>IF(MOD(COUNTA($C$7:C220)-1,$J$2),H219,ROUND(F220*P220,-2))</f>
        <v>-1300</v>
      </c>
      <c r="I220">
        <f t="shared" si="41"/>
        <v>0</v>
      </c>
      <c r="J220">
        <f t="shared" si="42"/>
        <v>0</v>
      </c>
      <c r="K220">
        <f t="shared" si="43"/>
        <v>3150.3918145978701</v>
      </c>
      <c r="L220">
        <f t="shared" si="44"/>
        <v>322.89181459787051</v>
      </c>
      <c r="M220">
        <f t="shared" si="45"/>
        <v>0</v>
      </c>
      <c r="N220">
        <f t="shared" si="47"/>
        <v>322.89181459787051</v>
      </c>
      <c r="O220" s="5">
        <f t="shared" si="38"/>
        <v>2.5547392825333026E-2</v>
      </c>
      <c r="P220">
        <f t="shared" si="46"/>
        <v>10000</v>
      </c>
      <c r="Q220">
        <f t="shared" si="39"/>
        <v>255.47392825333026</v>
      </c>
    </row>
    <row r="221" spans="1:17" x14ac:dyDescent="0.15">
      <c r="A221" s="10">
        <v>45871.475694444962</v>
      </c>
      <c r="B221">
        <f>COUNT(A221:$A$1158)/(48*252)</f>
        <v>7.7546296296296294E-2</v>
      </c>
      <c r="C221">
        <v>2.177</v>
      </c>
      <c r="D221">
        <v>0.08</v>
      </c>
      <c r="E221">
        <f t="shared" si="36"/>
        <v>1.1099105226029806</v>
      </c>
      <c r="F221">
        <f t="shared" si="37"/>
        <v>-0.13351879283561108</v>
      </c>
      <c r="G221">
        <f t="shared" si="40"/>
        <v>2.0000000000002238E-3</v>
      </c>
      <c r="H221">
        <f>IF(MOD(COUNTA($C$7:C221)-1,$J$2),H220,ROUND(F221*P221,-2))</f>
        <v>-1300</v>
      </c>
      <c r="I221">
        <f t="shared" si="41"/>
        <v>0</v>
      </c>
      <c r="J221">
        <f t="shared" si="42"/>
        <v>0</v>
      </c>
      <c r="K221">
        <f t="shared" si="43"/>
        <v>3150.3918145978701</v>
      </c>
      <c r="L221">
        <f t="shared" si="44"/>
        <v>320.29181459787014</v>
      </c>
      <c r="M221">
        <f t="shared" si="45"/>
        <v>-2.6000000000003638</v>
      </c>
      <c r="N221">
        <f t="shared" si="47"/>
        <v>320.29181459787014</v>
      </c>
      <c r="O221" s="5">
        <f t="shared" si="38"/>
        <v>2.5239601521510113E-2</v>
      </c>
      <c r="P221">
        <f t="shared" si="46"/>
        <v>10000</v>
      </c>
      <c r="Q221">
        <f t="shared" si="39"/>
        <v>252.39601521510113</v>
      </c>
    </row>
    <row r="222" spans="1:17" x14ac:dyDescent="0.15">
      <c r="A222" s="10">
        <v>45871.479166666977</v>
      </c>
      <c r="B222">
        <f>COUNT(A222:$A$1158)/(48*252)</f>
        <v>7.7463624338624332E-2</v>
      </c>
      <c r="C222">
        <v>2.1800000000000002</v>
      </c>
      <c r="D222">
        <v>8.2000000000000003E-2</v>
      </c>
      <c r="E222">
        <f t="shared" si="36"/>
        <v>1.1189959554788624</v>
      </c>
      <c r="F222">
        <f t="shared" si="37"/>
        <v>-0.13157093224714911</v>
      </c>
      <c r="G222">
        <f t="shared" si="40"/>
        <v>3.0000000000001137E-3</v>
      </c>
      <c r="H222">
        <f>IF(MOD(COUNTA($C$7:C222)-1,$J$2),H221,ROUND(F222*P222,-2))</f>
        <v>-1300</v>
      </c>
      <c r="I222">
        <f t="shared" si="41"/>
        <v>0</v>
      </c>
      <c r="J222">
        <f t="shared" si="42"/>
        <v>0</v>
      </c>
      <c r="K222">
        <f t="shared" si="43"/>
        <v>3150.3918145978701</v>
      </c>
      <c r="L222">
        <f t="shared" si="44"/>
        <v>316.39181459787005</v>
      </c>
      <c r="M222">
        <f t="shared" si="45"/>
        <v>-3.9000000000000909</v>
      </c>
      <c r="N222">
        <f t="shared" si="47"/>
        <v>316.39181459787005</v>
      </c>
      <c r="O222" s="5">
        <f t="shared" si="38"/>
        <v>2.480282590924604E-2</v>
      </c>
      <c r="P222">
        <f t="shared" si="46"/>
        <v>10000</v>
      </c>
      <c r="Q222">
        <f t="shared" si="39"/>
        <v>248.02825909246039</v>
      </c>
    </row>
    <row r="223" spans="1:17" x14ac:dyDescent="0.15">
      <c r="A223" s="10">
        <v>45871.545138888992</v>
      </c>
      <c r="B223">
        <f>COUNT(A223:$A$1158)/(48*252)</f>
        <v>7.7380952380952384E-2</v>
      </c>
      <c r="C223">
        <v>2.177</v>
      </c>
      <c r="D223">
        <v>0.08</v>
      </c>
      <c r="E223">
        <f t="shared" si="36"/>
        <v>1.1108936201722062</v>
      </c>
      <c r="F223">
        <f t="shared" si="37"/>
        <v>-0.1333070709680364</v>
      </c>
      <c r="G223">
        <f t="shared" si="40"/>
        <v>-3.0000000000001137E-3</v>
      </c>
      <c r="H223">
        <f>IF(MOD(COUNTA($C$7:C223)-1,$J$2),H222,ROUND(F223*P223,-2))</f>
        <v>-1300</v>
      </c>
      <c r="I223">
        <f t="shared" si="41"/>
        <v>0</v>
      </c>
      <c r="J223">
        <f t="shared" si="42"/>
        <v>0</v>
      </c>
      <c r="K223">
        <f t="shared" si="43"/>
        <v>3150.3918145978701</v>
      </c>
      <c r="L223">
        <f t="shared" si="44"/>
        <v>320.29181459787014</v>
      </c>
      <c r="M223">
        <f t="shared" si="45"/>
        <v>3.9000000000000909</v>
      </c>
      <c r="N223">
        <f t="shared" si="47"/>
        <v>320.29181459787014</v>
      </c>
      <c r="O223" s="5">
        <f t="shared" si="38"/>
        <v>2.5160991802476829E-2</v>
      </c>
      <c r="P223">
        <f t="shared" si="46"/>
        <v>10000</v>
      </c>
      <c r="Q223">
        <f t="shared" si="39"/>
        <v>251.60991802476829</v>
      </c>
    </row>
    <row r="224" spans="1:17" x14ac:dyDescent="0.15">
      <c r="A224" s="10">
        <v>45871.548611111008</v>
      </c>
      <c r="B224">
        <f>COUNT(A224:$A$1158)/(48*252)</f>
        <v>7.7298280423280422E-2</v>
      </c>
      <c r="C224">
        <v>2.181</v>
      </c>
      <c r="D224">
        <v>0.08</v>
      </c>
      <c r="E224">
        <f t="shared" si="36"/>
        <v>1.1228551233619672</v>
      </c>
      <c r="F224">
        <f t="shared" si="37"/>
        <v>-0.13074951478657948</v>
      </c>
      <c r="G224">
        <f t="shared" si="40"/>
        <v>4.0000000000000036E-3</v>
      </c>
      <c r="H224">
        <f>IF(MOD(COUNTA($C$7:C224)-1,$J$2),H223,ROUND(F224*P224,-2))</f>
        <v>-1300</v>
      </c>
      <c r="I224">
        <f t="shared" si="41"/>
        <v>0</v>
      </c>
      <c r="J224">
        <f t="shared" si="42"/>
        <v>0</v>
      </c>
      <c r="K224">
        <f t="shared" si="43"/>
        <v>3150.3918145978701</v>
      </c>
      <c r="L224">
        <f t="shared" si="44"/>
        <v>315.09181459786987</v>
      </c>
      <c r="M224">
        <f t="shared" si="45"/>
        <v>-5.2000000000002728</v>
      </c>
      <c r="N224">
        <f t="shared" si="47"/>
        <v>315.09181459786987</v>
      </c>
      <c r="O224" s="5">
        <f t="shared" si="38"/>
        <v>2.4593797586696442E-2</v>
      </c>
      <c r="P224">
        <f t="shared" si="46"/>
        <v>10000</v>
      </c>
      <c r="Q224">
        <f t="shared" si="39"/>
        <v>245.93797586696442</v>
      </c>
    </row>
    <row r="225" spans="1:17" x14ac:dyDescent="0.15">
      <c r="A225" s="10">
        <v>45871.552083333023</v>
      </c>
      <c r="B225">
        <f>COUNT(A225:$A$1158)/(48*252)</f>
        <v>7.721560846560846E-2</v>
      </c>
      <c r="C225">
        <v>2.1800000000000002</v>
      </c>
      <c r="D225">
        <v>0.08</v>
      </c>
      <c r="E225">
        <f t="shared" si="36"/>
        <v>1.1204881858231612</v>
      </c>
      <c r="F225">
        <f t="shared" si="37"/>
        <v>-0.13125289214155167</v>
      </c>
      <c r="G225">
        <f t="shared" si="40"/>
        <v>-9.9999999999988987E-4</v>
      </c>
      <c r="H225">
        <f>IF(MOD(COUNTA($C$7:C225)-1,$J$2),H224,ROUND(F225*P225,-2))</f>
        <v>-1300</v>
      </c>
      <c r="I225">
        <f t="shared" si="41"/>
        <v>0</v>
      </c>
      <c r="J225">
        <f t="shared" si="42"/>
        <v>0</v>
      </c>
      <c r="K225">
        <f t="shared" si="43"/>
        <v>3150.3918145978701</v>
      </c>
      <c r="L225">
        <f t="shared" si="44"/>
        <v>316.39181459787005</v>
      </c>
      <c r="M225">
        <f t="shared" si="45"/>
        <v>1.3000000000001819</v>
      </c>
      <c r="N225">
        <f t="shared" si="47"/>
        <v>316.39181459787005</v>
      </c>
      <c r="O225" s="5">
        <f t="shared" si="38"/>
        <v>2.4685864895687082E-2</v>
      </c>
      <c r="P225">
        <f t="shared" si="46"/>
        <v>10000</v>
      </c>
      <c r="Q225">
        <f t="shared" si="39"/>
        <v>246.85864895687081</v>
      </c>
    </row>
    <row r="226" spans="1:17" x14ac:dyDescent="0.15">
      <c r="A226" s="10">
        <v>45871.555555555969</v>
      </c>
      <c r="B226">
        <f>COUNT(A226:$A$1158)/(48*252)</f>
        <v>7.7132936507936511E-2</v>
      </c>
      <c r="C226">
        <v>2.1819999999999999</v>
      </c>
      <c r="D226">
        <v>8.2000000000000003E-2</v>
      </c>
      <c r="E226">
        <f t="shared" si="36"/>
        <v>1.1267225259606271</v>
      </c>
      <c r="F226">
        <f t="shared" si="37"/>
        <v>-0.12992990768620127</v>
      </c>
      <c r="G226">
        <f t="shared" si="40"/>
        <v>1.9999999999997797E-3</v>
      </c>
      <c r="H226">
        <f>IF(MOD(COUNTA($C$7:C226)-1,$J$2),H225,ROUND(F226*P226,-2))</f>
        <v>-1300</v>
      </c>
      <c r="I226">
        <f t="shared" si="41"/>
        <v>0</v>
      </c>
      <c r="J226">
        <f t="shared" si="42"/>
        <v>0</v>
      </c>
      <c r="K226">
        <f t="shared" si="43"/>
        <v>3150.3918145978701</v>
      </c>
      <c r="L226">
        <f t="shared" si="44"/>
        <v>313.79181459787014</v>
      </c>
      <c r="M226">
        <f t="shared" si="45"/>
        <v>-2.5999999999999091</v>
      </c>
      <c r="N226">
        <f t="shared" si="47"/>
        <v>313.79181459787014</v>
      </c>
      <c r="O226" s="5">
        <f t="shared" si="38"/>
        <v>2.4385803332773848E-2</v>
      </c>
      <c r="P226">
        <f t="shared" si="46"/>
        <v>10000</v>
      </c>
      <c r="Q226">
        <f t="shared" si="39"/>
        <v>243.85803332773847</v>
      </c>
    </row>
    <row r="227" spans="1:17" x14ac:dyDescent="0.15">
      <c r="A227" s="10">
        <v>45871.559027777985</v>
      </c>
      <c r="B227">
        <f>COUNT(A227:$A$1158)/(48*252)</f>
        <v>7.7050264550264549E-2</v>
      </c>
      <c r="C227">
        <v>2.1829999999999998</v>
      </c>
      <c r="D227">
        <v>8.1000000000000003E-2</v>
      </c>
      <c r="E227">
        <f t="shared" si="36"/>
        <v>1.1300927538884296</v>
      </c>
      <c r="F227">
        <f t="shared" si="37"/>
        <v>-0.12921857135996262</v>
      </c>
      <c r="G227">
        <f t="shared" si="40"/>
        <v>9.9999999999988987E-4</v>
      </c>
      <c r="H227">
        <f>IF(MOD(COUNTA($C$7:C227)-1,$J$2),H226,ROUND(F227*P227,-2))</f>
        <v>-1300</v>
      </c>
      <c r="I227">
        <f t="shared" si="41"/>
        <v>0</v>
      </c>
      <c r="J227">
        <f t="shared" si="42"/>
        <v>0</v>
      </c>
      <c r="K227">
        <f t="shared" si="43"/>
        <v>3150.3918145978701</v>
      </c>
      <c r="L227">
        <f t="shared" si="44"/>
        <v>312.49181459787042</v>
      </c>
      <c r="M227">
        <f t="shared" si="45"/>
        <v>-1.2999999999997272</v>
      </c>
      <c r="N227">
        <f t="shared" si="47"/>
        <v>312.49181459787042</v>
      </c>
      <c r="O227" s="5">
        <f t="shared" si="38"/>
        <v>2.4217508955304667E-2</v>
      </c>
      <c r="P227">
        <f t="shared" si="46"/>
        <v>10000</v>
      </c>
      <c r="Q227">
        <f t="shared" si="39"/>
        <v>242.17508955304666</v>
      </c>
    </row>
    <row r="228" spans="1:17" x14ac:dyDescent="0.15">
      <c r="A228" s="10">
        <v>45871.5625</v>
      </c>
      <c r="B228">
        <f>COUNT(A228:$A$1158)/(48*252)</f>
        <v>7.6967592592592587E-2</v>
      </c>
      <c r="C228">
        <v>2.1800000000000002</v>
      </c>
      <c r="D228">
        <v>0.08</v>
      </c>
      <c r="E228">
        <f t="shared" si="36"/>
        <v>1.121988111570821</v>
      </c>
      <c r="F228">
        <f t="shared" si="37"/>
        <v>-0.13093374735308194</v>
      </c>
      <c r="G228">
        <f t="shared" si="40"/>
        <v>-2.9999999999996696E-3</v>
      </c>
      <c r="H228">
        <f>IF(MOD(COUNTA($C$7:C228)-1,$J$2),H227,ROUND(F228*P228,-2))</f>
        <v>-1300</v>
      </c>
      <c r="I228">
        <f t="shared" si="41"/>
        <v>0</v>
      </c>
      <c r="J228">
        <f t="shared" si="42"/>
        <v>0</v>
      </c>
      <c r="K228">
        <f t="shared" si="43"/>
        <v>3150.3918145978701</v>
      </c>
      <c r="L228">
        <f t="shared" si="44"/>
        <v>316.39181459787005</v>
      </c>
      <c r="M228">
        <f t="shared" si="45"/>
        <v>3.8999999999996362</v>
      </c>
      <c r="N228">
        <f t="shared" si="47"/>
        <v>316.39181459787005</v>
      </c>
      <c r="O228" s="5">
        <f t="shared" si="38"/>
        <v>2.4568906233436105E-2</v>
      </c>
      <c r="P228">
        <f t="shared" si="46"/>
        <v>10000</v>
      </c>
      <c r="Q228">
        <f t="shared" si="39"/>
        <v>245.68906233436104</v>
      </c>
    </row>
    <row r="229" spans="1:17" x14ac:dyDescent="0.15">
      <c r="A229" s="10">
        <v>45871.565972222015</v>
      </c>
      <c r="B229">
        <f>COUNT(A229:$A$1158)/(48*252)</f>
        <v>7.6884920634920639E-2</v>
      </c>
      <c r="C229">
        <v>2.177</v>
      </c>
      <c r="D229">
        <v>7.9000000000000001E-2</v>
      </c>
      <c r="E229">
        <f t="shared" si="36"/>
        <v>1.1138632197612661</v>
      </c>
      <c r="F229">
        <f t="shared" si="37"/>
        <v>-0.13266893518701062</v>
      </c>
      <c r="G229">
        <f t="shared" si="40"/>
        <v>-3.0000000000001137E-3</v>
      </c>
      <c r="H229">
        <f>IF(MOD(COUNTA($C$7:C229)-1,$J$2),H228,ROUND(F229*P229,-2))</f>
        <v>-1300</v>
      </c>
      <c r="I229">
        <f t="shared" si="41"/>
        <v>0</v>
      </c>
      <c r="J229">
        <f t="shared" si="42"/>
        <v>0</v>
      </c>
      <c r="K229">
        <f t="shared" si="43"/>
        <v>3150.3918145978701</v>
      </c>
      <c r="L229">
        <f t="shared" si="44"/>
        <v>320.29181459787014</v>
      </c>
      <c r="M229">
        <f t="shared" si="45"/>
        <v>3.9000000000000909</v>
      </c>
      <c r="N229">
        <f t="shared" si="47"/>
        <v>320.29181459787014</v>
      </c>
      <c r="O229" s="5">
        <f t="shared" si="38"/>
        <v>2.4925159656226659E-2</v>
      </c>
      <c r="P229">
        <f t="shared" si="46"/>
        <v>10000</v>
      </c>
      <c r="Q229">
        <f t="shared" si="39"/>
        <v>249.2515965622666</v>
      </c>
    </row>
    <row r="230" spans="1:17" x14ac:dyDescent="0.15">
      <c r="A230" s="10">
        <v>45871.569444444962</v>
      </c>
      <c r="B230">
        <f>COUNT(A230:$A$1158)/(48*252)</f>
        <v>7.6802248677248677E-2</v>
      </c>
      <c r="C230">
        <v>2.1800000000000002</v>
      </c>
      <c r="D230">
        <v>7.9000000000000001E-2</v>
      </c>
      <c r="E230">
        <f t="shared" si="36"/>
        <v>1.1229923683415983</v>
      </c>
      <c r="F230">
        <f t="shared" si="37"/>
        <v>-0.13072036784174323</v>
      </c>
      <c r="G230">
        <f t="shared" si="40"/>
        <v>3.0000000000001137E-3</v>
      </c>
      <c r="H230">
        <f>IF(MOD(COUNTA($C$7:C230)-1,$J$2),H229,ROUND(F230*P230,-2))</f>
        <v>-1300</v>
      </c>
      <c r="I230">
        <f t="shared" si="41"/>
        <v>0</v>
      </c>
      <c r="J230">
        <f t="shared" si="42"/>
        <v>0</v>
      </c>
      <c r="K230">
        <f t="shared" si="43"/>
        <v>3150.3918145978701</v>
      </c>
      <c r="L230">
        <f t="shared" si="44"/>
        <v>316.39181459787005</v>
      </c>
      <c r="M230">
        <f t="shared" si="45"/>
        <v>-3.9000000000000909</v>
      </c>
      <c r="N230">
        <f t="shared" si="47"/>
        <v>316.39181459787005</v>
      </c>
      <c r="O230" s="5">
        <f t="shared" si="38"/>
        <v>2.4490935426672467E-2</v>
      </c>
      <c r="P230">
        <f t="shared" si="46"/>
        <v>10000</v>
      </c>
      <c r="Q230">
        <f t="shared" si="39"/>
        <v>244.90935426672468</v>
      </c>
    </row>
    <row r="231" spans="1:17" x14ac:dyDescent="0.15">
      <c r="A231" s="10">
        <v>45871.572916666977</v>
      </c>
      <c r="B231">
        <f>COUNT(A231:$A$1158)/(48*252)</f>
        <v>7.6719576719576715E-2</v>
      </c>
      <c r="C231">
        <v>2.181</v>
      </c>
      <c r="D231">
        <v>7.9000000000000001E-2</v>
      </c>
      <c r="E231">
        <f t="shared" si="36"/>
        <v>1.1263717812120777</v>
      </c>
      <c r="F231">
        <f t="shared" si="37"/>
        <v>-0.13000409298271598</v>
      </c>
      <c r="G231">
        <f t="shared" si="40"/>
        <v>9.9999999999988987E-4</v>
      </c>
      <c r="H231">
        <f>IF(MOD(COUNTA($C$7:C231)-1,$J$2),H230,ROUND(F231*P231,-2))</f>
        <v>-1300</v>
      </c>
      <c r="I231">
        <f t="shared" si="41"/>
        <v>0</v>
      </c>
      <c r="J231">
        <f t="shared" si="42"/>
        <v>0</v>
      </c>
      <c r="K231">
        <f t="shared" si="43"/>
        <v>3150.3918145978701</v>
      </c>
      <c r="L231">
        <f t="shared" si="44"/>
        <v>315.09181459786987</v>
      </c>
      <c r="M231">
        <f t="shared" si="45"/>
        <v>-1.3000000000001819</v>
      </c>
      <c r="N231">
        <f t="shared" si="47"/>
        <v>315.09181459786987</v>
      </c>
      <c r="O231" s="5">
        <f t="shared" si="38"/>
        <v>2.432164198310921E-2</v>
      </c>
      <c r="P231">
        <f t="shared" si="46"/>
        <v>10000</v>
      </c>
      <c r="Q231">
        <f t="shared" si="39"/>
        <v>243.21641983109211</v>
      </c>
    </row>
    <row r="232" spans="1:17" x14ac:dyDescent="0.15">
      <c r="A232" s="10">
        <v>45871.576388888992</v>
      </c>
      <c r="B232">
        <f>COUNT(A232:$A$1158)/(48*252)</f>
        <v>7.6636904761904767E-2</v>
      </c>
      <c r="C232">
        <v>2.1859999999999999</v>
      </c>
      <c r="D232">
        <v>8.1000000000000003E-2</v>
      </c>
      <c r="E232">
        <f t="shared" si="36"/>
        <v>1.1412455485074919</v>
      </c>
      <c r="F232">
        <f t="shared" si="37"/>
        <v>-0.12688387729077</v>
      </c>
      <c r="G232">
        <f t="shared" si="40"/>
        <v>4.9999999999998934E-3</v>
      </c>
      <c r="H232">
        <f>IF(MOD(COUNTA($C$7:C232)-1,$J$2),H231,ROUND(F232*P232,-2))</f>
        <v>-1300</v>
      </c>
      <c r="I232">
        <f t="shared" si="41"/>
        <v>0</v>
      </c>
      <c r="J232">
        <f t="shared" si="42"/>
        <v>0</v>
      </c>
      <c r="K232">
        <f t="shared" si="43"/>
        <v>3150.3918145978701</v>
      </c>
      <c r="L232">
        <f t="shared" si="44"/>
        <v>308.59181459787033</v>
      </c>
      <c r="M232">
        <f t="shared" si="45"/>
        <v>-6.4999999999995453</v>
      </c>
      <c r="N232">
        <f t="shared" si="47"/>
        <v>308.59181459787033</v>
      </c>
      <c r="O232" s="5">
        <f t="shared" si="38"/>
        <v>2.3640835405200011E-2</v>
      </c>
      <c r="P232">
        <f t="shared" si="46"/>
        <v>10000</v>
      </c>
      <c r="Q232">
        <f t="shared" si="39"/>
        <v>236.40835405200011</v>
      </c>
    </row>
    <row r="233" spans="1:17" x14ac:dyDescent="0.15">
      <c r="A233" s="10">
        <v>45871.579861111008</v>
      </c>
      <c r="B233">
        <f>COUNT(A233:$A$1158)/(48*252)</f>
        <v>7.6554232804232805E-2</v>
      </c>
      <c r="C233">
        <v>2.1859999999999999</v>
      </c>
      <c r="D233">
        <v>0.08</v>
      </c>
      <c r="E233">
        <f t="shared" si="36"/>
        <v>1.1417600256912261</v>
      </c>
      <c r="F233">
        <f t="shared" si="37"/>
        <v>-0.12677689124939995</v>
      </c>
      <c r="G233">
        <f t="shared" si="40"/>
        <v>0</v>
      </c>
      <c r="H233">
        <f>IF(MOD(COUNTA($C$7:C233)-1,$J$2),H232,ROUND(F233*P233,-2))</f>
        <v>-1300</v>
      </c>
      <c r="I233">
        <f t="shared" si="41"/>
        <v>0</v>
      </c>
      <c r="J233">
        <f t="shared" si="42"/>
        <v>0</v>
      </c>
      <c r="K233">
        <f t="shared" si="43"/>
        <v>3150.3918145978701</v>
      </c>
      <c r="L233">
        <f t="shared" si="44"/>
        <v>308.59181459787033</v>
      </c>
      <c r="M233">
        <f t="shared" si="45"/>
        <v>0</v>
      </c>
      <c r="N233">
        <f t="shared" si="47"/>
        <v>308.59181459787033</v>
      </c>
      <c r="O233" s="5">
        <f t="shared" si="38"/>
        <v>2.3602493773631827E-2</v>
      </c>
      <c r="P233">
        <f t="shared" si="46"/>
        <v>10000</v>
      </c>
      <c r="Q233">
        <f t="shared" si="39"/>
        <v>236.02493773631826</v>
      </c>
    </row>
    <row r="234" spans="1:17" x14ac:dyDescent="0.15">
      <c r="A234" s="10">
        <v>45871.583333333023</v>
      </c>
      <c r="B234">
        <f>COUNT(A234:$A$1158)/(48*252)</f>
        <v>7.6471560846560843E-2</v>
      </c>
      <c r="C234">
        <v>2.1829999999999998</v>
      </c>
      <c r="D234">
        <v>7.9000000000000001E-2</v>
      </c>
      <c r="E234">
        <f t="shared" si="36"/>
        <v>1.1336492780965914</v>
      </c>
      <c r="F234">
        <f t="shared" si="37"/>
        <v>-0.12847084684290999</v>
      </c>
      <c r="G234">
        <f t="shared" si="40"/>
        <v>-3.0000000000001137E-3</v>
      </c>
      <c r="H234">
        <f>IF(MOD(COUNTA($C$7:C234)-1,$J$2),H233,ROUND(F234*P234,-2))</f>
        <v>-1300</v>
      </c>
      <c r="I234">
        <f t="shared" si="41"/>
        <v>0</v>
      </c>
      <c r="J234">
        <f t="shared" si="42"/>
        <v>0</v>
      </c>
      <c r="K234">
        <f t="shared" si="43"/>
        <v>3150.3918145978701</v>
      </c>
      <c r="L234">
        <f t="shared" si="44"/>
        <v>312.49181459787042</v>
      </c>
      <c r="M234">
        <f t="shared" si="45"/>
        <v>3.9000000000000909</v>
      </c>
      <c r="N234">
        <f t="shared" si="47"/>
        <v>312.49181459787042</v>
      </c>
      <c r="O234" s="5">
        <f t="shared" si="38"/>
        <v>2.394685924824641E-2</v>
      </c>
      <c r="P234">
        <f t="shared" si="46"/>
        <v>10000</v>
      </c>
      <c r="Q234">
        <f t="shared" si="39"/>
        <v>239.46859248246412</v>
      </c>
    </row>
    <row r="235" spans="1:17" x14ac:dyDescent="0.15">
      <c r="A235" s="10">
        <v>45871.586805555969</v>
      </c>
      <c r="B235">
        <f>COUNT(A235:$A$1158)/(48*252)</f>
        <v>7.6388888888888895E-2</v>
      </c>
      <c r="C235">
        <v>2.1819999999999999</v>
      </c>
      <c r="D235">
        <v>7.9000000000000001E-2</v>
      </c>
      <c r="E235">
        <f t="shared" si="36"/>
        <v>1.1312813063593412</v>
      </c>
      <c r="F235">
        <f t="shared" si="37"/>
        <v>-0.12896835491132752</v>
      </c>
      <c r="G235">
        <f t="shared" si="40"/>
        <v>-9.9999999999988987E-4</v>
      </c>
      <c r="H235">
        <f>IF(MOD(COUNTA($C$7:C235)-1,$J$2),H234,ROUND(F235*P235,-2))</f>
        <v>-1300</v>
      </c>
      <c r="I235">
        <f t="shared" si="41"/>
        <v>0</v>
      </c>
      <c r="J235">
        <f t="shared" si="42"/>
        <v>0</v>
      </c>
      <c r="K235">
        <f t="shared" si="43"/>
        <v>3150.3918145978701</v>
      </c>
      <c r="L235">
        <f t="shared" si="44"/>
        <v>313.79181459787014</v>
      </c>
      <c r="M235">
        <f t="shared" si="45"/>
        <v>1.2999999999997272</v>
      </c>
      <c r="N235">
        <f t="shared" si="47"/>
        <v>313.79181459787014</v>
      </c>
      <c r="O235" s="5">
        <f t="shared" si="38"/>
        <v>2.4036863986922119E-2</v>
      </c>
      <c r="P235">
        <f t="shared" si="46"/>
        <v>10000</v>
      </c>
      <c r="Q235">
        <f t="shared" si="39"/>
        <v>240.3686398692212</v>
      </c>
    </row>
    <row r="236" spans="1:17" x14ac:dyDescent="0.15">
      <c r="A236" s="10">
        <v>45871.590277777985</v>
      </c>
      <c r="B236">
        <f>COUNT(A236:$A$1158)/(48*252)</f>
        <v>7.6306216931216933E-2</v>
      </c>
      <c r="C236">
        <v>2.1869999999999998</v>
      </c>
      <c r="D236">
        <v>0.08</v>
      </c>
      <c r="E236">
        <f t="shared" si="36"/>
        <v>1.1461846521606907</v>
      </c>
      <c r="F236">
        <f t="shared" si="37"/>
        <v>-0.12585937847519546</v>
      </c>
      <c r="G236">
        <f t="shared" si="40"/>
        <v>4.9999999999998934E-3</v>
      </c>
      <c r="H236">
        <f>IF(MOD(COUNTA($C$7:C236)-1,$J$2),H235,ROUND(F236*P236,-2))</f>
        <v>-1300</v>
      </c>
      <c r="I236">
        <f t="shared" si="41"/>
        <v>0</v>
      </c>
      <c r="J236">
        <f t="shared" si="42"/>
        <v>0</v>
      </c>
      <c r="K236">
        <f t="shared" si="43"/>
        <v>3150.3918145978701</v>
      </c>
      <c r="L236">
        <f t="shared" si="44"/>
        <v>307.29181459787014</v>
      </c>
      <c r="M236">
        <f t="shared" si="45"/>
        <v>-6.5</v>
      </c>
      <c r="N236">
        <f t="shared" si="47"/>
        <v>307.29181459787014</v>
      </c>
      <c r="O236" s="5">
        <f t="shared" si="38"/>
        <v>2.3361319076462661E-2</v>
      </c>
      <c r="P236">
        <f t="shared" si="46"/>
        <v>10000</v>
      </c>
      <c r="Q236">
        <f t="shared" si="39"/>
        <v>233.61319076462661</v>
      </c>
    </row>
    <row r="237" spans="1:17" x14ac:dyDescent="0.15">
      <c r="A237" s="10">
        <v>45871.59375</v>
      </c>
      <c r="B237">
        <f>COUNT(A237:$A$1158)/(48*252)</f>
        <v>7.6223544973544971E-2</v>
      </c>
      <c r="C237">
        <v>2.1869999999999998</v>
      </c>
      <c r="D237">
        <v>0.08</v>
      </c>
      <c r="E237">
        <f t="shared" si="36"/>
        <v>1.1467042589574605</v>
      </c>
      <c r="F237">
        <f t="shared" si="37"/>
        <v>-0.12575193483949754</v>
      </c>
      <c r="G237">
        <f t="shared" si="40"/>
        <v>0</v>
      </c>
      <c r="H237">
        <f>IF(MOD(COUNTA($C$7:C237)-1,$J$2),H236,ROUND(F237*P237,-2))</f>
        <v>-1300</v>
      </c>
      <c r="I237">
        <f t="shared" si="41"/>
        <v>0</v>
      </c>
      <c r="J237">
        <f t="shared" si="42"/>
        <v>0</v>
      </c>
      <c r="K237">
        <f t="shared" si="43"/>
        <v>3150.3918145978701</v>
      </c>
      <c r="L237">
        <f t="shared" si="44"/>
        <v>307.29181459787014</v>
      </c>
      <c r="M237">
        <f t="shared" si="45"/>
        <v>0</v>
      </c>
      <c r="N237">
        <f t="shared" si="47"/>
        <v>307.29181459787014</v>
      </c>
      <c r="O237" s="5">
        <f t="shared" si="38"/>
        <v>2.3323089860507962E-2</v>
      </c>
      <c r="P237">
        <f t="shared" si="46"/>
        <v>10000</v>
      </c>
      <c r="Q237">
        <f t="shared" si="39"/>
        <v>233.23089860507963</v>
      </c>
    </row>
    <row r="238" spans="1:17" x14ac:dyDescent="0.15">
      <c r="A238" s="10">
        <v>45871.597222222015</v>
      </c>
      <c r="B238">
        <f>COUNT(A238:$A$1158)/(48*252)</f>
        <v>7.6140873015873009E-2</v>
      </c>
      <c r="C238">
        <v>2.1840000000000002</v>
      </c>
      <c r="D238">
        <v>7.9000000000000001E-2</v>
      </c>
      <c r="E238">
        <f t="shared" si="36"/>
        <v>1.1385838970797713</v>
      </c>
      <c r="F238">
        <f t="shared" si="37"/>
        <v>-0.12743837396787672</v>
      </c>
      <c r="G238">
        <f t="shared" si="40"/>
        <v>-2.9999999999996696E-3</v>
      </c>
      <c r="H238">
        <f>IF(MOD(COUNTA($C$7:C238)-1,$J$2),H237,ROUND(F238*P238,-2))</f>
        <v>-1300</v>
      </c>
      <c r="I238">
        <f t="shared" si="41"/>
        <v>0</v>
      </c>
      <c r="J238">
        <f t="shared" si="42"/>
        <v>0</v>
      </c>
      <c r="K238">
        <f t="shared" si="43"/>
        <v>3150.3918145978701</v>
      </c>
      <c r="L238">
        <f t="shared" si="44"/>
        <v>311.19181459786978</v>
      </c>
      <c r="M238">
        <f t="shared" si="45"/>
        <v>3.8999999999996362</v>
      </c>
      <c r="N238">
        <f t="shared" si="47"/>
        <v>311.19181459786978</v>
      </c>
      <c r="O238" s="5">
        <f t="shared" si="38"/>
        <v>2.3664481142531835E-2</v>
      </c>
      <c r="P238">
        <f t="shared" si="46"/>
        <v>10000</v>
      </c>
      <c r="Q238">
        <f t="shared" si="39"/>
        <v>236.64481142531835</v>
      </c>
    </row>
    <row r="239" spans="1:17" x14ac:dyDescent="0.15">
      <c r="A239" s="10">
        <v>45871.600694444962</v>
      </c>
      <c r="B239">
        <f>COUNT(A239:$A$1158)/(48*252)</f>
        <v>7.6058201058201061E-2</v>
      </c>
      <c r="C239">
        <v>2.1819999999999999</v>
      </c>
      <c r="D239">
        <v>7.8E-2</v>
      </c>
      <c r="E239">
        <f t="shared" si="36"/>
        <v>1.1333303040318603</v>
      </c>
      <c r="F239">
        <f t="shared" si="37"/>
        <v>-0.12853778517054826</v>
      </c>
      <c r="G239">
        <f t="shared" si="40"/>
        <v>-2.0000000000002238E-3</v>
      </c>
      <c r="H239">
        <f>IF(MOD(COUNTA($C$7:C239)-1,$J$2),H238,ROUND(F239*P239,-2))</f>
        <v>-1300</v>
      </c>
      <c r="I239">
        <f t="shared" si="41"/>
        <v>0</v>
      </c>
      <c r="J239">
        <f t="shared" si="42"/>
        <v>0</v>
      </c>
      <c r="K239">
        <f t="shared" si="43"/>
        <v>3150.3918145978701</v>
      </c>
      <c r="L239">
        <f t="shared" si="44"/>
        <v>313.79181459787014</v>
      </c>
      <c r="M239">
        <f t="shared" si="45"/>
        <v>2.6000000000003638</v>
      </c>
      <c r="N239">
        <f t="shared" si="47"/>
        <v>313.79181459787014</v>
      </c>
      <c r="O239" s="5">
        <f t="shared" si="38"/>
        <v>2.3881798484115202E-2</v>
      </c>
      <c r="P239">
        <f t="shared" si="46"/>
        <v>10000</v>
      </c>
      <c r="Q239">
        <f t="shared" si="39"/>
        <v>238.81798484115203</v>
      </c>
    </row>
    <row r="240" spans="1:17" x14ac:dyDescent="0.15">
      <c r="A240" s="10">
        <v>45871.604166666977</v>
      </c>
      <c r="B240">
        <f>COUNT(A240:$A$1158)/(48*252)</f>
        <v>7.5975529100529099E-2</v>
      </c>
      <c r="C240">
        <v>2.1789999999999998</v>
      </c>
      <c r="D240">
        <v>7.5999999999999998E-2</v>
      </c>
      <c r="E240">
        <f t="shared" si="36"/>
        <v>1.1251746781854932</v>
      </c>
      <c r="F240">
        <f t="shared" si="37"/>
        <v>-0.13025751054522106</v>
      </c>
      <c r="G240">
        <f t="shared" si="40"/>
        <v>-3.0000000000001137E-3</v>
      </c>
      <c r="H240">
        <f>IF(MOD(COUNTA($C$7:C240)-1,$J$2),H239,ROUND(F240*P240,-2))</f>
        <v>-1300</v>
      </c>
      <c r="I240">
        <f t="shared" si="41"/>
        <v>0</v>
      </c>
      <c r="J240">
        <f t="shared" si="42"/>
        <v>0</v>
      </c>
      <c r="K240">
        <f t="shared" si="43"/>
        <v>3150.3918145978701</v>
      </c>
      <c r="L240">
        <f t="shared" si="44"/>
        <v>317.69181459787023</v>
      </c>
      <c r="M240">
        <f t="shared" si="45"/>
        <v>3.9000000000000909</v>
      </c>
      <c r="N240">
        <f t="shared" si="47"/>
        <v>317.69181459787023</v>
      </c>
      <c r="O240" s="5">
        <f t="shared" si="38"/>
        <v>2.4231060114371761E-2</v>
      </c>
      <c r="P240">
        <f t="shared" si="46"/>
        <v>10000</v>
      </c>
      <c r="Q240">
        <f t="shared" si="39"/>
        <v>242.31060114371761</v>
      </c>
    </row>
    <row r="241" spans="1:17" x14ac:dyDescent="0.15">
      <c r="A241" s="10">
        <v>45871.607638888992</v>
      </c>
      <c r="B241">
        <f>COUNT(A241:$A$1158)/(48*252)</f>
        <v>7.5892857142857137E-2</v>
      </c>
      <c r="C241">
        <v>2.181</v>
      </c>
      <c r="D241">
        <v>7.5999999999999998E-2</v>
      </c>
      <c r="E241">
        <f t="shared" si="36"/>
        <v>1.1314698719364549</v>
      </c>
      <c r="F241">
        <f t="shared" si="37"/>
        <v>-0.1289286886121116</v>
      </c>
      <c r="G241">
        <f t="shared" si="40"/>
        <v>2.0000000000002238E-3</v>
      </c>
      <c r="H241">
        <f>IF(MOD(COUNTA($C$7:C241)-1,$J$2),H240,ROUND(F241*P241,-2))</f>
        <v>-1300</v>
      </c>
      <c r="I241">
        <f t="shared" si="41"/>
        <v>0</v>
      </c>
      <c r="J241">
        <f t="shared" si="42"/>
        <v>0</v>
      </c>
      <c r="K241">
        <f t="shared" si="43"/>
        <v>3150.3918145978701</v>
      </c>
      <c r="L241">
        <f t="shared" si="44"/>
        <v>315.09181459786987</v>
      </c>
      <c r="M241">
        <f t="shared" si="45"/>
        <v>-2.6000000000003638</v>
      </c>
      <c r="N241">
        <f t="shared" si="47"/>
        <v>315.09181459786987</v>
      </c>
      <c r="O241" s="5">
        <f t="shared" si="38"/>
        <v>2.393289584802194E-2</v>
      </c>
      <c r="P241">
        <f t="shared" si="46"/>
        <v>10000</v>
      </c>
      <c r="Q241">
        <f t="shared" si="39"/>
        <v>239.3289584802194</v>
      </c>
    </row>
    <row r="242" spans="1:17" x14ac:dyDescent="0.15">
      <c r="A242" s="10">
        <v>45871.611111111008</v>
      </c>
      <c r="B242">
        <f>COUNT(A242:$A$1158)/(48*252)</f>
        <v>7.5810185185185189E-2</v>
      </c>
      <c r="C242">
        <v>2.181</v>
      </c>
      <c r="D242">
        <v>7.6999999999999999E-2</v>
      </c>
      <c r="E242">
        <f t="shared" si="36"/>
        <v>1.1319845677714762</v>
      </c>
      <c r="F242">
        <f t="shared" si="37"/>
        <v>-0.12882046123751412</v>
      </c>
      <c r="G242">
        <f t="shared" si="40"/>
        <v>0</v>
      </c>
      <c r="H242">
        <f>IF(MOD(COUNTA($C$7:C242)-1,$J$2),H241,ROUND(F242*P242,-2))</f>
        <v>-1300</v>
      </c>
      <c r="I242">
        <f t="shared" si="41"/>
        <v>0</v>
      </c>
      <c r="J242">
        <f t="shared" si="42"/>
        <v>0</v>
      </c>
      <c r="K242">
        <f t="shared" si="43"/>
        <v>3150.3918145978701</v>
      </c>
      <c r="L242">
        <f t="shared" si="44"/>
        <v>315.09181459786987</v>
      </c>
      <c r="M242">
        <f t="shared" si="45"/>
        <v>0</v>
      </c>
      <c r="N242">
        <f t="shared" si="47"/>
        <v>315.09181459786987</v>
      </c>
      <c r="O242" s="5">
        <f t="shared" si="38"/>
        <v>2.389402516158512E-2</v>
      </c>
      <c r="P242">
        <f t="shared" si="46"/>
        <v>10000</v>
      </c>
      <c r="Q242">
        <f t="shared" si="39"/>
        <v>238.9402516158512</v>
      </c>
    </row>
    <row r="243" spans="1:17" x14ac:dyDescent="0.15">
      <c r="A243" s="10">
        <v>45871.614583333023</v>
      </c>
      <c r="B243">
        <f>COUNT(A243:$A$1158)/(48*252)</f>
        <v>7.5727513227513227E-2</v>
      </c>
      <c r="C243">
        <v>2.1819999999999999</v>
      </c>
      <c r="D243">
        <v>7.6999999999999999E-2</v>
      </c>
      <c r="E243">
        <f t="shared" si="36"/>
        <v>1.135393597557727</v>
      </c>
      <c r="F243">
        <f t="shared" si="37"/>
        <v>-0.12810522052529827</v>
      </c>
      <c r="G243">
        <f t="shared" si="40"/>
        <v>9.9999999999988987E-4</v>
      </c>
      <c r="H243">
        <f>IF(MOD(COUNTA($C$7:C243)-1,$J$2),H242,ROUND(F243*P243,-2))</f>
        <v>-1300</v>
      </c>
      <c r="I243">
        <f t="shared" si="41"/>
        <v>0</v>
      </c>
      <c r="J243">
        <f t="shared" si="42"/>
        <v>0</v>
      </c>
      <c r="K243">
        <f t="shared" si="43"/>
        <v>3150.3918145978701</v>
      </c>
      <c r="L243">
        <f t="shared" si="44"/>
        <v>313.79181459787014</v>
      </c>
      <c r="M243">
        <f t="shared" si="45"/>
        <v>-1.2999999999997272</v>
      </c>
      <c r="N243">
        <f t="shared" si="47"/>
        <v>313.79181459787014</v>
      </c>
      <c r="O243" s="5">
        <f t="shared" si="38"/>
        <v>2.3726746818778677E-2</v>
      </c>
      <c r="P243">
        <f t="shared" si="46"/>
        <v>10000</v>
      </c>
      <c r="Q243">
        <f t="shared" si="39"/>
        <v>237.26746818778676</v>
      </c>
    </row>
    <row r="244" spans="1:17" x14ac:dyDescent="0.15">
      <c r="A244" s="10">
        <v>45871.618055555969</v>
      </c>
      <c r="B244">
        <f>COUNT(A244:$A$1158)/(48*252)</f>
        <v>7.5644841269841265E-2</v>
      </c>
      <c r="C244">
        <v>2.1840000000000002</v>
      </c>
      <c r="D244">
        <v>7.8E-2</v>
      </c>
      <c r="E244">
        <f t="shared" si="36"/>
        <v>1.1416977276321867</v>
      </c>
      <c r="F244">
        <f t="shared" si="37"/>
        <v>-0.12678984284927752</v>
      </c>
      <c r="G244">
        <f t="shared" si="40"/>
        <v>2.0000000000002238E-3</v>
      </c>
      <c r="H244">
        <f>IF(MOD(COUNTA($C$7:C244)-1,$J$2),H243,ROUND(F244*P244,-2))</f>
        <v>-1300</v>
      </c>
      <c r="I244">
        <f t="shared" si="41"/>
        <v>0</v>
      </c>
      <c r="J244">
        <f t="shared" si="42"/>
        <v>0</v>
      </c>
      <c r="K244">
        <f t="shared" si="43"/>
        <v>3150.3918145978701</v>
      </c>
      <c r="L244">
        <f t="shared" si="44"/>
        <v>311.19181459786978</v>
      </c>
      <c r="M244">
        <f t="shared" si="45"/>
        <v>-2.6000000000003638</v>
      </c>
      <c r="N244">
        <f t="shared" si="47"/>
        <v>311.19181459786978</v>
      </c>
      <c r="O244" s="5">
        <f t="shared" si="38"/>
        <v>2.3433201164138051E-2</v>
      </c>
      <c r="P244">
        <f t="shared" si="46"/>
        <v>10000</v>
      </c>
      <c r="Q244">
        <f t="shared" si="39"/>
        <v>234.33201164138052</v>
      </c>
    </row>
    <row r="245" spans="1:17" x14ac:dyDescent="0.15">
      <c r="A245" s="10">
        <v>45871.621527777985</v>
      </c>
      <c r="B245">
        <f>COUNT(A245:$A$1158)/(48*252)</f>
        <v>7.5562169312169317E-2</v>
      </c>
      <c r="C245">
        <v>2.1840000000000002</v>
      </c>
      <c r="D245">
        <v>7.8E-2</v>
      </c>
      <c r="E245">
        <f t="shared" si="36"/>
        <v>1.1422198735249129</v>
      </c>
      <c r="F245">
        <f t="shared" si="37"/>
        <v>-0.12668131860951759</v>
      </c>
      <c r="G245">
        <f t="shared" si="40"/>
        <v>0</v>
      </c>
      <c r="H245">
        <f>IF(MOD(COUNTA($C$7:C245)-1,$J$2),H244,ROUND(F245*P245,-2))</f>
        <v>-1300</v>
      </c>
      <c r="I245">
        <f t="shared" si="41"/>
        <v>0</v>
      </c>
      <c r="J245">
        <f t="shared" si="42"/>
        <v>0</v>
      </c>
      <c r="K245">
        <f t="shared" si="43"/>
        <v>3150.3918145978701</v>
      </c>
      <c r="L245">
        <f t="shared" si="44"/>
        <v>311.19181459786978</v>
      </c>
      <c r="M245">
        <f t="shared" si="45"/>
        <v>0</v>
      </c>
      <c r="N245">
        <f t="shared" si="47"/>
        <v>311.19181459786978</v>
      </c>
      <c r="O245" s="5">
        <f t="shared" si="38"/>
        <v>2.3394658712302008E-2</v>
      </c>
      <c r="P245">
        <f t="shared" si="46"/>
        <v>10000</v>
      </c>
      <c r="Q245">
        <f t="shared" si="39"/>
        <v>233.94658712302007</v>
      </c>
    </row>
    <row r="246" spans="1:17" x14ac:dyDescent="0.15">
      <c r="A246" s="10">
        <v>45871.625</v>
      </c>
      <c r="B246">
        <f>COUNT(A246:$A$1158)/(48*252)</f>
        <v>7.5479497354497355E-2</v>
      </c>
      <c r="C246">
        <v>2.1869999999999998</v>
      </c>
      <c r="D246">
        <v>7.6999999999999999E-2</v>
      </c>
      <c r="E246">
        <f t="shared" si="36"/>
        <v>1.1514215774492977</v>
      </c>
      <c r="F246">
        <f t="shared" si="37"/>
        <v>-0.12477942054914748</v>
      </c>
      <c r="G246">
        <f t="shared" si="40"/>
        <v>2.9999999999996696E-3</v>
      </c>
      <c r="H246">
        <f>IF(MOD(COUNTA($C$7:C246)-1,$J$2),H245,ROUND(F246*P246,-2))</f>
        <v>-1300</v>
      </c>
      <c r="I246">
        <f t="shared" si="41"/>
        <v>0</v>
      </c>
      <c r="J246">
        <f t="shared" si="42"/>
        <v>0</v>
      </c>
      <c r="K246">
        <f t="shared" si="43"/>
        <v>3150.3918145978701</v>
      </c>
      <c r="L246">
        <f t="shared" si="44"/>
        <v>307.29181459787014</v>
      </c>
      <c r="M246">
        <f t="shared" si="45"/>
        <v>-3.8999999999996362</v>
      </c>
      <c r="N246">
        <f t="shared" si="47"/>
        <v>307.29181459787014</v>
      </c>
      <c r="O246" s="5">
        <f t="shared" si="38"/>
        <v>2.2979094479832374E-2</v>
      </c>
      <c r="P246">
        <f t="shared" si="46"/>
        <v>10000</v>
      </c>
      <c r="Q246">
        <f t="shared" si="39"/>
        <v>229.79094479832375</v>
      </c>
    </row>
    <row r="247" spans="1:17" x14ac:dyDescent="0.15">
      <c r="A247" s="10">
        <v>45872.399305555969</v>
      </c>
      <c r="B247">
        <f>COUNT(A247:$A$1158)/(48*252)</f>
        <v>7.5396825396825393E-2</v>
      </c>
      <c r="C247">
        <v>2.177</v>
      </c>
      <c r="D247">
        <v>7.5999999999999998E-2</v>
      </c>
      <c r="E247">
        <f t="shared" si="36"/>
        <v>1.1229591648580823</v>
      </c>
      <c r="F247">
        <f t="shared" si="37"/>
        <v>-0.13072741890890782</v>
      </c>
      <c r="G247">
        <f t="shared" si="40"/>
        <v>-9.9999999999997868E-3</v>
      </c>
      <c r="H247">
        <f>IF(MOD(COUNTA($C$7:C247)-1,$J$2),H246,ROUND(F247*P247,-2))</f>
        <v>-1300</v>
      </c>
      <c r="I247">
        <f t="shared" si="41"/>
        <v>0</v>
      </c>
      <c r="J247">
        <f t="shared" si="42"/>
        <v>0</v>
      </c>
      <c r="K247">
        <f t="shared" si="43"/>
        <v>3150.3918145978701</v>
      </c>
      <c r="L247">
        <f t="shared" si="44"/>
        <v>320.29181459787014</v>
      </c>
      <c r="M247">
        <f t="shared" si="45"/>
        <v>13</v>
      </c>
      <c r="N247">
        <f t="shared" si="47"/>
        <v>320.29181459787014</v>
      </c>
      <c r="O247" s="5">
        <f t="shared" si="38"/>
        <v>2.4217682049681777E-2</v>
      </c>
      <c r="P247">
        <f t="shared" si="46"/>
        <v>10000</v>
      </c>
      <c r="Q247">
        <f t="shared" si="39"/>
        <v>242.17682049681775</v>
      </c>
    </row>
    <row r="248" spans="1:17" x14ac:dyDescent="0.15">
      <c r="A248" s="10">
        <v>45872.402777777985</v>
      </c>
      <c r="B248">
        <f>COUNT(A248:$A$1158)/(48*252)</f>
        <v>7.5314153439153445E-2</v>
      </c>
      <c r="C248">
        <v>2.177</v>
      </c>
      <c r="D248">
        <v>7.5999999999999998E-2</v>
      </c>
      <c r="E248">
        <f t="shared" si="36"/>
        <v>1.1234729163547625</v>
      </c>
      <c r="F248">
        <f t="shared" si="37"/>
        <v>-0.13061834845802822</v>
      </c>
      <c r="G248">
        <f t="shared" si="40"/>
        <v>0</v>
      </c>
      <c r="H248">
        <f>IF(MOD(COUNTA($C$7:C248)-1,$J$2),H247,ROUND(F248*P248,-2))</f>
        <v>-1300</v>
      </c>
      <c r="I248">
        <f t="shared" si="41"/>
        <v>0</v>
      </c>
      <c r="J248">
        <f t="shared" si="42"/>
        <v>0</v>
      </c>
      <c r="K248">
        <f t="shared" si="43"/>
        <v>3150.3918145978701</v>
      </c>
      <c r="L248">
        <f t="shared" si="44"/>
        <v>320.29181459787014</v>
      </c>
      <c r="M248">
        <f t="shared" si="45"/>
        <v>0</v>
      </c>
      <c r="N248">
        <f t="shared" si="47"/>
        <v>320.29181459787014</v>
      </c>
      <c r="O248" s="5">
        <f t="shared" si="38"/>
        <v>2.4178380556934331E-2</v>
      </c>
      <c r="P248">
        <f t="shared" si="46"/>
        <v>10000</v>
      </c>
      <c r="Q248">
        <f t="shared" si="39"/>
        <v>241.78380556934331</v>
      </c>
    </row>
    <row r="249" spans="1:17" x14ac:dyDescent="0.15">
      <c r="A249" s="10">
        <v>45872.40625</v>
      </c>
      <c r="B249">
        <f>COUNT(A249:$A$1158)/(48*252)</f>
        <v>7.5231481481481483E-2</v>
      </c>
      <c r="C249">
        <v>2.181</v>
      </c>
      <c r="D249">
        <v>7.5999999999999998E-2</v>
      </c>
      <c r="E249">
        <f t="shared" si="36"/>
        <v>1.1356127312619182</v>
      </c>
      <c r="F249">
        <f t="shared" si="37"/>
        <v>-0.12805933912493361</v>
      </c>
      <c r="G249">
        <f t="shared" si="40"/>
        <v>4.0000000000000036E-3</v>
      </c>
      <c r="H249">
        <f>IF(MOD(COUNTA($C$7:C249)-1,$J$2),H248,ROUND(F249*P249,-2))</f>
        <v>-1300</v>
      </c>
      <c r="I249">
        <f t="shared" si="41"/>
        <v>0</v>
      </c>
      <c r="J249">
        <f t="shared" si="42"/>
        <v>0</v>
      </c>
      <c r="K249">
        <f t="shared" si="43"/>
        <v>3150.3918145978701</v>
      </c>
      <c r="L249">
        <f t="shared" si="44"/>
        <v>315.09181459786987</v>
      </c>
      <c r="M249">
        <f t="shared" si="45"/>
        <v>-5.2000000000002728</v>
      </c>
      <c r="N249">
        <f t="shared" si="47"/>
        <v>315.09181459786987</v>
      </c>
      <c r="O249" s="5">
        <f t="shared" si="38"/>
        <v>2.3621954780408572E-2</v>
      </c>
      <c r="P249">
        <f t="shared" si="46"/>
        <v>10000</v>
      </c>
      <c r="Q249">
        <f t="shared" si="39"/>
        <v>236.21954780408572</v>
      </c>
    </row>
    <row r="250" spans="1:17" x14ac:dyDescent="0.15">
      <c r="A250" s="10">
        <v>45872.409722222015</v>
      </c>
      <c r="B250">
        <f>COUNT(A250:$A$1158)/(48*252)</f>
        <v>7.5148809523809521E-2</v>
      </c>
      <c r="C250">
        <v>2.181</v>
      </c>
      <c r="D250">
        <v>7.5999999999999998E-2</v>
      </c>
      <c r="E250">
        <f t="shared" si="36"/>
        <v>1.1361346837238777</v>
      </c>
      <c r="F250">
        <f t="shared" si="37"/>
        <v>-0.12795010063806211</v>
      </c>
      <c r="G250">
        <f t="shared" si="40"/>
        <v>0</v>
      </c>
      <c r="H250">
        <f>IF(MOD(COUNTA($C$7:C250)-1,$J$2),H249,ROUND(F250*P250,-2))</f>
        <v>-1300</v>
      </c>
      <c r="I250">
        <f t="shared" si="41"/>
        <v>0</v>
      </c>
      <c r="J250">
        <f t="shared" si="42"/>
        <v>0</v>
      </c>
      <c r="K250">
        <f t="shared" si="43"/>
        <v>3150.3918145978701</v>
      </c>
      <c r="L250">
        <f t="shared" si="44"/>
        <v>315.09181459786987</v>
      </c>
      <c r="M250">
        <f t="shared" si="45"/>
        <v>0</v>
      </c>
      <c r="N250">
        <f t="shared" si="47"/>
        <v>315.09181459786987</v>
      </c>
      <c r="O250" s="5">
        <f t="shared" si="38"/>
        <v>2.3583091395089295E-2</v>
      </c>
      <c r="P250">
        <f t="shared" si="46"/>
        <v>10000</v>
      </c>
      <c r="Q250">
        <f t="shared" si="39"/>
        <v>235.83091395089295</v>
      </c>
    </row>
    <row r="251" spans="1:17" x14ac:dyDescent="0.15">
      <c r="A251" s="10">
        <v>45872.413194444962</v>
      </c>
      <c r="B251">
        <f>COUNT(A251:$A$1158)/(48*252)</f>
        <v>7.5066137566137572E-2</v>
      </c>
      <c r="C251">
        <v>2.1829999999999998</v>
      </c>
      <c r="D251">
        <v>7.6999999999999999E-2</v>
      </c>
      <c r="E251">
        <f t="shared" si="36"/>
        <v>1.142468531263815</v>
      </c>
      <c r="F251">
        <f t="shared" si="37"/>
        <v>-0.12662965964529571</v>
      </c>
      <c r="G251">
        <f t="shared" si="40"/>
        <v>1.9999999999997797E-3</v>
      </c>
      <c r="H251">
        <f>IF(MOD(COUNTA($C$7:C251)-1,$J$2),H250,ROUND(F251*P251,-2))</f>
        <v>-1300</v>
      </c>
      <c r="I251">
        <f t="shared" si="41"/>
        <v>0</v>
      </c>
      <c r="J251">
        <f t="shared" si="42"/>
        <v>0</v>
      </c>
      <c r="K251">
        <f t="shared" si="43"/>
        <v>3150.3918145978701</v>
      </c>
      <c r="L251">
        <f t="shared" si="44"/>
        <v>312.49181459787042</v>
      </c>
      <c r="M251">
        <f t="shared" si="45"/>
        <v>-2.5999999999994543</v>
      </c>
      <c r="N251">
        <f t="shared" si="47"/>
        <v>312.49181459787042</v>
      </c>
      <c r="O251" s="5">
        <f t="shared" si="38"/>
        <v>2.3289760171452567E-2</v>
      </c>
      <c r="P251">
        <f t="shared" si="46"/>
        <v>10000</v>
      </c>
      <c r="Q251">
        <f t="shared" si="39"/>
        <v>232.89760171452568</v>
      </c>
    </row>
    <row r="252" spans="1:17" x14ac:dyDescent="0.15">
      <c r="A252" s="10">
        <v>45872.416666666977</v>
      </c>
      <c r="B252">
        <f>COUNT(A252:$A$1158)/(48*252)</f>
        <v>7.498346560846561E-2</v>
      </c>
      <c r="C252">
        <v>2.1819999999999999</v>
      </c>
      <c r="D252">
        <v>7.8E-2</v>
      </c>
      <c r="E252">
        <f t="shared" si="36"/>
        <v>1.1400891023130055</v>
      </c>
      <c r="F252">
        <f t="shared" si="37"/>
        <v>-0.12712459079954763</v>
      </c>
      <c r="G252">
        <f t="shared" si="40"/>
        <v>-9.9999999999988987E-4</v>
      </c>
      <c r="H252">
        <f>IF(MOD(COUNTA($C$7:C252)-1,$J$2),H251,ROUND(F252*P252,-2))</f>
        <v>-1300</v>
      </c>
      <c r="I252">
        <f t="shared" si="41"/>
        <v>0</v>
      </c>
      <c r="J252">
        <f t="shared" si="42"/>
        <v>0</v>
      </c>
      <c r="K252">
        <f t="shared" si="43"/>
        <v>3150.3918145978701</v>
      </c>
      <c r="L252">
        <f t="shared" si="44"/>
        <v>313.79181459787014</v>
      </c>
      <c r="M252">
        <f t="shared" si="45"/>
        <v>1.2999999999997272</v>
      </c>
      <c r="N252">
        <f t="shared" si="47"/>
        <v>313.79181459787014</v>
      </c>
      <c r="O252" s="5">
        <f t="shared" si="38"/>
        <v>2.3377940029968236E-2</v>
      </c>
      <c r="P252">
        <f t="shared" si="46"/>
        <v>10000</v>
      </c>
      <c r="Q252">
        <f t="shared" si="39"/>
        <v>233.77940029968235</v>
      </c>
    </row>
    <row r="253" spans="1:17" x14ac:dyDescent="0.15">
      <c r="A253" s="10">
        <v>45872.420138888992</v>
      </c>
      <c r="B253">
        <f>COUNT(A253:$A$1158)/(48*252)</f>
        <v>7.4900793650793648E-2</v>
      </c>
      <c r="C253">
        <v>2.1800000000000002</v>
      </c>
      <c r="D253">
        <v>7.4999999999999997E-2</v>
      </c>
      <c r="E253">
        <f t="shared" si="36"/>
        <v>1.1347953678640912</v>
      </c>
      <c r="F253">
        <f t="shared" si="37"/>
        <v>-0.12823053376395832</v>
      </c>
      <c r="G253">
        <f t="shared" si="40"/>
        <v>-1.9999999999997797E-3</v>
      </c>
      <c r="H253">
        <f>IF(MOD(COUNTA($C$7:C253)-1,$J$2),H252,ROUND(F253*P253,-2))</f>
        <v>-1300</v>
      </c>
      <c r="I253">
        <f t="shared" si="41"/>
        <v>0</v>
      </c>
      <c r="J253">
        <f t="shared" si="42"/>
        <v>0</v>
      </c>
      <c r="K253">
        <f t="shared" si="43"/>
        <v>3150.3918145978701</v>
      </c>
      <c r="L253">
        <f t="shared" si="44"/>
        <v>316.39181459787005</v>
      </c>
      <c r="M253">
        <f t="shared" si="45"/>
        <v>2.5999999999999091</v>
      </c>
      <c r="N253">
        <f t="shared" si="47"/>
        <v>316.39181459787005</v>
      </c>
      <c r="O253" s="5">
        <f t="shared" si="38"/>
        <v>2.3594433442610196E-2</v>
      </c>
      <c r="P253">
        <f t="shared" si="46"/>
        <v>10000</v>
      </c>
      <c r="Q253">
        <f t="shared" si="39"/>
        <v>235.94433442610196</v>
      </c>
    </row>
    <row r="254" spans="1:17" x14ac:dyDescent="0.15">
      <c r="A254" s="10">
        <v>45872.423611111008</v>
      </c>
      <c r="B254">
        <f>COUNT(A254:$A$1158)/(48*252)</f>
        <v>7.4818121693121686E-2</v>
      </c>
      <c r="C254">
        <v>2.181</v>
      </c>
      <c r="D254">
        <v>7.5999999999999998E-2</v>
      </c>
      <c r="E254">
        <f t="shared" si="36"/>
        <v>1.1382317038432255</v>
      </c>
      <c r="F254">
        <f t="shared" si="37"/>
        <v>-0.12751187175515288</v>
      </c>
      <c r="G254">
        <f t="shared" si="40"/>
        <v>9.9999999999988987E-4</v>
      </c>
      <c r="H254">
        <f>IF(MOD(COUNTA($C$7:C254)-1,$J$2),H253,ROUND(F254*P254,-2))</f>
        <v>-1300</v>
      </c>
      <c r="I254">
        <f t="shared" si="41"/>
        <v>0</v>
      </c>
      <c r="J254">
        <f t="shared" si="42"/>
        <v>0</v>
      </c>
      <c r="K254">
        <f t="shared" si="43"/>
        <v>3150.3918145978701</v>
      </c>
      <c r="L254">
        <f t="shared" si="44"/>
        <v>315.09181459786987</v>
      </c>
      <c r="M254">
        <f t="shared" si="45"/>
        <v>-1.3000000000001819</v>
      </c>
      <c r="N254">
        <f t="shared" si="47"/>
        <v>315.09181459786987</v>
      </c>
      <c r="O254" s="5">
        <f t="shared" si="38"/>
        <v>2.3427648474737273E-2</v>
      </c>
      <c r="P254">
        <f t="shared" si="46"/>
        <v>10000</v>
      </c>
      <c r="Q254">
        <f t="shared" si="39"/>
        <v>234.27648474737273</v>
      </c>
    </row>
    <row r="255" spans="1:17" x14ac:dyDescent="0.15">
      <c r="A255" s="10">
        <v>45872.427083333023</v>
      </c>
      <c r="B255">
        <f>COUNT(A255:$A$1158)/(48*252)</f>
        <v>7.4735449735449738E-2</v>
      </c>
      <c r="C255">
        <v>2.1819999999999999</v>
      </c>
      <c r="D255">
        <v>7.5999999999999998E-2</v>
      </c>
      <c r="E255">
        <f t="shared" si="36"/>
        <v>1.1416708508680762</v>
      </c>
      <c r="F255">
        <f t="shared" si="37"/>
        <v>-0.12679543074111088</v>
      </c>
      <c r="G255">
        <f t="shared" si="40"/>
        <v>9.9999999999988987E-4</v>
      </c>
      <c r="H255">
        <f>IF(MOD(COUNTA($C$7:C255)-1,$J$2),H254,ROUND(F255*P255,-2))</f>
        <v>-1300</v>
      </c>
      <c r="I255">
        <f t="shared" si="41"/>
        <v>0</v>
      </c>
      <c r="J255">
        <f t="shared" si="42"/>
        <v>0</v>
      </c>
      <c r="K255">
        <f t="shared" si="43"/>
        <v>3150.3918145978701</v>
      </c>
      <c r="L255">
        <f t="shared" si="44"/>
        <v>313.79181459787014</v>
      </c>
      <c r="M255">
        <f t="shared" si="45"/>
        <v>-1.2999999999997272</v>
      </c>
      <c r="N255">
        <f t="shared" si="47"/>
        <v>313.79181459787014</v>
      </c>
      <c r="O255" s="5">
        <f t="shared" si="38"/>
        <v>2.3261692016381896E-2</v>
      </c>
      <c r="P255">
        <f t="shared" si="46"/>
        <v>10000</v>
      </c>
      <c r="Q255">
        <f t="shared" si="39"/>
        <v>232.61692016381897</v>
      </c>
    </row>
    <row r="256" spans="1:17" x14ac:dyDescent="0.15">
      <c r="A256" s="10">
        <v>45872.430555555969</v>
      </c>
      <c r="B256">
        <f>COUNT(A256:$A$1158)/(48*252)</f>
        <v>7.4652777777777776E-2</v>
      </c>
      <c r="C256">
        <v>2.1850000000000001</v>
      </c>
      <c r="D256">
        <v>7.8E-2</v>
      </c>
      <c r="E256">
        <f t="shared" si="36"/>
        <v>1.1509345248266349</v>
      </c>
      <c r="F256">
        <f t="shared" si="37"/>
        <v>-0.1248795864870027</v>
      </c>
      <c r="G256">
        <f t="shared" si="40"/>
        <v>3.0000000000001137E-3</v>
      </c>
      <c r="H256">
        <f>IF(MOD(COUNTA($C$7:C256)-1,$J$2),H255,ROUND(F256*P256,-2))</f>
        <v>-1300</v>
      </c>
      <c r="I256">
        <f t="shared" si="41"/>
        <v>0</v>
      </c>
      <c r="J256">
        <f t="shared" si="42"/>
        <v>0</v>
      </c>
      <c r="K256">
        <f t="shared" si="43"/>
        <v>3150.3918145978701</v>
      </c>
      <c r="L256">
        <f t="shared" si="44"/>
        <v>309.89181459787005</v>
      </c>
      <c r="M256">
        <f t="shared" si="45"/>
        <v>-3.9000000000000909</v>
      </c>
      <c r="N256">
        <f t="shared" si="47"/>
        <v>309.89181459787005</v>
      </c>
      <c r="O256" s="5">
        <f t="shared" si="38"/>
        <v>2.2845602822349487E-2</v>
      </c>
      <c r="P256">
        <f t="shared" si="46"/>
        <v>10000</v>
      </c>
      <c r="Q256">
        <f t="shared" si="39"/>
        <v>228.45602822349485</v>
      </c>
    </row>
    <row r="257" spans="1:17" x14ac:dyDescent="0.15">
      <c r="A257" s="10">
        <v>45872.434027777985</v>
      </c>
      <c r="B257">
        <f>COUNT(A257:$A$1158)/(48*252)</f>
        <v>7.4570105820105814E-2</v>
      </c>
      <c r="C257">
        <v>2.1840000000000002</v>
      </c>
      <c r="D257">
        <v>7.6999999999999999E-2</v>
      </c>
      <c r="E257">
        <f t="shared" si="36"/>
        <v>1.1485576165840832</v>
      </c>
      <c r="F257">
        <f t="shared" si="37"/>
        <v>-0.12536922108445459</v>
      </c>
      <c r="G257">
        <f t="shared" si="40"/>
        <v>-9.9999999999988987E-4</v>
      </c>
      <c r="H257">
        <f>IF(MOD(COUNTA($C$7:C257)-1,$J$2),H256,ROUND(F257*P257,-2))</f>
        <v>-1300</v>
      </c>
      <c r="I257">
        <f t="shared" si="41"/>
        <v>0</v>
      </c>
      <c r="J257">
        <f t="shared" si="42"/>
        <v>0</v>
      </c>
      <c r="K257">
        <f t="shared" si="43"/>
        <v>3150.3918145978701</v>
      </c>
      <c r="L257">
        <f t="shared" si="44"/>
        <v>311.19181459786978</v>
      </c>
      <c r="M257">
        <f t="shared" si="45"/>
        <v>1.2999999999997272</v>
      </c>
      <c r="N257">
        <f t="shared" si="47"/>
        <v>311.19181459786978</v>
      </c>
      <c r="O257" s="5">
        <f t="shared" si="38"/>
        <v>2.2932256753236624E-2</v>
      </c>
      <c r="P257">
        <f t="shared" si="46"/>
        <v>10000</v>
      </c>
      <c r="Q257">
        <f t="shared" si="39"/>
        <v>229.32256753236624</v>
      </c>
    </row>
    <row r="258" spans="1:17" x14ac:dyDescent="0.15">
      <c r="A258" s="10">
        <v>45872.4375</v>
      </c>
      <c r="B258">
        <f>COUNT(A258:$A$1158)/(48*252)</f>
        <v>7.4487433862433866E-2</v>
      </c>
      <c r="C258">
        <v>2.1840000000000002</v>
      </c>
      <c r="D258">
        <v>7.6999999999999999E-2</v>
      </c>
      <c r="E258">
        <f t="shared" si="36"/>
        <v>1.1490918397340883</v>
      </c>
      <c r="F258">
        <f t="shared" si="37"/>
        <v>-0.1252590564440057</v>
      </c>
      <c r="G258">
        <f t="shared" si="40"/>
        <v>0</v>
      </c>
      <c r="H258">
        <f>IF(MOD(COUNTA($C$7:C258)-1,$J$2),H257,ROUND(F258*P258,-2))</f>
        <v>-1300</v>
      </c>
      <c r="I258">
        <f t="shared" si="41"/>
        <v>0</v>
      </c>
      <c r="J258">
        <f t="shared" si="42"/>
        <v>0</v>
      </c>
      <c r="K258">
        <f t="shared" si="43"/>
        <v>3150.3918145978701</v>
      </c>
      <c r="L258">
        <f t="shared" si="44"/>
        <v>311.19181459786978</v>
      </c>
      <c r="M258">
        <f t="shared" si="45"/>
        <v>0</v>
      </c>
      <c r="N258">
        <f t="shared" si="47"/>
        <v>311.19181459786978</v>
      </c>
      <c r="O258" s="5">
        <f t="shared" si="38"/>
        <v>2.2893733065176725E-2</v>
      </c>
      <c r="P258">
        <f t="shared" si="46"/>
        <v>10000</v>
      </c>
      <c r="Q258">
        <f t="shared" si="39"/>
        <v>228.93733065176724</v>
      </c>
    </row>
    <row r="259" spans="1:17" x14ac:dyDescent="0.15">
      <c r="A259" s="10">
        <v>45872.440972222015</v>
      </c>
      <c r="B259">
        <f>COUNT(A259:$A$1158)/(48*252)</f>
        <v>7.4404761904761904E-2</v>
      </c>
      <c r="C259">
        <v>2.1800000000000002</v>
      </c>
      <c r="D259">
        <v>7.4999999999999997E-2</v>
      </c>
      <c r="E259">
        <f t="shared" si="36"/>
        <v>1.137953515668259</v>
      </c>
      <c r="F259">
        <f t="shared" si="37"/>
        <v>-0.12756994655583842</v>
      </c>
      <c r="G259">
        <f t="shared" si="40"/>
        <v>-4.0000000000000036E-3</v>
      </c>
      <c r="H259">
        <f>IF(MOD(COUNTA($C$7:C259)-1,$J$2),H258,ROUND(F259*P259,-2))</f>
        <v>-1300</v>
      </c>
      <c r="I259">
        <f t="shared" si="41"/>
        <v>0</v>
      </c>
      <c r="J259">
        <f t="shared" si="42"/>
        <v>0</v>
      </c>
      <c r="K259">
        <f t="shared" si="43"/>
        <v>3150.3918145978701</v>
      </c>
      <c r="L259">
        <f t="shared" si="44"/>
        <v>316.39181459787005</v>
      </c>
      <c r="M259">
        <f t="shared" si="45"/>
        <v>5.2000000000002728</v>
      </c>
      <c r="N259">
        <f t="shared" si="47"/>
        <v>316.39181459787005</v>
      </c>
      <c r="O259" s="5">
        <f t="shared" si="38"/>
        <v>2.3360636185724815E-2</v>
      </c>
      <c r="P259">
        <f t="shared" si="46"/>
        <v>10000</v>
      </c>
      <c r="Q259">
        <f t="shared" si="39"/>
        <v>233.60636185724815</v>
      </c>
    </row>
    <row r="260" spans="1:17" x14ac:dyDescent="0.15">
      <c r="A260" s="10">
        <v>45872.444444444962</v>
      </c>
      <c r="B260">
        <f>COUNT(A260:$A$1158)/(48*252)</f>
        <v>7.4322089947089942E-2</v>
      </c>
      <c r="C260">
        <v>2.1789999999999998</v>
      </c>
      <c r="D260">
        <v>7.3999999999999996E-2</v>
      </c>
      <c r="E260">
        <f t="shared" si="36"/>
        <v>1.13555980051362</v>
      </c>
      <c r="F260">
        <f t="shared" si="37"/>
        <v>-0.12807042052248852</v>
      </c>
      <c r="G260">
        <f t="shared" si="40"/>
        <v>-1.000000000000334E-3</v>
      </c>
      <c r="H260">
        <f>IF(MOD(COUNTA($C$7:C260)-1,$J$2),H259,ROUND(F260*P260,-2))</f>
        <v>-1300</v>
      </c>
      <c r="I260">
        <f t="shared" si="41"/>
        <v>0</v>
      </c>
      <c r="J260">
        <f t="shared" si="42"/>
        <v>0</v>
      </c>
      <c r="K260">
        <f t="shared" si="43"/>
        <v>3150.3918145978701</v>
      </c>
      <c r="L260">
        <f t="shared" si="44"/>
        <v>317.69181459787023</v>
      </c>
      <c r="M260">
        <f t="shared" si="45"/>
        <v>1.3000000000001819</v>
      </c>
      <c r="N260">
        <f t="shared" si="47"/>
        <v>317.69181459787023</v>
      </c>
      <c r="O260" s="5">
        <f t="shared" si="38"/>
        <v>2.3449438576603088E-2</v>
      </c>
      <c r="P260">
        <f t="shared" si="46"/>
        <v>10000</v>
      </c>
      <c r="Q260">
        <f t="shared" si="39"/>
        <v>234.49438576603089</v>
      </c>
    </row>
    <row r="261" spans="1:17" x14ac:dyDescent="0.15">
      <c r="A261" s="10">
        <v>45872.447916666977</v>
      </c>
      <c r="B261">
        <f>COUNT(A261:$A$1158)/(48*252)</f>
        <v>7.4239417989417994E-2</v>
      </c>
      <c r="C261">
        <v>2.1739999999999999</v>
      </c>
      <c r="D261">
        <v>7.1999999999999995E-2</v>
      </c>
      <c r="E261">
        <f t="shared" si="36"/>
        <v>1.1214437195079909</v>
      </c>
      <c r="F261">
        <f t="shared" si="37"/>
        <v>-0.13104951763083594</v>
      </c>
      <c r="G261">
        <f t="shared" si="40"/>
        <v>-4.9999999999998934E-3</v>
      </c>
      <c r="H261">
        <f>IF(MOD(COUNTA($C$7:C261)-1,$J$2),H260,ROUND(F261*P261,-2))</f>
        <v>-1300</v>
      </c>
      <c r="I261">
        <f t="shared" si="41"/>
        <v>0</v>
      </c>
      <c r="J261">
        <f t="shared" si="42"/>
        <v>0</v>
      </c>
      <c r="K261">
        <f t="shared" si="43"/>
        <v>3150.3918145978701</v>
      </c>
      <c r="L261">
        <f t="shared" si="44"/>
        <v>324.19181459787023</v>
      </c>
      <c r="M261">
        <f t="shared" si="45"/>
        <v>6.5</v>
      </c>
      <c r="N261">
        <f t="shared" si="47"/>
        <v>324.19181459787023</v>
      </c>
      <c r="O261" s="5">
        <f t="shared" si="38"/>
        <v>2.4057865578443638E-2</v>
      </c>
      <c r="P261">
        <f t="shared" si="46"/>
        <v>10000</v>
      </c>
      <c r="Q261">
        <f t="shared" si="39"/>
        <v>240.57865578443639</v>
      </c>
    </row>
    <row r="262" spans="1:17" x14ac:dyDescent="0.15">
      <c r="A262" s="10">
        <v>45872.451388888992</v>
      </c>
      <c r="B262">
        <f>COUNT(A262:$A$1158)/(48*252)</f>
        <v>7.4156746031746032E-2</v>
      </c>
      <c r="C262">
        <v>2.1739999999999999</v>
      </c>
      <c r="D262">
        <v>7.0999999999999994E-2</v>
      </c>
      <c r="E262">
        <f t="shared" si="36"/>
        <v>1.1219654445516547</v>
      </c>
      <c r="F262">
        <f t="shared" si="37"/>
        <v>-0.13093856630514156</v>
      </c>
      <c r="G262">
        <f t="shared" si="40"/>
        <v>0</v>
      </c>
      <c r="H262">
        <f>IF(MOD(COUNTA($C$7:C262)-1,$J$2),H261,ROUND(F262*P262,-2))</f>
        <v>-1300</v>
      </c>
      <c r="I262">
        <f t="shared" si="41"/>
        <v>0</v>
      </c>
      <c r="J262">
        <f t="shared" si="42"/>
        <v>0</v>
      </c>
      <c r="K262">
        <f t="shared" si="43"/>
        <v>3150.3918145978701</v>
      </c>
      <c r="L262">
        <f t="shared" si="44"/>
        <v>324.19181459787023</v>
      </c>
      <c r="M262">
        <f t="shared" si="45"/>
        <v>0</v>
      </c>
      <c r="N262">
        <f t="shared" si="47"/>
        <v>324.19181459787023</v>
      </c>
      <c r="O262" s="5">
        <f t="shared" si="38"/>
        <v>2.4018240332230323E-2</v>
      </c>
      <c r="P262">
        <f t="shared" si="46"/>
        <v>10000</v>
      </c>
      <c r="Q262">
        <f t="shared" si="39"/>
        <v>240.18240332230323</v>
      </c>
    </row>
    <row r="263" spans="1:17" x14ac:dyDescent="0.15">
      <c r="A263" s="10">
        <v>45872.454861111008</v>
      </c>
      <c r="B263">
        <f>COUNT(A263:$A$1158)/(48*252)</f>
        <v>7.407407407407407E-2</v>
      </c>
      <c r="C263">
        <v>2.173</v>
      </c>
      <c r="D263">
        <v>7.0999999999999994E-2</v>
      </c>
      <c r="E263">
        <f t="shared" si="36"/>
        <v>1.1195517820610126</v>
      </c>
      <c r="F263">
        <f t="shared" si="37"/>
        <v>-0.13145240642842326</v>
      </c>
      <c r="G263">
        <f t="shared" si="40"/>
        <v>-9.9999999999988987E-4</v>
      </c>
      <c r="H263">
        <f>IF(MOD(COUNTA($C$7:C263)-1,$J$2),H262,ROUND(F263*P263,-2))</f>
        <v>-1300</v>
      </c>
      <c r="I263">
        <f t="shared" si="41"/>
        <v>0</v>
      </c>
      <c r="J263">
        <f t="shared" si="42"/>
        <v>0</v>
      </c>
      <c r="K263">
        <f t="shared" si="43"/>
        <v>3150.3918145978701</v>
      </c>
      <c r="L263">
        <f t="shared" si="44"/>
        <v>325.49181459786996</v>
      </c>
      <c r="M263">
        <f t="shared" si="45"/>
        <v>1.2999999999997272</v>
      </c>
      <c r="N263">
        <f t="shared" si="47"/>
        <v>325.49181459786996</v>
      </c>
      <c r="O263" s="5">
        <f t="shared" si="38"/>
        <v>2.4109755287802792E-2</v>
      </c>
      <c r="P263">
        <f t="shared" si="46"/>
        <v>10000</v>
      </c>
      <c r="Q263">
        <f t="shared" si="39"/>
        <v>241.09755287802793</v>
      </c>
    </row>
    <row r="264" spans="1:17" x14ac:dyDescent="0.15">
      <c r="A264" s="10">
        <v>45872.458333333023</v>
      </c>
      <c r="B264">
        <f>COUNT(A264:$A$1158)/(48*252)</f>
        <v>7.3991402116402122E-2</v>
      </c>
      <c r="C264">
        <v>2.1739999999999999</v>
      </c>
      <c r="D264">
        <v>7.0999999999999994E-2</v>
      </c>
      <c r="E264">
        <f t="shared" ref="E264:E327" si="48">(LN(C264/$B$2)+($B$1+0.5*$D$1*$D$1)*B264)/($D$1*SQRT(B264))</f>
        <v>1.1230116895450601</v>
      </c>
      <c r="F264">
        <f t="shared" ref="F264:F327" si="49">NORMSDIST(E264)-1</f>
        <v>-0.13071626492629429</v>
      </c>
      <c r="G264">
        <f t="shared" si="40"/>
        <v>9.9999999999988987E-4</v>
      </c>
      <c r="H264">
        <f>IF(MOD(COUNTA($C$7:C264)-1,$J$2),H263,ROUND(F264*P264,-2))</f>
        <v>-1300</v>
      </c>
      <c r="I264">
        <f t="shared" si="41"/>
        <v>0</v>
      </c>
      <c r="J264">
        <f t="shared" si="42"/>
        <v>0</v>
      </c>
      <c r="K264">
        <f t="shared" si="43"/>
        <v>3150.3918145978701</v>
      </c>
      <c r="L264">
        <f t="shared" si="44"/>
        <v>324.19181459787023</v>
      </c>
      <c r="M264">
        <f t="shared" si="45"/>
        <v>-1.2999999999997272</v>
      </c>
      <c r="N264">
        <f t="shared" si="47"/>
        <v>324.19181459787023</v>
      </c>
      <c r="O264" s="5">
        <f t="shared" ref="O264:O327" si="50">put_bs($B$1,$J$1,C264,$B$2,B264)</f>
        <v>2.393899122584936E-2</v>
      </c>
      <c r="P264">
        <f t="shared" si="46"/>
        <v>10000</v>
      </c>
      <c r="Q264">
        <f t="shared" ref="Q264:Q327" si="51">P264*O264</f>
        <v>239.38991225849361</v>
      </c>
    </row>
    <row r="265" spans="1:17" x14ac:dyDescent="0.15">
      <c r="A265" s="10">
        <v>45872.461805555969</v>
      </c>
      <c r="B265">
        <f>COUNT(A265:$A$1158)/(48*252)</f>
        <v>7.390873015873016E-2</v>
      </c>
      <c r="C265">
        <v>2.1640000000000001</v>
      </c>
      <c r="D265">
        <v>6.7000000000000004E-2</v>
      </c>
      <c r="E265">
        <f t="shared" si="48"/>
        <v>1.0940791662377853</v>
      </c>
      <c r="F265">
        <f t="shared" si="49"/>
        <v>-0.1369601294288525</v>
      </c>
      <c r="G265">
        <f t="shared" ref="G265:G328" si="52">C265-C264</f>
        <v>-9.9999999999997868E-3</v>
      </c>
      <c r="H265">
        <f>IF(MOD(COUNTA($C$7:C265)-1,$J$2),H264,ROUND(F265*P265,-2))</f>
        <v>-1400</v>
      </c>
      <c r="I265">
        <f t="shared" ref="I265:I328" si="53">H265-H264</f>
        <v>-100</v>
      </c>
      <c r="J265">
        <f t="shared" ref="J265:J328" si="54">J264</f>
        <v>0</v>
      </c>
      <c r="K265">
        <f t="shared" ref="K265:K328" si="55">K264-I265*C265-ABS(I265*C265*$F$2)</f>
        <v>3366.7820765978699</v>
      </c>
      <c r="L265">
        <f t="shared" ref="L265:L328" si="56">K265+H265*C265</f>
        <v>337.18207659786958</v>
      </c>
      <c r="M265">
        <f t="shared" ref="M265:M328" si="57">L265-L264</f>
        <v>12.990261999999348</v>
      </c>
      <c r="N265">
        <f t="shared" si="47"/>
        <v>337.18207659786958</v>
      </c>
      <c r="O265" s="5">
        <f t="shared" si="50"/>
        <v>2.5236995251849748E-2</v>
      </c>
      <c r="P265">
        <f t="shared" ref="P265:P328" si="58">P264</f>
        <v>10000</v>
      </c>
      <c r="Q265">
        <f t="shared" si="51"/>
        <v>252.36995251849748</v>
      </c>
    </row>
    <row r="266" spans="1:17" x14ac:dyDescent="0.15">
      <c r="A266" s="10">
        <v>45872.465277777985</v>
      </c>
      <c r="B266">
        <f>COUNT(A266:$A$1158)/(48*252)</f>
        <v>7.3826058201058198E-2</v>
      </c>
      <c r="C266">
        <v>2.165</v>
      </c>
      <c r="D266">
        <v>6.7000000000000004E-2</v>
      </c>
      <c r="E266">
        <f t="shared" si="48"/>
        <v>1.097541617548174</v>
      </c>
      <c r="F266">
        <f t="shared" si="49"/>
        <v>-0.13620234916970975</v>
      </c>
      <c r="G266">
        <f t="shared" si="52"/>
        <v>9.9999999999988987E-4</v>
      </c>
      <c r="H266">
        <f>IF(MOD(COUNTA($C$7:C266)-1,$J$2),H265,ROUND(F266*P266,-2))</f>
        <v>-1400</v>
      </c>
      <c r="I266">
        <f t="shared" si="53"/>
        <v>0</v>
      </c>
      <c r="J266">
        <f t="shared" si="54"/>
        <v>0</v>
      </c>
      <c r="K266">
        <f t="shared" si="55"/>
        <v>3366.7820765978699</v>
      </c>
      <c r="L266">
        <f t="shared" si="56"/>
        <v>335.78207659786995</v>
      </c>
      <c r="M266">
        <f t="shared" si="57"/>
        <v>-1.3999999999996362</v>
      </c>
      <c r="N266">
        <f t="shared" ref="N266:N329" si="59">L266-$F$1</f>
        <v>335.78207659786995</v>
      </c>
      <c r="O266" s="5">
        <f t="shared" si="50"/>
        <v>2.5059731269461594E-2</v>
      </c>
      <c r="P266">
        <f t="shared" si="58"/>
        <v>10000</v>
      </c>
      <c r="Q266">
        <f t="shared" si="51"/>
        <v>250.59731269461594</v>
      </c>
    </row>
    <row r="267" spans="1:17" x14ac:dyDescent="0.15">
      <c r="A267" s="10">
        <v>45872.46875</v>
      </c>
      <c r="B267">
        <f>COUNT(A267:$A$1158)/(48*252)</f>
        <v>7.374338624338625E-2</v>
      </c>
      <c r="C267">
        <v>2.1629999999999998</v>
      </c>
      <c r="D267">
        <v>6.5000000000000002E-2</v>
      </c>
      <c r="E267">
        <f t="shared" si="48"/>
        <v>1.0921415332159041</v>
      </c>
      <c r="F267">
        <f t="shared" si="49"/>
        <v>-0.13738544813906539</v>
      </c>
      <c r="G267">
        <f t="shared" si="52"/>
        <v>-2.0000000000002238E-3</v>
      </c>
      <c r="H267">
        <f>IF(MOD(COUNTA($C$7:C267)-1,$J$2),H266,ROUND(F267*P267,-2))</f>
        <v>-1400</v>
      </c>
      <c r="I267">
        <f t="shared" si="53"/>
        <v>0</v>
      </c>
      <c r="J267">
        <f t="shared" si="54"/>
        <v>0</v>
      </c>
      <c r="K267">
        <f t="shared" si="55"/>
        <v>3366.7820765978699</v>
      </c>
      <c r="L267">
        <f t="shared" si="56"/>
        <v>338.58207659787013</v>
      </c>
      <c r="M267">
        <f t="shared" si="57"/>
        <v>2.8000000000001819</v>
      </c>
      <c r="N267">
        <f t="shared" si="59"/>
        <v>338.58207659787013</v>
      </c>
      <c r="O267" s="5">
        <f t="shared" si="50"/>
        <v>2.5292577946182282E-2</v>
      </c>
      <c r="P267">
        <f t="shared" si="58"/>
        <v>10000</v>
      </c>
      <c r="Q267">
        <f t="shared" si="51"/>
        <v>252.92577946182283</v>
      </c>
    </row>
    <row r="268" spans="1:17" x14ac:dyDescent="0.15">
      <c r="A268" s="10">
        <v>45872.472222222015</v>
      </c>
      <c r="B268">
        <f>COUNT(A268:$A$1158)/(48*252)</f>
        <v>7.3660714285714288E-2</v>
      </c>
      <c r="C268">
        <v>2.1539999999999999</v>
      </c>
      <c r="D268">
        <v>6.2E-2</v>
      </c>
      <c r="E268">
        <f t="shared" si="48"/>
        <v>1.0659655691217635</v>
      </c>
      <c r="F268">
        <f t="shared" si="49"/>
        <v>-0.14321960328183925</v>
      </c>
      <c r="G268">
        <f t="shared" si="52"/>
        <v>-8.999999999999897E-3</v>
      </c>
      <c r="H268">
        <f>IF(MOD(COUNTA($C$7:C268)-1,$J$2),H267,ROUND(F268*P268,-2))</f>
        <v>-1400</v>
      </c>
      <c r="I268">
        <f t="shared" si="53"/>
        <v>0</v>
      </c>
      <c r="J268">
        <f t="shared" si="54"/>
        <v>0</v>
      </c>
      <c r="K268">
        <f t="shared" si="55"/>
        <v>3366.7820765978699</v>
      </c>
      <c r="L268">
        <f t="shared" si="56"/>
        <v>351.18207659787004</v>
      </c>
      <c r="M268">
        <f t="shared" si="57"/>
        <v>12.599999999999909</v>
      </c>
      <c r="N268">
        <f t="shared" si="59"/>
        <v>351.18207659787004</v>
      </c>
      <c r="O268" s="5">
        <f t="shared" si="50"/>
        <v>2.6513798194071514E-2</v>
      </c>
      <c r="P268">
        <f t="shared" si="58"/>
        <v>10000</v>
      </c>
      <c r="Q268">
        <f t="shared" si="51"/>
        <v>265.13798194071512</v>
      </c>
    </row>
    <row r="269" spans="1:17" x14ac:dyDescent="0.15">
      <c r="A269" s="10">
        <v>45872.475694444962</v>
      </c>
      <c r="B269">
        <f>COUNT(A269:$A$1158)/(48*252)</f>
        <v>7.3578042328042326E-2</v>
      </c>
      <c r="C269">
        <v>2.15</v>
      </c>
      <c r="D269">
        <v>6.2E-2</v>
      </c>
      <c r="E269">
        <f t="shared" si="48"/>
        <v>1.054558105019322</v>
      </c>
      <c r="F269">
        <f t="shared" si="49"/>
        <v>-0.14581373651170459</v>
      </c>
      <c r="G269">
        <f t="shared" si="52"/>
        <v>-4.0000000000000036E-3</v>
      </c>
      <c r="H269">
        <f>IF(MOD(COUNTA($C$7:C269)-1,$J$2),H268,ROUND(F269*P269,-2))</f>
        <v>-1500</v>
      </c>
      <c r="I269">
        <f t="shared" si="53"/>
        <v>-100</v>
      </c>
      <c r="J269">
        <f t="shared" si="54"/>
        <v>0</v>
      </c>
      <c r="K269">
        <f t="shared" si="55"/>
        <v>3581.7724015978702</v>
      </c>
      <c r="L269">
        <f t="shared" si="56"/>
        <v>356.77240159787016</v>
      </c>
      <c r="M269">
        <f t="shared" si="57"/>
        <v>5.5903250000001208</v>
      </c>
      <c r="N269">
        <f t="shared" si="59"/>
        <v>356.77240159787016</v>
      </c>
      <c r="O269" s="5">
        <f t="shared" si="50"/>
        <v>2.7049767539465475E-2</v>
      </c>
      <c r="P269">
        <f t="shared" si="58"/>
        <v>10000</v>
      </c>
      <c r="Q269">
        <f t="shared" si="51"/>
        <v>270.49767539465472</v>
      </c>
    </row>
    <row r="270" spans="1:17" x14ac:dyDescent="0.15">
      <c r="A270" s="10">
        <v>45872.479166666977</v>
      </c>
      <c r="B270">
        <f>COUNT(A270:$A$1158)/(48*252)</f>
        <v>7.3495370370370364E-2</v>
      </c>
      <c r="C270">
        <v>2.157</v>
      </c>
      <c r="D270">
        <v>6.3E-2</v>
      </c>
      <c r="E270">
        <f t="shared" si="48"/>
        <v>1.075874031899702</v>
      </c>
      <c r="F270">
        <f t="shared" si="49"/>
        <v>-0.1409917985485778</v>
      </c>
      <c r="G270">
        <f t="shared" si="52"/>
        <v>7.0000000000001172E-3</v>
      </c>
      <c r="H270">
        <f>IF(MOD(COUNTA($C$7:C270)-1,$J$2),H269,ROUND(F270*P270,-2))</f>
        <v>-1500</v>
      </c>
      <c r="I270">
        <f t="shared" si="53"/>
        <v>0</v>
      </c>
      <c r="J270">
        <f t="shared" si="54"/>
        <v>0</v>
      </c>
      <c r="K270">
        <f t="shared" si="55"/>
        <v>3581.7724015978702</v>
      </c>
      <c r="L270">
        <f t="shared" si="56"/>
        <v>346.27240159787016</v>
      </c>
      <c r="M270">
        <f t="shared" si="57"/>
        <v>-10.5</v>
      </c>
      <c r="N270">
        <f t="shared" si="59"/>
        <v>346.27240159787016</v>
      </c>
      <c r="O270" s="5">
        <f t="shared" si="50"/>
        <v>2.6004099231836553E-2</v>
      </c>
      <c r="P270">
        <f t="shared" si="58"/>
        <v>10000</v>
      </c>
      <c r="Q270">
        <f t="shared" si="51"/>
        <v>260.04099231836551</v>
      </c>
    </row>
    <row r="271" spans="1:17" x14ac:dyDescent="0.15">
      <c r="A271" s="10">
        <v>45872.545138888992</v>
      </c>
      <c r="B271">
        <f>COUNT(A271:$A$1158)/(48*252)</f>
        <v>7.3412698412698416E-2</v>
      </c>
      <c r="C271">
        <v>2.1539999999999999</v>
      </c>
      <c r="D271">
        <v>6.0999999999999999E-2</v>
      </c>
      <c r="E271">
        <f t="shared" si="48"/>
        <v>1.0674534768712822</v>
      </c>
      <c r="F271">
        <f t="shared" si="49"/>
        <v>-0.14288355558879728</v>
      </c>
      <c r="G271">
        <f t="shared" si="52"/>
        <v>-3.0000000000001137E-3</v>
      </c>
      <c r="H271">
        <f>IF(MOD(COUNTA($C$7:C271)-1,$J$2),H270,ROUND(F271*P271,-2))</f>
        <v>-1400</v>
      </c>
      <c r="I271">
        <f t="shared" si="53"/>
        <v>100</v>
      </c>
      <c r="J271">
        <f t="shared" si="54"/>
        <v>0</v>
      </c>
      <c r="K271">
        <f t="shared" si="55"/>
        <v>3366.3627085978701</v>
      </c>
      <c r="L271">
        <f t="shared" si="56"/>
        <v>350.76270859787019</v>
      </c>
      <c r="M271">
        <f t="shared" si="57"/>
        <v>4.4903070000000298</v>
      </c>
      <c r="N271">
        <f t="shared" si="59"/>
        <v>350.76270859787019</v>
      </c>
      <c r="O271" s="5">
        <f t="shared" si="50"/>
        <v>2.6388210264515155E-2</v>
      </c>
      <c r="P271">
        <f t="shared" si="58"/>
        <v>10000</v>
      </c>
      <c r="Q271">
        <f t="shared" si="51"/>
        <v>263.88210264515158</v>
      </c>
    </row>
    <row r="272" spans="1:17" x14ac:dyDescent="0.15">
      <c r="A272" s="10">
        <v>45872.548611111008</v>
      </c>
      <c r="B272">
        <f>COUNT(A272:$A$1158)/(48*252)</f>
        <v>7.3330026455026454E-2</v>
      </c>
      <c r="C272">
        <v>2.161</v>
      </c>
      <c r="D272">
        <v>6.4000000000000001E-2</v>
      </c>
      <c r="E272">
        <f t="shared" si="48"/>
        <v>1.0887627011003715</v>
      </c>
      <c r="F272">
        <f t="shared" si="49"/>
        <v>-0.13812927184149448</v>
      </c>
      <c r="G272">
        <f t="shared" si="52"/>
        <v>7.0000000000001172E-3</v>
      </c>
      <c r="H272">
        <f>IF(MOD(COUNTA($C$7:C272)-1,$J$2),H271,ROUND(F272*P272,-2))</f>
        <v>-1400</v>
      </c>
      <c r="I272">
        <f t="shared" si="53"/>
        <v>0</v>
      </c>
      <c r="J272">
        <f t="shared" si="54"/>
        <v>0</v>
      </c>
      <c r="K272">
        <f t="shared" si="55"/>
        <v>3366.3627085978701</v>
      </c>
      <c r="L272">
        <f t="shared" si="56"/>
        <v>340.96270859787001</v>
      </c>
      <c r="M272">
        <f t="shared" si="57"/>
        <v>-9.8000000000001819</v>
      </c>
      <c r="N272">
        <f t="shared" si="59"/>
        <v>340.96270859787001</v>
      </c>
      <c r="O272" s="5">
        <f t="shared" si="50"/>
        <v>2.5363261147532123E-2</v>
      </c>
      <c r="P272">
        <f t="shared" si="58"/>
        <v>10000</v>
      </c>
      <c r="Q272">
        <f t="shared" si="51"/>
        <v>253.63261147532123</v>
      </c>
    </row>
    <row r="273" spans="1:17" x14ac:dyDescent="0.15">
      <c r="A273" s="10">
        <v>45872.552083333023</v>
      </c>
      <c r="B273">
        <f>COUNT(A273:$A$1158)/(48*252)</f>
        <v>7.3247354497354492E-2</v>
      </c>
      <c r="C273">
        <v>2.1560000000000001</v>
      </c>
      <c r="D273">
        <v>6.0999999999999999E-2</v>
      </c>
      <c r="E273">
        <f t="shared" si="48"/>
        <v>1.0744062871064488</v>
      </c>
      <c r="F273">
        <f t="shared" si="49"/>
        <v>-0.14132031294017655</v>
      </c>
      <c r="G273">
        <f t="shared" si="52"/>
        <v>-4.9999999999998934E-3</v>
      </c>
      <c r="H273">
        <f>IF(MOD(COUNTA($C$7:C273)-1,$J$2),H272,ROUND(F273*P273,-2))</f>
        <v>-1400</v>
      </c>
      <c r="I273">
        <f t="shared" si="53"/>
        <v>0</v>
      </c>
      <c r="J273">
        <f t="shared" si="54"/>
        <v>0</v>
      </c>
      <c r="K273">
        <f t="shared" si="55"/>
        <v>3366.3627085978701</v>
      </c>
      <c r="L273">
        <f t="shared" si="56"/>
        <v>347.96270859787001</v>
      </c>
      <c r="M273">
        <f t="shared" si="57"/>
        <v>7</v>
      </c>
      <c r="N273">
        <f t="shared" si="59"/>
        <v>347.96270859787001</v>
      </c>
      <c r="O273" s="5">
        <f t="shared" si="50"/>
        <v>2.6020497056797542E-2</v>
      </c>
      <c r="P273">
        <f t="shared" si="58"/>
        <v>10000</v>
      </c>
      <c r="Q273">
        <f t="shared" si="51"/>
        <v>260.20497056797541</v>
      </c>
    </row>
    <row r="274" spans="1:17" x14ac:dyDescent="0.15">
      <c r="A274" s="10">
        <v>45872.555555555969</v>
      </c>
      <c r="B274">
        <f>COUNT(A274:$A$1158)/(48*252)</f>
        <v>7.3164682539682543E-2</v>
      </c>
      <c r="C274">
        <v>2.1539999999999999</v>
      </c>
      <c r="D274">
        <v>0.06</v>
      </c>
      <c r="E274">
        <f t="shared" si="48"/>
        <v>1.0689494708541176</v>
      </c>
      <c r="F274">
        <f t="shared" si="49"/>
        <v>-0.14254621926642597</v>
      </c>
      <c r="G274">
        <f t="shared" si="52"/>
        <v>-2.0000000000002238E-3</v>
      </c>
      <c r="H274">
        <f>IF(MOD(COUNTA($C$7:C274)-1,$J$2),H273,ROUND(F274*P274,-2))</f>
        <v>-1400</v>
      </c>
      <c r="I274">
        <f t="shared" si="53"/>
        <v>0</v>
      </c>
      <c r="J274">
        <f t="shared" si="54"/>
        <v>0</v>
      </c>
      <c r="K274">
        <f t="shared" si="55"/>
        <v>3366.3627085978701</v>
      </c>
      <c r="L274">
        <f t="shared" si="56"/>
        <v>350.76270859787019</v>
      </c>
      <c r="M274">
        <f t="shared" si="57"/>
        <v>2.8000000000001819</v>
      </c>
      <c r="N274">
        <f t="shared" si="59"/>
        <v>350.76270859787019</v>
      </c>
      <c r="O274" s="5">
        <f t="shared" si="50"/>
        <v>2.626260363055688E-2</v>
      </c>
      <c r="P274">
        <f t="shared" si="58"/>
        <v>10000</v>
      </c>
      <c r="Q274">
        <f t="shared" si="51"/>
        <v>262.62603630556879</v>
      </c>
    </row>
    <row r="275" spans="1:17" x14ac:dyDescent="0.15">
      <c r="A275" s="10">
        <v>45872.559027777985</v>
      </c>
      <c r="B275">
        <f>COUNT(A275:$A$1158)/(48*252)</f>
        <v>7.3082010582010581E-2</v>
      </c>
      <c r="C275">
        <v>2.1549999999999998</v>
      </c>
      <c r="D275">
        <v>6.0999999999999999E-2</v>
      </c>
      <c r="E275">
        <f t="shared" si="48"/>
        <v>1.0724321951613909</v>
      </c>
      <c r="F275">
        <f t="shared" si="49"/>
        <v>-0.14176297686828532</v>
      </c>
      <c r="G275">
        <f t="shared" si="52"/>
        <v>9.9999999999988987E-4</v>
      </c>
      <c r="H275">
        <f>IF(MOD(COUNTA($C$7:C275)-1,$J$2),H274,ROUND(F275*P275,-2))</f>
        <v>-1400</v>
      </c>
      <c r="I275">
        <f t="shared" si="53"/>
        <v>0</v>
      </c>
      <c r="J275">
        <f t="shared" si="54"/>
        <v>0</v>
      </c>
      <c r="K275">
        <f t="shared" si="55"/>
        <v>3366.3627085978701</v>
      </c>
      <c r="L275">
        <f t="shared" si="56"/>
        <v>349.36270859787055</v>
      </c>
      <c r="M275">
        <f t="shared" si="57"/>
        <v>-1.3999999999996362</v>
      </c>
      <c r="N275">
        <f t="shared" si="59"/>
        <v>349.36270859787055</v>
      </c>
      <c r="O275" s="5">
        <f t="shared" si="50"/>
        <v>2.6078632679630731E-2</v>
      </c>
      <c r="P275">
        <f t="shared" si="58"/>
        <v>10000</v>
      </c>
      <c r="Q275">
        <f t="shared" si="51"/>
        <v>260.78632679630732</v>
      </c>
    </row>
    <row r="276" spans="1:17" x14ac:dyDescent="0.15">
      <c r="A276" s="10">
        <v>45872.5625</v>
      </c>
      <c r="B276">
        <f>COUNT(A276:$A$1158)/(48*252)</f>
        <v>7.2999338624338619E-2</v>
      </c>
      <c r="C276">
        <v>2.1589999999999998</v>
      </c>
      <c r="D276">
        <v>6.2E-2</v>
      </c>
      <c r="E276">
        <f t="shared" si="48"/>
        <v>1.0848571909504225</v>
      </c>
      <c r="F276">
        <f t="shared" si="49"/>
        <v>-0.13899245538260807</v>
      </c>
      <c r="G276">
        <f t="shared" si="52"/>
        <v>4.0000000000000036E-3</v>
      </c>
      <c r="H276">
        <f>IF(MOD(COUNTA($C$7:C276)-1,$J$2),H275,ROUND(F276*P276,-2))</f>
        <v>-1400</v>
      </c>
      <c r="I276">
        <f t="shared" si="53"/>
        <v>0</v>
      </c>
      <c r="J276">
        <f t="shared" si="54"/>
        <v>0</v>
      </c>
      <c r="K276">
        <f t="shared" si="55"/>
        <v>3366.3627085978701</v>
      </c>
      <c r="L276">
        <f t="shared" si="56"/>
        <v>343.76270859787019</v>
      </c>
      <c r="M276">
        <f t="shared" si="57"/>
        <v>-5.6000000000003638</v>
      </c>
      <c r="N276">
        <f t="shared" si="59"/>
        <v>343.76270859787019</v>
      </c>
      <c r="O276" s="5">
        <f t="shared" si="50"/>
        <v>2.5475598624474349E-2</v>
      </c>
      <c r="P276">
        <f t="shared" si="58"/>
        <v>10000</v>
      </c>
      <c r="Q276">
        <f t="shared" si="51"/>
        <v>254.7559862447435</v>
      </c>
    </row>
    <row r="277" spans="1:17" x14ac:dyDescent="0.15">
      <c r="A277" s="10">
        <v>45872.565972222015</v>
      </c>
      <c r="B277">
        <f>COUNT(A277:$A$1158)/(48*252)</f>
        <v>7.2916666666666671E-2</v>
      </c>
      <c r="C277">
        <v>2.16</v>
      </c>
      <c r="D277">
        <v>6.2E-2</v>
      </c>
      <c r="E277">
        <f t="shared" si="48"/>
        <v>1.0883466496393388</v>
      </c>
      <c r="F277">
        <f t="shared" si="49"/>
        <v>-0.1382210518759619</v>
      </c>
      <c r="G277">
        <f t="shared" si="52"/>
        <v>1.000000000000334E-3</v>
      </c>
      <c r="H277">
        <f>IF(MOD(COUNTA($C$7:C277)-1,$J$2),H276,ROUND(F277*P277,-2))</f>
        <v>-1400</v>
      </c>
      <c r="I277">
        <f t="shared" si="53"/>
        <v>0</v>
      </c>
      <c r="J277">
        <f t="shared" si="54"/>
        <v>0</v>
      </c>
      <c r="K277">
        <f t="shared" si="55"/>
        <v>3366.3627085978701</v>
      </c>
      <c r="L277">
        <f t="shared" si="56"/>
        <v>342.3627085978701</v>
      </c>
      <c r="M277">
        <f t="shared" si="57"/>
        <v>-1.4000000000000909</v>
      </c>
      <c r="N277">
        <f t="shared" si="59"/>
        <v>342.3627085978701</v>
      </c>
      <c r="O277" s="5">
        <f t="shared" si="50"/>
        <v>2.5295737058431245E-2</v>
      </c>
      <c r="P277">
        <f t="shared" si="58"/>
        <v>10000</v>
      </c>
      <c r="Q277">
        <f t="shared" si="51"/>
        <v>252.95737058431246</v>
      </c>
    </row>
    <row r="278" spans="1:17" x14ac:dyDescent="0.15">
      <c r="A278" s="10">
        <v>45872.569444444962</v>
      </c>
      <c r="B278">
        <f>COUNT(A278:$A$1158)/(48*252)</f>
        <v>7.2833994708994709E-2</v>
      </c>
      <c r="C278">
        <v>2.1589999999999998</v>
      </c>
      <c r="D278">
        <v>6.0999999999999999E-2</v>
      </c>
      <c r="E278">
        <f t="shared" si="48"/>
        <v>1.0858796022470523</v>
      </c>
      <c r="F278">
        <f t="shared" si="49"/>
        <v>-0.13876613121781101</v>
      </c>
      <c r="G278">
        <f t="shared" si="52"/>
        <v>-1.000000000000334E-3</v>
      </c>
      <c r="H278">
        <f>IF(MOD(COUNTA($C$7:C278)-1,$J$2),H277,ROUND(F278*P278,-2))</f>
        <v>-1400</v>
      </c>
      <c r="I278">
        <f t="shared" si="53"/>
        <v>0</v>
      </c>
      <c r="J278">
        <f t="shared" si="54"/>
        <v>0</v>
      </c>
      <c r="K278">
        <f t="shared" si="55"/>
        <v>3366.3627085978701</v>
      </c>
      <c r="L278">
        <f t="shared" si="56"/>
        <v>343.76270859787019</v>
      </c>
      <c r="M278">
        <f t="shared" si="57"/>
        <v>1.4000000000000909</v>
      </c>
      <c r="N278">
        <f t="shared" si="59"/>
        <v>343.76270859787019</v>
      </c>
      <c r="O278" s="5">
        <f t="shared" si="50"/>
        <v>2.5392974287081427E-2</v>
      </c>
      <c r="P278">
        <f t="shared" si="58"/>
        <v>10000</v>
      </c>
      <c r="Q278">
        <f t="shared" si="51"/>
        <v>253.92974287081427</v>
      </c>
    </row>
    <row r="279" spans="1:17" x14ac:dyDescent="0.15">
      <c r="A279" s="10">
        <v>45872.572916666977</v>
      </c>
      <c r="B279">
        <f>COUNT(A279:$A$1158)/(48*252)</f>
        <v>7.2751322751322747E-2</v>
      </c>
      <c r="C279">
        <v>2.157</v>
      </c>
      <c r="D279">
        <v>6.0999999999999999E-2</v>
      </c>
      <c r="E279">
        <f t="shared" si="48"/>
        <v>1.0804238567503528</v>
      </c>
      <c r="F279">
        <f t="shared" si="49"/>
        <v>-0.13997673850024761</v>
      </c>
      <c r="G279">
        <f t="shared" si="52"/>
        <v>-1.9999999999997797E-3</v>
      </c>
      <c r="H279">
        <f>IF(MOD(COUNTA($C$7:C279)-1,$J$2),H278,ROUND(F279*P279,-2))</f>
        <v>-1400</v>
      </c>
      <c r="I279">
        <f t="shared" si="53"/>
        <v>0</v>
      </c>
      <c r="J279">
        <f t="shared" si="54"/>
        <v>0</v>
      </c>
      <c r="K279">
        <f t="shared" si="55"/>
        <v>3366.3627085978701</v>
      </c>
      <c r="L279">
        <f t="shared" si="56"/>
        <v>346.56270859786991</v>
      </c>
      <c r="M279">
        <f t="shared" si="57"/>
        <v>2.7999999999997272</v>
      </c>
      <c r="N279">
        <f t="shared" si="59"/>
        <v>346.56270859786991</v>
      </c>
      <c r="O279" s="5">
        <f t="shared" si="50"/>
        <v>2.5630288182242944E-2</v>
      </c>
      <c r="P279">
        <f t="shared" si="58"/>
        <v>10000</v>
      </c>
      <c r="Q279">
        <f t="shared" si="51"/>
        <v>256.30288182242941</v>
      </c>
    </row>
    <row r="280" spans="1:17" x14ac:dyDescent="0.15">
      <c r="A280" s="10">
        <v>45872.576388888992</v>
      </c>
      <c r="B280">
        <f>COUNT(A280:$A$1158)/(48*252)</f>
        <v>7.2668650793650799E-2</v>
      </c>
      <c r="C280">
        <v>2.1560000000000001</v>
      </c>
      <c r="D280">
        <v>0.06</v>
      </c>
      <c r="E280">
        <f t="shared" si="48"/>
        <v>1.0779460504907088</v>
      </c>
      <c r="F280">
        <f t="shared" si="49"/>
        <v>-0.14052891641397336</v>
      </c>
      <c r="G280">
        <f t="shared" si="52"/>
        <v>-9.9999999999988987E-4</v>
      </c>
      <c r="H280">
        <f>IF(MOD(COUNTA($C$7:C280)-1,$J$2),H279,ROUND(F280*P280,-2))</f>
        <v>-1400</v>
      </c>
      <c r="I280">
        <f t="shared" si="53"/>
        <v>0</v>
      </c>
      <c r="J280">
        <f t="shared" si="54"/>
        <v>0</v>
      </c>
      <c r="K280">
        <f t="shared" si="55"/>
        <v>3366.3627085978701</v>
      </c>
      <c r="L280">
        <f t="shared" si="56"/>
        <v>347.96270859787001</v>
      </c>
      <c r="M280">
        <f t="shared" si="57"/>
        <v>1.4000000000000909</v>
      </c>
      <c r="N280">
        <f t="shared" si="59"/>
        <v>347.96270859787001</v>
      </c>
      <c r="O280" s="5">
        <f t="shared" si="50"/>
        <v>2.5728941900740709E-2</v>
      </c>
      <c r="P280">
        <f t="shared" si="58"/>
        <v>10000</v>
      </c>
      <c r="Q280">
        <f t="shared" si="51"/>
        <v>257.2894190074071</v>
      </c>
    </row>
    <row r="281" spans="1:17" x14ac:dyDescent="0.15">
      <c r="A281" s="10">
        <v>45872.579861111008</v>
      </c>
      <c r="B281">
        <f>COUNT(A281:$A$1158)/(48*252)</f>
        <v>7.2585978835978837E-2</v>
      </c>
      <c r="C281">
        <v>2.1619999999999999</v>
      </c>
      <c r="D281">
        <v>6.2E-2</v>
      </c>
      <c r="E281">
        <f t="shared" si="48"/>
        <v>1.0963725489668421</v>
      </c>
      <c r="F281">
        <f t="shared" si="49"/>
        <v>-0.13645788603434839</v>
      </c>
      <c r="G281">
        <f t="shared" si="52"/>
        <v>5.9999999999997833E-3</v>
      </c>
      <c r="H281">
        <f>IF(MOD(COUNTA($C$7:C281)-1,$J$2),H280,ROUND(F281*P281,-2))</f>
        <v>-1400</v>
      </c>
      <c r="I281">
        <f t="shared" si="53"/>
        <v>0</v>
      </c>
      <c r="J281">
        <f t="shared" si="54"/>
        <v>0</v>
      </c>
      <c r="K281">
        <f t="shared" si="55"/>
        <v>3366.3627085978701</v>
      </c>
      <c r="L281">
        <f t="shared" si="56"/>
        <v>339.56270859787037</v>
      </c>
      <c r="M281">
        <f t="shared" si="57"/>
        <v>-8.3999999999996362</v>
      </c>
      <c r="N281">
        <f t="shared" si="59"/>
        <v>339.56270859787037</v>
      </c>
      <c r="O281" s="5">
        <f t="shared" si="50"/>
        <v>2.4856709224061579E-2</v>
      </c>
      <c r="P281">
        <f t="shared" si="58"/>
        <v>10000</v>
      </c>
      <c r="Q281">
        <f t="shared" si="51"/>
        <v>248.56709224061581</v>
      </c>
    </row>
    <row r="282" spans="1:17" x14ac:dyDescent="0.15">
      <c r="A282" s="10">
        <v>45872.583333333023</v>
      </c>
      <c r="B282">
        <f>COUNT(A282:$A$1158)/(48*252)</f>
        <v>7.2503306878306875E-2</v>
      </c>
      <c r="C282">
        <v>2.1619999999999999</v>
      </c>
      <c r="D282">
        <v>6.2E-2</v>
      </c>
      <c r="E282">
        <f t="shared" si="48"/>
        <v>1.0968930617337522</v>
      </c>
      <c r="F282">
        <f t="shared" si="49"/>
        <v>-0.13634407105632407</v>
      </c>
      <c r="G282">
        <f t="shared" si="52"/>
        <v>0</v>
      </c>
      <c r="H282">
        <f>IF(MOD(COUNTA($C$7:C282)-1,$J$2),H281,ROUND(F282*P282,-2))</f>
        <v>-1400</v>
      </c>
      <c r="I282">
        <f t="shared" si="53"/>
        <v>0</v>
      </c>
      <c r="J282">
        <f t="shared" si="54"/>
        <v>0</v>
      </c>
      <c r="K282">
        <f t="shared" si="55"/>
        <v>3366.3627085978701</v>
      </c>
      <c r="L282">
        <f t="shared" si="56"/>
        <v>339.56270859787037</v>
      </c>
      <c r="M282">
        <f t="shared" si="57"/>
        <v>0</v>
      </c>
      <c r="N282">
        <f t="shared" si="59"/>
        <v>339.56270859787037</v>
      </c>
      <c r="O282" s="5">
        <f t="shared" si="50"/>
        <v>2.4815733279820507E-2</v>
      </c>
      <c r="P282">
        <f t="shared" si="58"/>
        <v>10000</v>
      </c>
      <c r="Q282">
        <f t="shared" si="51"/>
        <v>248.15733279820506</v>
      </c>
    </row>
    <row r="283" spans="1:17" x14ac:dyDescent="0.15">
      <c r="A283" s="10">
        <v>45872.586805555969</v>
      </c>
      <c r="B283">
        <f>COUNT(A283:$A$1158)/(48*252)</f>
        <v>7.2420634920634927E-2</v>
      </c>
      <c r="C283">
        <v>2.1589999999999998</v>
      </c>
      <c r="D283">
        <v>0.06</v>
      </c>
      <c r="E283">
        <f t="shared" si="48"/>
        <v>1.0884519713472516</v>
      </c>
      <c r="F283">
        <f t="shared" si="49"/>
        <v>-0.13819781421015709</v>
      </c>
      <c r="G283">
        <f t="shared" si="52"/>
        <v>-3.0000000000001137E-3</v>
      </c>
      <c r="H283">
        <f>IF(MOD(COUNTA($C$7:C283)-1,$J$2),H282,ROUND(F283*P283,-2))</f>
        <v>-1400</v>
      </c>
      <c r="I283">
        <f t="shared" si="53"/>
        <v>0</v>
      </c>
      <c r="J283">
        <f t="shared" si="54"/>
        <v>0</v>
      </c>
      <c r="K283">
        <f t="shared" si="55"/>
        <v>3366.3627085978701</v>
      </c>
      <c r="L283">
        <f t="shared" si="56"/>
        <v>343.76270859787019</v>
      </c>
      <c r="M283">
        <f t="shared" si="57"/>
        <v>4.1999999999998181</v>
      </c>
      <c r="N283">
        <f t="shared" si="59"/>
        <v>343.76270859787019</v>
      </c>
      <c r="O283" s="5">
        <f t="shared" si="50"/>
        <v>2.5186393069027202E-2</v>
      </c>
      <c r="P283">
        <f t="shared" si="58"/>
        <v>10000</v>
      </c>
      <c r="Q283">
        <f t="shared" si="51"/>
        <v>251.86393069027201</v>
      </c>
    </row>
    <row r="284" spans="1:17" x14ac:dyDescent="0.15">
      <c r="A284" s="10">
        <v>45872.590277777985</v>
      </c>
      <c r="B284">
        <f>COUNT(A284:$A$1158)/(48*252)</f>
        <v>7.2337962962962965E-2</v>
      </c>
      <c r="C284">
        <v>2.1619999999999999</v>
      </c>
      <c r="D284">
        <v>6.0999999999999999E-2</v>
      </c>
      <c r="E284">
        <f t="shared" si="48"/>
        <v>1.097936941801497</v>
      </c>
      <c r="F284">
        <f t="shared" si="49"/>
        <v>-0.13611601270633322</v>
      </c>
      <c r="G284">
        <f t="shared" si="52"/>
        <v>3.0000000000001137E-3</v>
      </c>
      <c r="H284">
        <f>IF(MOD(COUNTA($C$7:C284)-1,$J$2),H283,ROUND(F284*P284,-2))</f>
        <v>-1400</v>
      </c>
      <c r="I284">
        <f t="shared" si="53"/>
        <v>0</v>
      </c>
      <c r="J284">
        <f t="shared" si="54"/>
        <v>0</v>
      </c>
      <c r="K284">
        <f t="shared" si="55"/>
        <v>3366.3627085978701</v>
      </c>
      <c r="L284">
        <f t="shared" si="56"/>
        <v>339.56270859787037</v>
      </c>
      <c r="M284">
        <f t="shared" si="57"/>
        <v>-4.1999999999998181</v>
      </c>
      <c r="N284">
        <f t="shared" si="59"/>
        <v>339.56270859787037</v>
      </c>
      <c r="O284" s="5">
        <f t="shared" si="50"/>
        <v>2.4733779449702731E-2</v>
      </c>
      <c r="P284">
        <f t="shared" si="58"/>
        <v>10000</v>
      </c>
      <c r="Q284">
        <f t="shared" si="51"/>
        <v>247.33779449702732</v>
      </c>
    </row>
    <row r="285" spans="1:17" x14ac:dyDescent="0.15">
      <c r="A285" s="10">
        <v>45872.59375</v>
      </c>
      <c r="B285">
        <f>COUNT(A285:$A$1158)/(48*252)</f>
        <v>7.2255291005291003E-2</v>
      </c>
      <c r="C285">
        <v>2.169</v>
      </c>
      <c r="D285">
        <v>6.3E-2</v>
      </c>
      <c r="E285">
        <f t="shared" si="48"/>
        <v>1.1193485275527848</v>
      </c>
      <c r="F285">
        <f t="shared" si="49"/>
        <v>-0.13149574036451805</v>
      </c>
      <c r="G285">
        <f t="shared" si="52"/>
        <v>7.0000000000001172E-3</v>
      </c>
      <c r="H285">
        <f>IF(MOD(COUNTA($C$7:C285)-1,$J$2),H284,ROUND(F285*P285,-2))</f>
        <v>-1300</v>
      </c>
      <c r="I285">
        <f t="shared" si="53"/>
        <v>100</v>
      </c>
      <c r="J285">
        <f t="shared" si="54"/>
        <v>0</v>
      </c>
      <c r="K285">
        <f t="shared" si="55"/>
        <v>3149.4529480978699</v>
      </c>
      <c r="L285">
        <f t="shared" si="56"/>
        <v>329.75294809786965</v>
      </c>
      <c r="M285">
        <f t="shared" si="57"/>
        <v>-9.8097605000007206</v>
      </c>
      <c r="N285">
        <f t="shared" si="59"/>
        <v>329.75294809786965</v>
      </c>
      <c r="O285" s="5">
        <f t="shared" si="50"/>
        <v>2.3756629715490862E-2</v>
      </c>
      <c r="P285">
        <f t="shared" si="58"/>
        <v>10000</v>
      </c>
      <c r="Q285">
        <f t="shared" si="51"/>
        <v>237.56629715490863</v>
      </c>
    </row>
    <row r="286" spans="1:17" x14ac:dyDescent="0.15">
      <c r="A286" s="10">
        <v>45872.597222222015</v>
      </c>
      <c r="B286">
        <f>COUNT(A286:$A$1158)/(48*252)</f>
        <v>7.2172619047619041E-2</v>
      </c>
      <c r="C286">
        <v>2.165</v>
      </c>
      <c r="D286">
        <v>6.2E-2</v>
      </c>
      <c r="E286">
        <f t="shared" si="48"/>
        <v>1.1079501372231202</v>
      </c>
      <c r="F286">
        <f t="shared" si="49"/>
        <v>-0.13394167544466173</v>
      </c>
      <c r="G286">
        <f t="shared" si="52"/>
        <v>-4.0000000000000036E-3</v>
      </c>
      <c r="H286">
        <f>IF(MOD(COUNTA($C$7:C286)-1,$J$2),H285,ROUND(F286*P286,-2))</f>
        <v>-1300</v>
      </c>
      <c r="I286">
        <f t="shared" si="53"/>
        <v>0</v>
      </c>
      <c r="J286">
        <f t="shared" si="54"/>
        <v>0</v>
      </c>
      <c r="K286">
        <f t="shared" si="55"/>
        <v>3149.4529480978699</v>
      </c>
      <c r="L286">
        <f t="shared" si="56"/>
        <v>334.95294809786992</v>
      </c>
      <c r="M286">
        <f t="shared" si="57"/>
        <v>5.2000000000002728</v>
      </c>
      <c r="N286">
        <f t="shared" si="59"/>
        <v>334.95294809786992</v>
      </c>
      <c r="O286" s="5">
        <f t="shared" si="50"/>
        <v>2.424708511292295E-2</v>
      </c>
      <c r="P286">
        <f t="shared" si="58"/>
        <v>10000</v>
      </c>
      <c r="Q286">
        <f t="shared" si="51"/>
        <v>242.47085112922952</v>
      </c>
    </row>
    <row r="287" spans="1:17" x14ac:dyDescent="0.15">
      <c r="A287" s="10">
        <v>45872.600694444962</v>
      </c>
      <c r="B287">
        <f>COUNT(A287:$A$1158)/(48*252)</f>
        <v>7.2089947089947093E-2</v>
      </c>
      <c r="C287">
        <v>2.165</v>
      </c>
      <c r="D287">
        <v>6.2E-2</v>
      </c>
      <c r="E287">
        <f t="shared" si="48"/>
        <v>1.1084805698579427</v>
      </c>
      <c r="F287">
        <f t="shared" si="49"/>
        <v>-0.13382716296608743</v>
      </c>
      <c r="G287">
        <f t="shared" si="52"/>
        <v>0</v>
      </c>
      <c r="H287">
        <f>IF(MOD(COUNTA($C$7:C287)-1,$J$2),H286,ROUND(F287*P287,-2))</f>
        <v>-1300</v>
      </c>
      <c r="I287">
        <f t="shared" si="53"/>
        <v>0</v>
      </c>
      <c r="J287">
        <f t="shared" si="54"/>
        <v>0</v>
      </c>
      <c r="K287">
        <f t="shared" si="55"/>
        <v>3149.4529480978699</v>
      </c>
      <c r="L287">
        <f t="shared" si="56"/>
        <v>334.95294809786992</v>
      </c>
      <c r="M287">
        <f t="shared" si="57"/>
        <v>0</v>
      </c>
      <c r="N287">
        <f t="shared" si="59"/>
        <v>334.95294809786992</v>
      </c>
      <c r="O287" s="5">
        <f t="shared" si="50"/>
        <v>2.4206449729452351E-2</v>
      </c>
      <c r="P287">
        <f t="shared" si="58"/>
        <v>10000</v>
      </c>
      <c r="Q287">
        <f t="shared" si="51"/>
        <v>242.06449729452351</v>
      </c>
    </row>
    <row r="288" spans="1:17" x14ac:dyDescent="0.15">
      <c r="A288" s="10">
        <v>45872.604166666977</v>
      </c>
      <c r="B288">
        <f>COUNT(A288:$A$1158)/(48*252)</f>
        <v>7.2007275132275131E-2</v>
      </c>
      <c r="C288">
        <v>2.1560000000000001</v>
      </c>
      <c r="D288">
        <v>5.8999999999999997E-2</v>
      </c>
      <c r="E288">
        <f t="shared" si="48"/>
        <v>1.0820472156386234</v>
      </c>
      <c r="F288">
        <f t="shared" si="49"/>
        <v>-0.13961577421791149</v>
      </c>
      <c r="G288">
        <f t="shared" si="52"/>
        <v>-8.999999999999897E-3</v>
      </c>
      <c r="H288">
        <f>IF(MOD(COUNTA($C$7:C288)-1,$J$2),H287,ROUND(F288*P288,-2))</f>
        <v>-1300</v>
      </c>
      <c r="I288">
        <f t="shared" si="53"/>
        <v>0</v>
      </c>
      <c r="J288">
        <f t="shared" si="54"/>
        <v>0</v>
      </c>
      <c r="K288">
        <f t="shared" si="55"/>
        <v>3149.4529480978699</v>
      </c>
      <c r="L288">
        <f t="shared" si="56"/>
        <v>346.65294809786974</v>
      </c>
      <c r="M288">
        <f t="shared" si="57"/>
        <v>11.699999999999818</v>
      </c>
      <c r="N288">
        <f t="shared" si="59"/>
        <v>346.65294809786974</v>
      </c>
      <c r="O288" s="5">
        <f t="shared" si="50"/>
        <v>2.5395642297197984E-2</v>
      </c>
      <c r="P288">
        <f t="shared" si="58"/>
        <v>10000</v>
      </c>
      <c r="Q288">
        <f t="shared" si="51"/>
        <v>253.95642297197983</v>
      </c>
    </row>
    <row r="289" spans="1:17" x14ac:dyDescent="0.15">
      <c r="A289" s="10">
        <v>45872.607638888992</v>
      </c>
      <c r="B289">
        <f>COUNT(A289:$A$1158)/(48*252)</f>
        <v>7.1924603174603169E-2</v>
      </c>
      <c r="C289">
        <v>2.1579999999999999</v>
      </c>
      <c r="D289">
        <v>5.8999999999999997E-2</v>
      </c>
      <c r="E289">
        <f t="shared" si="48"/>
        <v>1.0885694372458288</v>
      </c>
      <c r="F289">
        <f t="shared" si="49"/>
        <v>-0.13817190025178538</v>
      </c>
      <c r="G289">
        <f t="shared" si="52"/>
        <v>1.9999999999997797E-3</v>
      </c>
      <c r="H289">
        <f>IF(MOD(COUNTA($C$7:C289)-1,$J$2),H288,ROUND(F289*P289,-2))</f>
        <v>-1400</v>
      </c>
      <c r="I289">
        <f t="shared" si="53"/>
        <v>-100</v>
      </c>
      <c r="J289">
        <f t="shared" si="54"/>
        <v>0</v>
      </c>
      <c r="K289">
        <f t="shared" si="55"/>
        <v>3365.24323709787</v>
      </c>
      <c r="L289">
        <f t="shared" si="56"/>
        <v>344.04323709787013</v>
      </c>
      <c r="M289">
        <f t="shared" si="57"/>
        <v>-2.6097109999996064</v>
      </c>
      <c r="N289">
        <f t="shared" si="59"/>
        <v>344.04323709787013</v>
      </c>
      <c r="O289" s="5">
        <f t="shared" si="50"/>
        <v>2.5076302206134493E-2</v>
      </c>
      <c r="P289">
        <f t="shared" si="58"/>
        <v>10000</v>
      </c>
      <c r="Q289">
        <f t="shared" si="51"/>
        <v>250.76302206134494</v>
      </c>
    </row>
    <row r="290" spans="1:17" x14ac:dyDescent="0.15">
      <c r="A290" s="10">
        <v>45872.611111111008</v>
      </c>
      <c r="B290">
        <f>COUNT(A290:$A$1158)/(48*252)</f>
        <v>7.1841931216931221E-2</v>
      </c>
      <c r="C290">
        <v>2.153</v>
      </c>
      <c r="D290">
        <v>5.7000000000000002E-2</v>
      </c>
      <c r="E290">
        <f t="shared" si="48"/>
        <v>1.074058307974767</v>
      </c>
      <c r="F290">
        <f t="shared" si="49"/>
        <v>-0.14139827454538456</v>
      </c>
      <c r="G290">
        <f t="shared" si="52"/>
        <v>-4.9999999999998934E-3</v>
      </c>
      <c r="H290">
        <f>IF(MOD(COUNTA($C$7:C290)-1,$J$2),H289,ROUND(F290*P290,-2))</f>
        <v>-1400</v>
      </c>
      <c r="I290">
        <f t="shared" si="53"/>
        <v>0</v>
      </c>
      <c r="J290">
        <f t="shared" si="54"/>
        <v>0</v>
      </c>
      <c r="K290">
        <f t="shared" si="55"/>
        <v>3365.24323709787</v>
      </c>
      <c r="L290">
        <f t="shared" si="56"/>
        <v>351.04323709787013</v>
      </c>
      <c r="M290">
        <f t="shared" si="57"/>
        <v>7</v>
      </c>
      <c r="N290">
        <f t="shared" si="59"/>
        <v>351.04323709787013</v>
      </c>
      <c r="O290" s="5">
        <f t="shared" si="50"/>
        <v>2.5733474078215968E-2</v>
      </c>
      <c r="P290">
        <f t="shared" si="58"/>
        <v>10000</v>
      </c>
      <c r="Q290">
        <f t="shared" si="51"/>
        <v>257.33474078215966</v>
      </c>
    </row>
    <row r="291" spans="1:17" x14ac:dyDescent="0.15">
      <c r="A291" s="10">
        <v>45872.614583333023</v>
      </c>
      <c r="B291">
        <f>COUNT(A291:$A$1158)/(48*252)</f>
        <v>7.1759259259259259E-2</v>
      </c>
      <c r="C291">
        <v>2.1560000000000001</v>
      </c>
      <c r="D291">
        <v>5.7000000000000002E-2</v>
      </c>
      <c r="E291">
        <f t="shared" si="48"/>
        <v>1.0836007437158575</v>
      </c>
      <c r="F291">
        <f t="shared" si="49"/>
        <v>-0.13927093047309358</v>
      </c>
      <c r="G291">
        <f t="shared" si="52"/>
        <v>3.0000000000001137E-3</v>
      </c>
      <c r="H291">
        <f>IF(MOD(COUNTA($C$7:C291)-1,$J$2),H290,ROUND(F291*P291,-2))</f>
        <v>-1400</v>
      </c>
      <c r="I291">
        <f t="shared" si="53"/>
        <v>0</v>
      </c>
      <c r="J291">
        <f t="shared" si="54"/>
        <v>0</v>
      </c>
      <c r="K291">
        <f t="shared" si="55"/>
        <v>3365.24323709787</v>
      </c>
      <c r="L291">
        <f t="shared" si="56"/>
        <v>346.84323709786986</v>
      </c>
      <c r="M291">
        <f t="shared" si="57"/>
        <v>-4.2000000000002728</v>
      </c>
      <c r="N291">
        <f t="shared" si="59"/>
        <v>346.84323709786986</v>
      </c>
      <c r="O291" s="5">
        <f t="shared" si="50"/>
        <v>2.5270631705808955E-2</v>
      </c>
      <c r="P291">
        <f t="shared" si="58"/>
        <v>10000</v>
      </c>
      <c r="Q291">
        <f t="shared" si="51"/>
        <v>252.70631705808955</v>
      </c>
    </row>
    <row r="292" spans="1:17" x14ac:dyDescent="0.15">
      <c r="A292" s="10">
        <v>45872.618055555969</v>
      </c>
      <c r="B292">
        <f>COUNT(A292:$A$1158)/(48*252)</f>
        <v>7.1676587301587297E-2</v>
      </c>
      <c r="C292">
        <v>2.1520000000000001</v>
      </c>
      <c r="D292">
        <v>5.3999999999999999E-2</v>
      </c>
      <c r="E292">
        <f t="shared" si="48"/>
        <v>1.0720723129319909</v>
      </c>
      <c r="F292">
        <f t="shared" si="49"/>
        <v>-0.14184377677870186</v>
      </c>
      <c r="G292">
        <f t="shared" si="52"/>
        <v>-4.0000000000000036E-3</v>
      </c>
      <c r="H292">
        <f>IF(MOD(COUNTA($C$7:C292)-1,$J$2),H291,ROUND(F292*P292,-2))</f>
        <v>-1400</v>
      </c>
      <c r="I292">
        <f t="shared" si="53"/>
        <v>0</v>
      </c>
      <c r="J292">
        <f t="shared" si="54"/>
        <v>0</v>
      </c>
      <c r="K292">
        <f t="shared" si="55"/>
        <v>3365.24323709787</v>
      </c>
      <c r="L292">
        <f t="shared" si="56"/>
        <v>352.44323709786977</v>
      </c>
      <c r="M292">
        <f t="shared" si="57"/>
        <v>5.5999999999999091</v>
      </c>
      <c r="N292">
        <f t="shared" si="59"/>
        <v>352.44323709786977</v>
      </c>
      <c r="O292" s="5">
        <f t="shared" si="50"/>
        <v>2.5790944527270432E-2</v>
      </c>
      <c r="P292">
        <f t="shared" si="58"/>
        <v>10000</v>
      </c>
      <c r="Q292">
        <f t="shared" si="51"/>
        <v>257.90944527270432</v>
      </c>
    </row>
    <row r="293" spans="1:17" x14ac:dyDescent="0.15">
      <c r="A293" s="10">
        <v>45872.621527777985</v>
      </c>
      <c r="B293">
        <f>COUNT(A293:$A$1158)/(48*252)</f>
        <v>7.1593915343915349E-2</v>
      </c>
      <c r="C293">
        <v>2.1680000000000001</v>
      </c>
      <c r="D293">
        <v>5.8000000000000003E-2</v>
      </c>
      <c r="E293">
        <f t="shared" si="48"/>
        <v>1.1206728923179043</v>
      </c>
      <c r="F293">
        <f t="shared" si="49"/>
        <v>-0.13121356247354377</v>
      </c>
      <c r="G293">
        <f t="shared" si="52"/>
        <v>1.6000000000000014E-2</v>
      </c>
      <c r="H293">
        <f>IF(MOD(COUNTA($C$7:C293)-1,$J$2),H292,ROUND(F293*P293,-2))</f>
        <v>-1300</v>
      </c>
      <c r="I293">
        <f t="shared" si="53"/>
        <v>100</v>
      </c>
      <c r="J293">
        <f t="shared" si="54"/>
        <v>0</v>
      </c>
      <c r="K293">
        <f t="shared" si="55"/>
        <v>3148.4334810978698</v>
      </c>
      <c r="L293">
        <f t="shared" si="56"/>
        <v>330.03348109786975</v>
      </c>
      <c r="M293">
        <f t="shared" si="57"/>
        <v>-22.409756000000016</v>
      </c>
      <c r="N293">
        <f t="shared" si="59"/>
        <v>330.03348109786975</v>
      </c>
      <c r="O293" s="5">
        <f t="shared" si="50"/>
        <v>2.3566116060101727E-2</v>
      </c>
      <c r="P293">
        <f t="shared" si="58"/>
        <v>10000</v>
      </c>
      <c r="Q293">
        <f t="shared" si="51"/>
        <v>235.66116060101729</v>
      </c>
    </row>
    <row r="294" spans="1:17" x14ac:dyDescent="0.15">
      <c r="A294" s="10">
        <v>45872.625</v>
      </c>
      <c r="B294">
        <f>COUNT(A294:$A$1158)/(48*252)</f>
        <v>7.1511243386243387E-2</v>
      </c>
      <c r="C294">
        <v>2.1709999999999998</v>
      </c>
      <c r="D294">
        <v>5.7000000000000002E-2</v>
      </c>
      <c r="E294">
        <f t="shared" si="48"/>
        <v>1.1301973373939986</v>
      </c>
      <c r="F294">
        <f t="shared" si="49"/>
        <v>-0.12919654073776787</v>
      </c>
      <c r="G294">
        <f t="shared" si="52"/>
        <v>2.9999999999996696E-3</v>
      </c>
      <c r="H294">
        <f>IF(MOD(COUNTA($C$7:C294)-1,$J$2),H293,ROUND(F294*P294,-2))</f>
        <v>-1300</v>
      </c>
      <c r="I294">
        <f t="shared" si="53"/>
        <v>0</v>
      </c>
      <c r="J294">
        <f t="shared" si="54"/>
        <v>0</v>
      </c>
      <c r="K294">
        <f t="shared" si="55"/>
        <v>3148.4334810978698</v>
      </c>
      <c r="L294">
        <f t="shared" si="56"/>
        <v>326.13348109787012</v>
      </c>
      <c r="M294">
        <f t="shared" si="57"/>
        <v>-3.8999999999996362</v>
      </c>
      <c r="N294">
        <f t="shared" si="59"/>
        <v>326.13348109787012</v>
      </c>
      <c r="O294" s="5">
        <f t="shared" si="50"/>
        <v>2.3135390640200426E-2</v>
      </c>
      <c r="P294">
        <f t="shared" si="58"/>
        <v>10000</v>
      </c>
      <c r="Q294">
        <f t="shared" si="51"/>
        <v>231.35390640200427</v>
      </c>
    </row>
    <row r="295" spans="1:17" x14ac:dyDescent="0.15">
      <c r="A295" s="10">
        <v>45875.399305555969</v>
      </c>
      <c r="B295">
        <f>COUNT(A295:$A$1158)/(48*252)</f>
        <v>7.1428571428571425E-2</v>
      </c>
      <c r="C295">
        <v>2.1659999999999999</v>
      </c>
      <c r="D295">
        <v>5.7000000000000002E-2</v>
      </c>
      <c r="E295">
        <f t="shared" si="48"/>
        <v>1.1157605558437711</v>
      </c>
      <c r="F295">
        <f t="shared" si="49"/>
        <v>-0.13226232097652557</v>
      </c>
      <c r="G295">
        <f t="shared" si="52"/>
        <v>-4.9999999999998934E-3</v>
      </c>
      <c r="H295">
        <f>IF(MOD(COUNTA($C$7:C295)-1,$J$2),H294,ROUND(F295*P295,-2))</f>
        <v>-1300</v>
      </c>
      <c r="I295">
        <f t="shared" si="53"/>
        <v>0</v>
      </c>
      <c r="J295">
        <f t="shared" si="54"/>
        <v>0</v>
      </c>
      <c r="K295">
        <f t="shared" si="55"/>
        <v>3148.4334810978698</v>
      </c>
      <c r="L295">
        <f t="shared" si="56"/>
        <v>332.63348109787012</v>
      </c>
      <c r="M295">
        <f t="shared" si="57"/>
        <v>6.5</v>
      </c>
      <c r="N295">
        <f t="shared" si="59"/>
        <v>332.63348109787012</v>
      </c>
      <c r="O295" s="5">
        <f t="shared" si="50"/>
        <v>2.3748781917644013E-2</v>
      </c>
      <c r="P295">
        <f t="shared" si="58"/>
        <v>10000</v>
      </c>
      <c r="Q295">
        <f t="shared" si="51"/>
        <v>237.48781917644013</v>
      </c>
    </row>
    <row r="296" spans="1:17" x14ac:dyDescent="0.15">
      <c r="A296" s="10">
        <v>45875.402777777985</v>
      </c>
      <c r="B296">
        <f>COUNT(A296:$A$1158)/(48*252)</f>
        <v>7.1345899470899476E-2</v>
      </c>
      <c r="C296">
        <v>2.1659999999999999</v>
      </c>
      <c r="D296">
        <v>5.8000000000000003E-2</v>
      </c>
      <c r="E296">
        <f t="shared" si="48"/>
        <v>1.1163015893940254</v>
      </c>
      <c r="F296">
        <f t="shared" si="49"/>
        <v>-0.13214653075897664</v>
      </c>
      <c r="G296">
        <f t="shared" si="52"/>
        <v>0</v>
      </c>
      <c r="H296">
        <f>IF(MOD(COUNTA($C$7:C296)-1,$J$2),H295,ROUND(F296*P296,-2))</f>
        <v>-1300</v>
      </c>
      <c r="I296">
        <f t="shared" si="53"/>
        <v>0</v>
      </c>
      <c r="J296">
        <f t="shared" si="54"/>
        <v>0</v>
      </c>
      <c r="K296">
        <f t="shared" si="55"/>
        <v>3148.4334810978698</v>
      </c>
      <c r="L296">
        <f t="shared" si="56"/>
        <v>332.63348109787012</v>
      </c>
      <c r="M296">
        <f t="shared" si="57"/>
        <v>0</v>
      </c>
      <c r="N296">
        <f t="shared" si="59"/>
        <v>332.63348109787012</v>
      </c>
      <c r="O296" s="5">
        <f t="shared" si="50"/>
        <v>2.3708262556563275E-2</v>
      </c>
      <c r="P296">
        <f t="shared" si="58"/>
        <v>10000</v>
      </c>
      <c r="Q296">
        <f t="shared" si="51"/>
        <v>237.08262556563275</v>
      </c>
    </row>
    <row r="297" spans="1:17" x14ac:dyDescent="0.15">
      <c r="A297" s="10">
        <v>45875.40625</v>
      </c>
      <c r="B297">
        <f>COUNT(A297:$A$1158)/(48*252)</f>
        <v>7.1263227513227514E-2</v>
      </c>
      <c r="C297">
        <v>2.1579999999999999</v>
      </c>
      <c r="D297">
        <v>5.5E-2</v>
      </c>
      <c r="E297">
        <f t="shared" si="48"/>
        <v>1.0927668713324288</v>
      </c>
      <c r="F297">
        <f t="shared" si="49"/>
        <v>-0.13724808530238441</v>
      </c>
      <c r="G297">
        <f t="shared" si="52"/>
        <v>-8.0000000000000071E-3</v>
      </c>
      <c r="H297">
        <f>IF(MOD(COUNTA($C$7:C297)-1,$J$2),H296,ROUND(F297*P297,-2))</f>
        <v>-1400</v>
      </c>
      <c r="I297">
        <f t="shared" si="53"/>
        <v>-100</v>
      </c>
      <c r="J297">
        <f t="shared" si="54"/>
        <v>0</v>
      </c>
      <c r="K297">
        <f t="shared" si="55"/>
        <v>3364.2237700978699</v>
      </c>
      <c r="L297">
        <f t="shared" si="56"/>
        <v>343.02377009787006</v>
      </c>
      <c r="M297">
        <f t="shared" si="57"/>
        <v>10.390288999999939</v>
      </c>
      <c r="N297">
        <f t="shared" si="59"/>
        <v>343.02377009787006</v>
      </c>
      <c r="O297" s="5">
        <f t="shared" si="50"/>
        <v>2.4744752844682083E-2</v>
      </c>
      <c r="P297">
        <f t="shared" si="58"/>
        <v>10000</v>
      </c>
      <c r="Q297">
        <f t="shared" si="51"/>
        <v>247.44752844682083</v>
      </c>
    </row>
    <row r="298" spans="1:17" x14ac:dyDescent="0.15">
      <c r="A298" s="10">
        <v>45875.409722222015</v>
      </c>
      <c r="B298">
        <f>COUNT(A298:$A$1158)/(48*252)</f>
        <v>7.1180555555555552E-2</v>
      </c>
      <c r="C298">
        <v>2.1520000000000001</v>
      </c>
      <c r="D298">
        <v>5.1999999999999998E-2</v>
      </c>
      <c r="E298">
        <f t="shared" si="48"/>
        <v>1.0751692049999126</v>
      </c>
      <c r="F298">
        <f t="shared" si="49"/>
        <v>-0.1411494900078788</v>
      </c>
      <c r="G298">
        <f t="shared" si="52"/>
        <v>-5.9999999999997833E-3</v>
      </c>
      <c r="H298">
        <f>IF(MOD(COUNTA($C$7:C298)-1,$J$2),H297,ROUND(F298*P298,-2))</f>
        <v>-1400</v>
      </c>
      <c r="I298">
        <f t="shared" si="53"/>
        <v>0</v>
      </c>
      <c r="J298">
        <f t="shared" si="54"/>
        <v>0</v>
      </c>
      <c r="K298">
        <f t="shared" si="55"/>
        <v>3364.2237700978699</v>
      </c>
      <c r="L298">
        <f t="shared" si="56"/>
        <v>351.42377009786969</v>
      </c>
      <c r="M298">
        <f t="shared" si="57"/>
        <v>8.3999999999996362</v>
      </c>
      <c r="N298">
        <f t="shared" si="59"/>
        <v>351.42377009786969</v>
      </c>
      <c r="O298" s="5">
        <f t="shared" si="50"/>
        <v>2.55381043921169E-2</v>
      </c>
      <c r="P298">
        <f t="shared" si="58"/>
        <v>10000</v>
      </c>
      <c r="Q298">
        <f t="shared" si="51"/>
        <v>255.38104392116901</v>
      </c>
    </row>
    <row r="299" spans="1:17" x14ac:dyDescent="0.15">
      <c r="A299" s="10">
        <v>45875.413194444962</v>
      </c>
      <c r="B299">
        <f>COUNT(A299:$A$1158)/(48*252)</f>
        <v>7.1097883597883604E-2</v>
      </c>
      <c r="C299">
        <v>2.153</v>
      </c>
      <c r="D299">
        <v>5.1999999999999998E-2</v>
      </c>
      <c r="E299">
        <f t="shared" si="48"/>
        <v>1.0787151026664021</v>
      </c>
      <c r="F299">
        <f t="shared" si="49"/>
        <v>-0.14035737548851046</v>
      </c>
      <c r="G299">
        <f t="shared" si="52"/>
        <v>9.9999999999988987E-4</v>
      </c>
      <c r="H299">
        <f>IF(MOD(COUNTA($C$7:C299)-1,$J$2),H298,ROUND(F299*P299,-2))</f>
        <v>-1400</v>
      </c>
      <c r="I299">
        <f t="shared" si="53"/>
        <v>0</v>
      </c>
      <c r="J299">
        <f t="shared" si="54"/>
        <v>0</v>
      </c>
      <c r="K299">
        <f t="shared" si="55"/>
        <v>3364.2237700978699</v>
      </c>
      <c r="L299">
        <f t="shared" si="56"/>
        <v>350.02377009787006</v>
      </c>
      <c r="M299">
        <f t="shared" si="57"/>
        <v>-1.3999999999996362</v>
      </c>
      <c r="N299">
        <f t="shared" si="59"/>
        <v>350.02377009787006</v>
      </c>
      <c r="O299" s="5">
        <f t="shared" si="50"/>
        <v>2.5355263169335118E-2</v>
      </c>
      <c r="P299">
        <f t="shared" si="58"/>
        <v>10000</v>
      </c>
      <c r="Q299">
        <f t="shared" si="51"/>
        <v>253.55263169335117</v>
      </c>
    </row>
    <row r="300" spans="1:17" x14ac:dyDescent="0.15">
      <c r="A300" s="10">
        <v>45875.416666666977</v>
      </c>
      <c r="B300">
        <f>COUNT(A300:$A$1158)/(48*252)</f>
        <v>7.1015211640211642E-2</v>
      </c>
      <c r="C300">
        <v>2.1560000000000001</v>
      </c>
      <c r="D300">
        <v>5.2999999999999999E-2</v>
      </c>
      <c r="E300">
        <f t="shared" si="48"/>
        <v>1.0883133541929615</v>
      </c>
      <c r="F300">
        <f t="shared" si="49"/>
        <v>-0.13822839857434321</v>
      </c>
      <c r="G300">
        <f t="shared" si="52"/>
        <v>3.0000000000001137E-3</v>
      </c>
      <c r="H300">
        <f>IF(MOD(COUNTA($C$7:C300)-1,$J$2),H299,ROUND(F300*P300,-2))</f>
        <v>-1400</v>
      </c>
      <c r="I300">
        <f t="shared" si="53"/>
        <v>0</v>
      </c>
      <c r="J300">
        <f t="shared" si="54"/>
        <v>0</v>
      </c>
      <c r="K300">
        <f t="shared" si="55"/>
        <v>3364.2237700978699</v>
      </c>
      <c r="L300">
        <f t="shared" si="56"/>
        <v>345.82377009786978</v>
      </c>
      <c r="M300">
        <f t="shared" si="57"/>
        <v>-4.2000000000002728</v>
      </c>
      <c r="N300">
        <f t="shared" si="59"/>
        <v>345.82377009786978</v>
      </c>
      <c r="O300" s="5">
        <f t="shared" si="50"/>
        <v>2.4895533376165624E-2</v>
      </c>
      <c r="P300">
        <f t="shared" si="58"/>
        <v>10000</v>
      </c>
      <c r="Q300">
        <f t="shared" si="51"/>
        <v>248.95533376165625</v>
      </c>
    </row>
    <row r="301" spans="1:17" x14ac:dyDescent="0.15">
      <c r="A301" s="10">
        <v>45875.420138888992</v>
      </c>
      <c r="B301">
        <f>COUNT(A301:$A$1158)/(48*252)</f>
        <v>7.093253968253968E-2</v>
      </c>
      <c r="C301">
        <v>2.1579999999999999</v>
      </c>
      <c r="D301">
        <v>5.2999999999999999E-2</v>
      </c>
      <c r="E301">
        <f t="shared" si="48"/>
        <v>1.0948890379343912</v>
      </c>
      <c r="F301">
        <f t="shared" si="49"/>
        <v>-0.13678262606088287</v>
      </c>
      <c r="G301">
        <f t="shared" si="52"/>
        <v>1.9999999999997797E-3</v>
      </c>
      <c r="H301">
        <f>IF(MOD(COUNTA($C$7:C301)-1,$J$2),H300,ROUND(F301*P301,-2))</f>
        <v>-1400</v>
      </c>
      <c r="I301">
        <f t="shared" si="53"/>
        <v>0</v>
      </c>
      <c r="J301">
        <f t="shared" si="54"/>
        <v>0</v>
      </c>
      <c r="K301">
        <f t="shared" si="55"/>
        <v>3364.2237700978699</v>
      </c>
      <c r="L301">
        <f t="shared" si="56"/>
        <v>343.02377009787006</v>
      </c>
      <c r="M301">
        <f t="shared" si="57"/>
        <v>-2.7999999999997272</v>
      </c>
      <c r="N301">
        <f t="shared" si="59"/>
        <v>343.02377009787006</v>
      </c>
      <c r="O301" s="5">
        <f t="shared" si="50"/>
        <v>2.4578957434838067E-2</v>
      </c>
      <c r="P301">
        <f t="shared" si="58"/>
        <v>10000</v>
      </c>
      <c r="Q301">
        <f t="shared" si="51"/>
        <v>245.78957434838065</v>
      </c>
    </row>
    <row r="302" spans="1:17" x14ac:dyDescent="0.15">
      <c r="A302" s="10">
        <v>45875.423611111008</v>
      </c>
      <c r="B302">
        <f>COUNT(A302:$A$1158)/(48*252)</f>
        <v>7.0849867724867718E-2</v>
      </c>
      <c r="C302">
        <v>2.153</v>
      </c>
      <c r="D302">
        <v>5.0999999999999997E-2</v>
      </c>
      <c r="E302">
        <f t="shared" si="48"/>
        <v>1.0802847494679571</v>
      </c>
      <c r="F302">
        <f t="shared" si="49"/>
        <v>-0.14000769937207236</v>
      </c>
      <c r="G302">
        <f t="shared" si="52"/>
        <v>-4.9999999999998934E-3</v>
      </c>
      <c r="H302">
        <f>IF(MOD(COUNTA($C$7:C302)-1,$J$2),H301,ROUND(F302*P302,-2))</f>
        <v>-1400</v>
      </c>
      <c r="I302">
        <f t="shared" si="53"/>
        <v>0</v>
      </c>
      <c r="J302">
        <f t="shared" si="54"/>
        <v>0</v>
      </c>
      <c r="K302">
        <f t="shared" si="55"/>
        <v>3364.2237700978699</v>
      </c>
      <c r="L302">
        <f t="shared" si="56"/>
        <v>350.02377009787006</v>
      </c>
      <c r="M302">
        <f t="shared" si="57"/>
        <v>7</v>
      </c>
      <c r="N302">
        <f t="shared" si="59"/>
        <v>350.02377009787006</v>
      </c>
      <c r="O302" s="5">
        <f t="shared" si="50"/>
        <v>2.5229164535814141E-2</v>
      </c>
      <c r="P302">
        <f t="shared" si="58"/>
        <v>10000</v>
      </c>
      <c r="Q302">
        <f t="shared" si="51"/>
        <v>252.29164535814141</v>
      </c>
    </row>
    <row r="303" spans="1:17" x14ac:dyDescent="0.15">
      <c r="A303" s="10">
        <v>45875.427083333023</v>
      </c>
      <c r="B303">
        <f>COUNT(A303:$A$1158)/(48*252)</f>
        <v>7.076719576719577E-2</v>
      </c>
      <c r="C303">
        <v>2.1579999999999999</v>
      </c>
      <c r="D303">
        <v>5.2999999999999999E-2</v>
      </c>
      <c r="E303">
        <f t="shared" si="48"/>
        <v>1.0959560644387147</v>
      </c>
      <c r="F303">
        <f t="shared" si="49"/>
        <v>-0.13654900105651058</v>
      </c>
      <c r="G303">
        <f t="shared" si="52"/>
        <v>4.9999999999998934E-3</v>
      </c>
      <c r="H303">
        <f>IF(MOD(COUNTA($C$7:C303)-1,$J$2),H302,ROUND(F303*P303,-2))</f>
        <v>-1400</v>
      </c>
      <c r="I303">
        <f t="shared" si="53"/>
        <v>0</v>
      </c>
      <c r="J303">
        <f t="shared" si="54"/>
        <v>0</v>
      </c>
      <c r="K303">
        <f t="shared" si="55"/>
        <v>3364.2237700978699</v>
      </c>
      <c r="L303">
        <f t="shared" si="56"/>
        <v>343.02377009787006</v>
      </c>
      <c r="M303">
        <f t="shared" si="57"/>
        <v>-7</v>
      </c>
      <c r="N303">
        <f t="shared" si="59"/>
        <v>343.02377009787006</v>
      </c>
      <c r="O303" s="5">
        <f t="shared" si="50"/>
        <v>2.4496055329572886E-2</v>
      </c>
      <c r="P303">
        <f t="shared" si="58"/>
        <v>10000</v>
      </c>
      <c r="Q303">
        <f t="shared" si="51"/>
        <v>244.96055329572886</v>
      </c>
    </row>
    <row r="304" spans="1:17" x14ac:dyDescent="0.15">
      <c r="A304" s="10">
        <v>45875.430555555969</v>
      </c>
      <c r="B304">
        <f>COUNT(A304:$A$1158)/(48*252)</f>
        <v>7.0684523809523808E-2</v>
      </c>
      <c r="C304">
        <v>2.1589999999999998</v>
      </c>
      <c r="D304">
        <v>5.3999999999999999E-2</v>
      </c>
      <c r="E304">
        <f t="shared" si="48"/>
        <v>1.0995178594234101</v>
      </c>
      <c r="F304">
        <f t="shared" si="49"/>
        <v>-0.13577112417448089</v>
      </c>
      <c r="G304">
        <f t="shared" si="52"/>
        <v>9.9999999999988987E-4</v>
      </c>
      <c r="H304">
        <f>IF(MOD(COUNTA($C$7:C304)-1,$J$2),H303,ROUND(F304*P304,-2))</f>
        <v>-1400</v>
      </c>
      <c r="I304">
        <f t="shared" si="53"/>
        <v>0</v>
      </c>
      <c r="J304">
        <f t="shared" si="54"/>
        <v>0</v>
      </c>
      <c r="K304">
        <f t="shared" si="55"/>
        <v>3364.2237700978699</v>
      </c>
      <c r="L304">
        <f t="shared" si="56"/>
        <v>341.62377009786996</v>
      </c>
      <c r="M304">
        <f t="shared" si="57"/>
        <v>-1.4000000000000909</v>
      </c>
      <c r="N304">
        <f t="shared" si="59"/>
        <v>341.62377009786996</v>
      </c>
      <c r="O304" s="5">
        <f t="shared" si="50"/>
        <v>2.4318501940899184E-2</v>
      </c>
      <c r="P304">
        <f t="shared" si="58"/>
        <v>10000</v>
      </c>
      <c r="Q304">
        <f t="shared" si="51"/>
        <v>243.18501940899185</v>
      </c>
    </row>
    <row r="305" spans="1:17" x14ac:dyDescent="0.15">
      <c r="A305" s="10">
        <v>45875.434027777985</v>
      </c>
      <c r="B305">
        <f>COUNT(A305:$A$1158)/(48*252)</f>
        <v>7.0601851851851846E-2</v>
      </c>
      <c r="C305">
        <v>2.1589999999999998</v>
      </c>
      <c r="D305">
        <v>5.3999999999999999E-2</v>
      </c>
      <c r="E305">
        <f t="shared" si="48"/>
        <v>1.1000556416501897</v>
      </c>
      <c r="F305">
        <f t="shared" si="49"/>
        <v>-0.13565393966271166</v>
      </c>
      <c r="G305">
        <f t="shared" si="52"/>
        <v>0</v>
      </c>
      <c r="H305">
        <f>IF(MOD(COUNTA($C$7:C305)-1,$J$2),H304,ROUND(F305*P305,-2))</f>
        <v>-1400</v>
      </c>
      <c r="I305">
        <f t="shared" si="53"/>
        <v>0</v>
      </c>
      <c r="J305">
        <f t="shared" si="54"/>
        <v>0</v>
      </c>
      <c r="K305">
        <f t="shared" si="55"/>
        <v>3364.2237700978699</v>
      </c>
      <c r="L305">
        <f t="shared" si="56"/>
        <v>341.62377009786996</v>
      </c>
      <c r="M305">
        <f t="shared" si="57"/>
        <v>0</v>
      </c>
      <c r="N305">
        <f t="shared" si="59"/>
        <v>341.62377009786996</v>
      </c>
      <c r="O305" s="5">
        <f t="shared" si="50"/>
        <v>2.427716644505562E-2</v>
      </c>
      <c r="P305">
        <f t="shared" si="58"/>
        <v>10000</v>
      </c>
      <c r="Q305">
        <f t="shared" si="51"/>
        <v>242.77166445055622</v>
      </c>
    </row>
    <row r="306" spans="1:17" x14ac:dyDescent="0.15">
      <c r="A306" s="10">
        <v>45875.4375</v>
      </c>
      <c r="B306">
        <f>COUNT(A306:$A$1158)/(48*252)</f>
        <v>7.0519179894179898E-2</v>
      </c>
      <c r="C306">
        <v>2.16</v>
      </c>
      <c r="D306">
        <v>5.2999999999999999E-2</v>
      </c>
      <c r="E306">
        <f t="shared" si="48"/>
        <v>1.1036233600144028</v>
      </c>
      <c r="F306">
        <f t="shared" si="49"/>
        <v>-0.1348782767815413</v>
      </c>
      <c r="G306">
        <f t="shared" si="52"/>
        <v>1.000000000000334E-3</v>
      </c>
      <c r="H306">
        <f>IF(MOD(COUNTA($C$7:C306)-1,$J$2),H305,ROUND(F306*P306,-2))</f>
        <v>-1400</v>
      </c>
      <c r="I306">
        <f t="shared" si="53"/>
        <v>0</v>
      </c>
      <c r="J306">
        <f t="shared" si="54"/>
        <v>0</v>
      </c>
      <c r="K306">
        <f t="shared" si="55"/>
        <v>3364.2237700978699</v>
      </c>
      <c r="L306">
        <f t="shared" si="56"/>
        <v>340.22377009786987</v>
      </c>
      <c r="M306">
        <f t="shared" si="57"/>
        <v>-1.4000000000000909</v>
      </c>
      <c r="N306">
        <f t="shared" si="59"/>
        <v>340.22377009786987</v>
      </c>
      <c r="O306" s="5">
        <f t="shared" si="50"/>
        <v>2.4100623267097665E-2</v>
      </c>
      <c r="P306">
        <f t="shared" si="58"/>
        <v>10000</v>
      </c>
      <c r="Q306">
        <f t="shared" si="51"/>
        <v>241.00623267097666</v>
      </c>
    </row>
    <row r="307" spans="1:17" x14ac:dyDescent="0.15">
      <c r="A307" s="10">
        <v>45875.440972222015</v>
      </c>
      <c r="B307">
        <f>COUNT(A307:$A$1158)/(48*252)</f>
        <v>7.0436507936507936E-2</v>
      </c>
      <c r="C307">
        <v>2.1560000000000001</v>
      </c>
      <c r="D307">
        <v>5.1999999999999998E-2</v>
      </c>
      <c r="E307">
        <f t="shared" si="48"/>
        <v>1.0920336843190697</v>
      </c>
      <c r="F307">
        <f t="shared" si="49"/>
        <v>-0.13740914789946468</v>
      </c>
      <c r="G307">
        <f t="shared" si="52"/>
        <v>-4.0000000000000036E-3</v>
      </c>
      <c r="H307">
        <f>IF(MOD(COUNTA($C$7:C307)-1,$J$2),H306,ROUND(F307*P307,-2))</f>
        <v>-1400</v>
      </c>
      <c r="I307">
        <f t="shared" si="53"/>
        <v>0</v>
      </c>
      <c r="J307">
        <f t="shared" si="54"/>
        <v>0</v>
      </c>
      <c r="K307">
        <f t="shared" si="55"/>
        <v>3364.2237700978699</v>
      </c>
      <c r="L307">
        <f t="shared" si="56"/>
        <v>345.82377009786978</v>
      </c>
      <c r="M307">
        <f t="shared" si="57"/>
        <v>5.5999999999999091</v>
      </c>
      <c r="N307">
        <f t="shared" si="59"/>
        <v>345.82377009786978</v>
      </c>
      <c r="O307" s="5">
        <f t="shared" si="50"/>
        <v>2.4603730879247221E-2</v>
      </c>
      <c r="P307">
        <f t="shared" si="58"/>
        <v>10000</v>
      </c>
      <c r="Q307">
        <f t="shared" si="51"/>
        <v>246.0373087924722</v>
      </c>
    </row>
    <row r="308" spans="1:17" x14ac:dyDescent="0.15">
      <c r="A308" s="10">
        <v>45875.444444444962</v>
      </c>
      <c r="B308">
        <f>COUNT(A308:$A$1158)/(48*252)</f>
        <v>7.0353835978835974E-2</v>
      </c>
      <c r="C308">
        <v>2.161</v>
      </c>
      <c r="D308">
        <v>5.2999999999999999E-2</v>
      </c>
      <c r="E308">
        <f t="shared" si="48"/>
        <v>1.1077386129048943</v>
      </c>
      <c r="F308">
        <f t="shared" si="49"/>
        <v>-0.13398735915831606</v>
      </c>
      <c r="G308">
        <f t="shared" si="52"/>
        <v>4.9999999999998934E-3</v>
      </c>
      <c r="H308">
        <f>IF(MOD(COUNTA($C$7:C308)-1,$J$2),H307,ROUND(F308*P308,-2))</f>
        <v>-1400</v>
      </c>
      <c r="I308">
        <f t="shared" si="53"/>
        <v>0</v>
      </c>
      <c r="J308">
        <f t="shared" si="54"/>
        <v>0</v>
      </c>
      <c r="K308">
        <f t="shared" si="55"/>
        <v>3364.2237700978699</v>
      </c>
      <c r="L308">
        <f t="shared" si="56"/>
        <v>338.82377009786978</v>
      </c>
      <c r="M308">
        <f t="shared" si="57"/>
        <v>-7</v>
      </c>
      <c r="N308">
        <f t="shared" si="59"/>
        <v>338.82377009786978</v>
      </c>
      <c r="O308" s="5">
        <f t="shared" si="50"/>
        <v>2.3883870202336899E-2</v>
      </c>
      <c r="P308">
        <f t="shared" si="58"/>
        <v>10000</v>
      </c>
      <c r="Q308">
        <f t="shared" si="51"/>
        <v>238.838702023369</v>
      </c>
    </row>
    <row r="309" spans="1:17" x14ac:dyDescent="0.15">
      <c r="A309" s="10">
        <v>45875.447916666977</v>
      </c>
      <c r="B309">
        <f>COUNT(A309:$A$1158)/(48*252)</f>
        <v>7.0271164021164026E-2</v>
      </c>
      <c r="C309">
        <v>2.1629999999999998</v>
      </c>
      <c r="D309">
        <v>5.2999999999999999E-2</v>
      </c>
      <c r="E309">
        <f t="shared" si="48"/>
        <v>1.1143455299251828</v>
      </c>
      <c r="F309">
        <f t="shared" si="49"/>
        <v>-0.13256549075385493</v>
      </c>
      <c r="G309">
        <f t="shared" si="52"/>
        <v>1.9999999999997797E-3</v>
      </c>
      <c r="H309">
        <f>IF(MOD(COUNTA($C$7:C309)-1,$J$2),H308,ROUND(F309*P309,-2))</f>
        <v>-1300</v>
      </c>
      <c r="I309">
        <f t="shared" si="53"/>
        <v>100</v>
      </c>
      <c r="J309">
        <f t="shared" si="54"/>
        <v>0</v>
      </c>
      <c r="K309">
        <f t="shared" si="55"/>
        <v>3147.9140365978697</v>
      </c>
      <c r="L309">
        <f t="shared" si="56"/>
        <v>336.01403659787002</v>
      </c>
      <c r="M309">
        <f t="shared" si="57"/>
        <v>-2.8097334999997656</v>
      </c>
      <c r="N309">
        <f t="shared" si="59"/>
        <v>336.01403659787002</v>
      </c>
      <c r="O309" s="5">
        <f t="shared" si="50"/>
        <v>2.3576335225647671E-2</v>
      </c>
      <c r="P309">
        <f t="shared" si="58"/>
        <v>10000</v>
      </c>
      <c r="Q309">
        <f t="shared" si="51"/>
        <v>235.76335225647671</v>
      </c>
    </row>
    <row r="310" spans="1:17" x14ac:dyDescent="0.15">
      <c r="A310" s="10">
        <v>45875.451388888992</v>
      </c>
      <c r="B310">
        <f>COUNT(A310:$A$1158)/(48*252)</f>
        <v>7.0188492063492064E-2</v>
      </c>
      <c r="C310">
        <v>2.165</v>
      </c>
      <c r="D310">
        <v>5.3999999999999999E-2</v>
      </c>
      <c r="E310">
        <f t="shared" si="48"/>
        <v>1.1209550047359349</v>
      </c>
      <c r="F310">
        <f t="shared" si="49"/>
        <v>-0.13115350781333213</v>
      </c>
      <c r="G310">
        <f t="shared" si="52"/>
        <v>2.0000000000002238E-3</v>
      </c>
      <c r="H310">
        <f>IF(MOD(COUNTA($C$7:C310)-1,$J$2),H309,ROUND(F310*P310,-2))</f>
        <v>-1300</v>
      </c>
      <c r="I310">
        <f t="shared" si="53"/>
        <v>0</v>
      </c>
      <c r="J310">
        <f t="shared" si="54"/>
        <v>0</v>
      </c>
      <c r="K310">
        <f t="shared" si="55"/>
        <v>3147.9140365978697</v>
      </c>
      <c r="L310">
        <f t="shared" si="56"/>
        <v>333.41403659786965</v>
      </c>
      <c r="M310">
        <f t="shared" si="57"/>
        <v>-2.6000000000003638</v>
      </c>
      <c r="N310">
        <f t="shared" si="59"/>
        <v>333.41403659786965</v>
      </c>
      <c r="O310" s="5">
        <f t="shared" si="50"/>
        <v>2.3271870001360995E-2</v>
      </c>
      <c r="P310">
        <f t="shared" si="58"/>
        <v>10000</v>
      </c>
      <c r="Q310">
        <f t="shared" si="51"/>
        <v>232.71870001360995</v>
      </c>
    </row>
    <row r="311" spans="1:17" x14ac:dyDescent="0.15">
      <c r="A311" s="10">
        <v>45875.454861111008</v>
      </c>
      <c r="B311">
        <f>COUNT(A311:$A$1158)/(48*252)</f>
        <v>7.0105820105820102E-2</v>
      </c>
      <c r="C311">
        <v>2.16</v>
      </c>
      <c r="D311">
        <v>5.1999999999999998E-2</v>
      </c>
      <c r="E311">
        <f t="shared" si="48"/>
        <v>1.1063414407154668</v>
      </c>
      <c r="F311">
        <f t="shared" si="49"/>
        <v>-0.13428938068126883</v>
      </c>
      <c r="G311">
        <f t="shared" si="52"/>
        <v>-4.9999999999998934E-3</v>
      </c>
      <c r="H311">
        <f>IF(MOD(COUNTA($C$7:C311)-1,$J$2),H310,ROUND(F311*P311,-2))</f>
        <v>-1300</v>
      </c>
      <c r="I311">
        <f t="shared" si="53"/>
        <v>0</v>
      </c>
      <c r="J311">
        <f t="shared" si="54"/>
        <v>0</v>
      </c>
      <c r="K311">
        <f t="shared" si="55"/>
        <v>3147.9140365978697</v>
      </c>
      <c r="L311">
        <f t="shared" si="56"/>
        <v>339.91403659786965</v>
      </c>
      <c r="M311">
        <f t="shared" si="57"/>
        <v>6.5</v>
      </c>
      <c r="N311">
        <f t="shared" si="59"/>
        <v>339.91403659786965</v>
      </c>
      <c r="O311" s="5">
        <f t="shared" si="50"/>
        <v>2.3894526738367228E-2</v>
      </c>
      <c r="P311">
        <f t="shared" si="58"/>
        <v>10000</v>
      </c>
      <c r="Q311">
        <f t="shared" si="51"/>
        <v>238.94526738367227</v>
      </c>
    </row>
    <row r="312" spans="1:17" x14ac:dyDescent="0.15">
      <c r="A312" s="10">
        <v>45875.458333333023</v>
      </c>
      <c r="B312">
        <f>COUNT(A312:$A$1158)/(48*252)</f>
        <v>7.0023148148148154E-2</v>
      </c>
      <c r="C312">
        <v>2.16</v>
      </c>
      <c r="D312">
        <v>5.1999999999999998E-2</v>
      </c>
      <c r="E312">
        <f t="shared" si="48"/>
        <v>1.1068881307420779</v>
      </c>
      <c r="F312">
        <f t="shared" si="49"/>
        <v>-0.13417114909572736</v>
      </c>
      <c r="G312">
        <f t="shared" si="52"/>
        <v>0</v>
      </c>
      <c r="H312">
        <f>IF(MOD(COUNTA($C$7:C312)-1,$J$2),H311,ROUND(F312*P312,-2))</f>
        <v>-1300</v>
      </c>
      <c r="I312">
        <f t="shared" si="53"/>
        <v>0</v>
      </c>
      <c r="J312">
        <f t="shared" si="54"/>
        <v>0</v>
      </c>
      <c r="K312">
        <f t="shared" si="55"/>
        <v>3147.9140365978697</v>
      </c>
      <c r="L312">
        <f t="shared" si="56"/>
        <v>339.91403659786965</v>
      </c>
      <c r="M312">
        <f t="shared" si="57"/>
        <v>0</v>
      </c>
      <c r="N312">
        <f t="shared" si="59"/>
        <v>339.91403659786965</v>
      </c>
      <c r="O312" s="5">
        <f t="shared" si="50"/>
        <v>2.3853306950270881E-2</v>
      </c>
      <c r="P312">
        <f t="shared" si="58"/>
        <v>10000</v>
      </c>
      <c r="Q312">
        <f t="shared" si="51"/>
        <v>238.5330695027088</v>
      </c>
    </row>
    <row r="313" spans="1:17" x14ac:dyDescent="0.15">
      <c r="A313" s="10">
        <v>45875.461805555969</v>
      </c>
      <c r="B313">
        <f>COUNT(A313:$A$1158)/(48*252)</f>
        <v>6.9940476190476192E-2</v>
      </c>
      <c r="C313">
        <v>2.1629999999999998</v>
      </c>
      <c r="D313">
        <v>5.1999999999999998E-2</v>
      </c>
      <c r="E313">
        <f t="shared" si="48"/>
        <v>1.116551713147397</v>
      </c>
      <c r="F313">
        <f t="shared" si="49"/>
        <v>-0.13209302372922616</v>
      </c>
      <c r="G313">
        <f t="shared" si="52"/>
        <v>2.9999999999996696E-3</v>
      </c>
      <c r="H313">
        <f>IF(MOD(COUNTA($C$7:C313)-1,$J$2),H312,ROUND(F313*P313,-2))</f>
        <v>-1300</v>
      </c>
      <c r="I313">
        <f t="shared" si="53"/>
        <v>0</v>
      </c>
      <c r="J313">
        <f t="shared" si="54"/>
        <v>0</v>
      </c>
      <c r="K313">
        <f t="shared" si="55"/>
        <v>3147.9140365978697</v>
      </c>
      <c r="L313">
        <f t="shared" si="56"/>
        <v>336.01403659787002</v>
      </c>
      <c r="M313">
        <f t="shared" si="57"/>
        <v>-3.8999999999996362</v>
      </c>
      <c r="N313">
        <f t="shared" si="59"/>
        <v>336.01403659787002</v>
      </c>
      <c r="O313" s="5">
        <f t="shared" si="50"/>
        <v>2.3412874033543141E-2</v>
      </c>
      <c r="P313">
        <f t="shared" si="58"/>
        <v>10000</v>
      </c>
      <c r="Q313">
        <f t="shared" si="51"/>
        <v>234.12874033543142</v>
      </c>
    </row>
    <row r="314" spans="1:17" x14ac:dyDescent="0.15">
      <c r="A314" s="10">
        <v>45875.465277777985</v>
      </c>
      <c r="B314">
        <f>COUNT(A314:$A$1158)/(48*252)</f>
        <v>6.985780423280423E-2</v>
      </c>
      <c r="C314">
        <v>2.1659999999999999</v>
      </c>
      <c r="D314">
        <v>5.3999999999999999E-2</v>
      </c>
      <c r="E314">
        <f t="shared" si="48"/>
        <v>1.1262144731555881</v>
      </c>
      <c r="F314">
        <f t="shared" si="49"/>
        <v>-0.13003737440623364</v>
      </c>
      <c r="G314">
        <f t="shared" si="52"/>
        <v>3.0000000000001137E-3</v>
      </c>
      <c r="H314">
        <f>IF(MOD(COUNTA($C$7:C314)-1,$J$2),H313,ROUND(F314*P314,-2))</f>
        <v>-1300</v>
      </c>
      <c r="I314">
        <f t="shared" si="53"/>
        <v>0</v>
      </c>
      <c r="J314">
        <f t="shared" si="54"/>
        <v>0</v>
      </c>
      <c r="K314">
        <f t="shared" si="55"/>
        <v>3147.9140365978697</v>
      </c>
      <c r="L314">
        <f t="shared" si="56"/>
        <v>332.11403659786993</v>
      </c>
      <c r="M314">
        <f t="shared" si="57"/>
        <v>-3.9000000000000909</v>
      </c>
      <c r="N314">
        <f t="shared" si="59"/>
        <v>332.11403659786993</v>
      </c>
      <c r="O314" s="5">
        <f t="shared" si="50"/>
        <v>2.2978997399423828E-2</v>
      </c>
      <c r="P314">
        <f t="shared" si="58"/>
        <v>10000</v>
      </c>
      <c r="Q314">
        <f t="shared" si="51"/>
        <v>229.7899739942383</v>
      </c>
    </row>
    <row r="315" spans="1:17" x14ac:dyDescent="0.15">
      <c r="A315" s="10">
        <v>45875.46875</v>
      </c>
      <c r="B315">
        <f>COUNT(A315:$A$1158)/(48*252)</f>
        <v>6.9775132275132282E-2</v>
      </c>
      <c r="C315">
        <v>2.1680000000000001</v>
      </c>
      <c r="D315">
        <v>5.3999999999999999E-2</v>
      </c>
      <c r="E315">
        <f t="shared" si="48"/>
        <v>1.1328440576629819</v>
      </c>
      <c r="F315">
        <f t="shared" si="49"/>
        <v>-0.12863987301034796</v>
      </c>
      <c r="G315">
        <f t="shared" si="52"/>
        <v>2.0000000000002238E-3</v>
      </c>
      <c r="H315">
        <f>IF(MOD(COUNTA($C$7:C315)-1,$J$2),H314,ROUND(F315*P315,-2))</f>
        <v>-1300</v>
      </c>
      <c r="I315">
        <f t="shared" si="53"/>
        <v>0</v>
      </c>
      <c r="J315">
        <f t="shared" si="54"/>
        <v>0</v>
      </c>
      <c r="K315">
        <f t="shared" si="55"/>
        <v>3147.9140365978697</v>
      </c>
      <c r="L315">
        <f t="shared" si="56"/>
        <v>329.51403659786956</v>
      </c>
      <c r="M315">
        <f t="shared" si="57"/>
        <v>-2.6000000000003638</v>
      </c>
      <c r="N315">
        <f t="shared" si="59"/>
        <v>329.51403659786956</v>
      </c>
      <c r="O315" s="5">
        <f t="shared" si="50"/>
        <v>2.2679932250920631E-2</v>
      </c>
      <c r="P315">
        <f t="shared" si="58"/>
        <v>10000</v>
      </c>
      <c r="Q315">
        <f t="shared" si="51"/>
        <v>226.79932250920632</v>
      </c>
    </row>
    <row r="316" spans="1:17" x14ac:dyDescent="0.15">
      <c r="A316" s="10">
        <v>45875.472222222015</v>
      </c>
      <c r="B316">
        <f>COUNT(A316:$A$1158)/(48*252)</f>
        <v>6.969246031746032E-2</v>
      </c>
      <c r="C316">
        <v>2.173</v>
      </c>
      <c r="D316">
        <v>5.6000000000000001E-2</v>
      </c>
      <c r="E316">
        <f t="shared" si="48"/>
        <v>1.1485663125531986</v>
      </c>
      <c r="F316">
        <f t="shared" si="49"/>
        <v>-0.12536742730688211</v>
      </c>
      <c r="G316">
        <f t="shared" si="52"/>
        <v>4.9999999999998934E-3</v>
      </c>
      <c r="H316">
        <f>IF(MOD(COUNTA($C$7:C316)-1,$J$2),H315,ROUND(F316*P316,-2))</f>
        <v>-1300</v>
      </c>
      <c r="I316">
        <f t="shared" si="53"/>
        <v>0</v>
      </c>
      <c r="J316">
        <f t="shared" si="54"/>
        <v>0</v>
      </c>
      <c r="K316">
        <f t="shared" si="55"/>
        <v>3147.9140365978697</v>
      </c>
      <c r="L316">
        <f t="shared" si="56"/>
        <v>323.01403659786956</v>
      </c>
      <c r="M316">
        <f t="shared" si="57"/>
        <v>-6.5</v>
      </c>
      <c r="N316">
        <f t="shared" si="59"/>
        <v>323.01403659786956</v>
      </c>
      <c r="O316" s="5">
        <f t="shared" si="50"/>
        <v>2.2004966592781172E-2</v>
      </c>
      <c r="P316">
        <f t="shared" si="58"/>
        <v>10000</v>
      </c>
      <c r="Q316">
        <f t="shared" si="51"/>
        <v>220.04966592781173</v>
      </c>
    </row>
    <row r="317" spans="1:17" x14ac:dyDescent="0.15">
      <c r="A317" s="10">
        <v>45875.475694444962</v>
      </c>
      <c r="B317">
        <f>COUNT(A317:$A$1158)/(48*252)</f>
        <v>6.9609788359788358E-2</v>
      </c>
      <c r="C317">
        <v>2.1709999999999998</v>
      </c>
      <c r="D317">
        <v>5.3999999999999999E-2</v>
      </c>
      <c r="E317">
        <f t="shared" si="48"/>
        <v>1.1430794209624267</v>
      </c>
      <c r="F317">
        <f t="shared" si="49"/>
        <v>-0.12650280883064491</v>
      </c>
      <c r="G317">
        <f t="shared" si="52"/>
        <v>-2.0000000000002238E-3</v>
      </c>
      <c r="H317">
        <f>IF(MOD(COUNTA($C$7:C317)-1,$J$2),H316,ROUND(F317*P317,-2))</f>
        <v>-1300</v>
      </c>
      <c r="I317">
        <f t="shared" si="53"/>
        <v>0</v>
      </c>
      <c r="J317">
        <f t="shared" si="54"/>
        <v>0</v>
      </c>
      <c r="K317">
        <f t="shared" si="55"/>
        <v>3147.9140365978697</v>
      </c>
      <c r="L317">
        <f t="shared" si="56"/>
        <v>325.61403659786993</v>
      </c>
      <c r="M317">
        <f t="shared" si="57"/>
        <v>2.6000000000003638</v>
      </c>
      <c r="N317">
        <f t="shared" si="59"/>
        <v>325.61403659786993</v>
      </c>
      <c r="O317" s="5">
        <f t="shared" si="50"/>
        <v>2.2217041607844212E-2</v>
      </c>
      <c r="P317">
        <f t="shared" si="58"/>
        <v>10000</v>
      </c>
      <c r="Q317">
        <f t="shared" si="51"/>
        <v>222.17041607844212</v>
      </c>
    </row>
    <row r="318" spans="1:17" x14ac:dyDescent="0.15">
      <c r="A318" s="10">
        <v>45875.479166666977</v>
      </c>
      <c r="B318">
        <f>COUNT(A318:$A$1158)/(48*252)</f>
        <v>6.9527116402116396E-2</v>
      </c>
      <c r="C318">
        <v>2.1680000000000001</v>
      </c>
      <c r="D318">
        <v>5.2999999999999999E-2</v>
      </c>
      <c r="E318">
        <f t="shared" si="48"/>
        <v>1.1345430204638975</v>
      </c>
      <c r="F318">
        <f t="shared" si="49"/>
        <v>-0.12828341936383825</v>
      </c>
      <c r="G318">
        <f t="shared" si="52"/>
        <v>-2.9999999999996696E-3</v>
      </c>
      <c r="H318">
        <f>IF(MOD(COUNTA($C$7:C318)-1,$J$2),H317,ROUND(F318*P318,-2))</f>
        <v>-1300</v>
      </c>
      <c r="I318">
        <f t="shared" si="53"/>
        <v>0</v>
      </c>
      <c r="J318">
        <f t="shared" si="54"/>
        <v>0</v>
      </c>
      <c r="K318">
        <f t="shared" si="55"/>
        <v>3147.9140365978697</v>
      </c>
      <c r="L318">
        <f t="shared" si="56"/>
        <v>329.51403659786956</v>
      </c>
      <c r="M318">
        <f t="shared" si="57"/>
        <v>3.8999999999996362</v>
      </c>
      <c r="N318">
        <f t="shared" si="59"/>
        <v>329.51403659786956</v>
      </c>
      <c r="O318" s="5">
        <f t="shared" si="50"/>
        <v>2.2559126493697401E-2</v>
      </c>
      <c r="P318">
        <f t="shared" si="58"/>
        <v>10000</v>
      </c>
      <c r="Q318">
        <f t="shared" si="51"/>
        <v>225.591264936974</v>
      </c>
    </row>
    <row r="319" spans="1:17" x14ac:dyDescent="0.15">
      <c r="A319" s="10">
        <v>45875.545138888992</v>
      </c>
      <c r="B319">
        <f>COUNT(A319:$A$1158)/(48*252)</f>
        <v>6.9444444444444448E-2</v>
      </c>
      <c r="C319">
        <v>2.1680000000000001</v>
      </c>
      <c r="D319">
        <v>5.2999999999999999E-2</v>
      </c>
      <c r="E319">
        <f t="shared" si="48"/>
        <v>1.135111489750251</v>
      </c>
      <c r="F319">
        <f t="shared" si="49"/>
        <v>-0.12816430401910028</v>
      </c>
      <c r="G319">
        <f t="shared" si="52"/>
        <v>0</v>
      </c>
      <c r="H319">
        <f>IF(MOD(COUNTA($C$7:C319)-1,$J$2),H318,ROUND(F319*P319,-2))</f>
        <v>-1300</v>
      </c>
      <c r="I319">
        <f t="shared" si="53"/>
        <v>0</v>
      </c>
      <c r="J319">
        <f t="shared" si="54"/>
        <v>0</v>
      </c>
      <c r="K319">
        <f t="shared" si="55"/>
        <v>3147.9140365978697</v>
      </c>
      <c r="L319">
        <f t="shared" si="56"/>
        <v>329.51403659786956</v>
      </c>
      <c r="M319">
        <f t="shared" si="57"/>
        <v>0</v>
      </c>
      <c r="N319">
        <f t="shared" si="59"/>
        <v>329.51403659786956</v>
      </c>
      <c r="O319" s="5">
        <f t="shared" si="50"/>
        <v>2.2518860469444346E-2</v>
      </c>
      <c r="P319">
        <f t="shared" si="58"/>
        <v>10000</v>
      </c>
      <c r="Q319">
        <f t="shared" si="51"/>
        <v>225.18860469444346</v>
      </c>
    </row>
    <row r="320" spans="1:17" x14ac:dyDescent="0.15">
      <c r="A320" s="10">
        <v>45875.548611111008</v>
      </c>
      <c r="B320">
        <f>COUNT(A320:$A$1158)/(48*252)</f>
        <v>6.9361772486772486E-2</v>
      </c>
      <c r="C320">
        <v>2.169</v>
      </c>
      <c r="D320">
        <v>5.3999999999999999E-2</v>
      </c>
      <c r="E320">
        <f t="shared" si="48"/>
        <v>1.1387224584380995</v>
      </c>
      <c r="F320">
        <f t="shared" si="49"/>
        <v>-0.12740946623348381</v>
      </c>
      <c r="G320">
        <f t="shared" si="52"/>
        <v>9.9999999999988987E-4</v>
      </c>
      <c r="H320">
        <f>IF(MOD(COUNTA($C$7:C320)-1,$J$2),H319,ROUND(F320*P320,-2))</f>
        <v>-1300</v>
      </c>
      <c r="I320">
        <f t="shared" si="53"/>
        <v>0</v>
      </c>
      <c r="J320">
        <f t="shared" si="54"/>
        <v>0</v>
      </c>
      <c r="K320">
        <f t="shared" si="55"/>
        <v>3147.9140365978697</v>
      </c>
      <c r="L320">
        <f t="shared" si="56"/>
        <v>328.21403659786938</v>
      </c>
      <c r="M320">
        <f t="shared" si="57"/>
        <v>-1.3000000000001819</v>
      </c>
      <c r="N320">
        <f t="shared" si="59"/>
        <v>328.21403659786938</v>
      </c>
      <c r="O320" s="5">
        <f t="shared" si="50"/>
        <v>2.2350868736368545E-2</v>
      </c>
      <c r="P320">
        <f t="shared" si="58"/>
        <v>10000</v>
      </c>
      <c r="Q320">
        <f t="shared" si="51"/>
        <v>223.50868736368545</v>
      </c>
    </row>
    <row r="321" spans="1:17" x14ac:dyDescent="0.15">
      <c r="A321" s="10">
        <v>45875.552083333023</v>
      </c>
      <c r="B321">
        <f>COUNT(A321:$A$1158)/(48*252)</f>
        <v>6.9279100529100524E-2</v>
      </c>
      <c r="C321">
        <v>2.1669999999999998</v>
      </c>
      <c r="D321">
        <v>5.1999999999999998E-2</v>
      </c>
      <c r="E321">
        <f t="shared" si="48"/>
        <v>1.1332070322879979</v>
      </c>
      <c r="F321">
        <f t="shared" si="49"/>
        <v>-0.12856366085615234</v>
      </c>
      <c r="G321">
        <f t="shared" si="52"/>
        <v>-2.0000000000002238E-3</v>
      </c>
      <c r="H321">
        <f>IF(MOD(COUNTA($C$7:C321)-1,$J$2),H320,ROUND(F321*P321,-2))</f>
        <v>-1300</v>
      </c>
      <c r="I321">
        <f t="shared" si="53"/>
        <v>0</v>
      </c>
      <c r="J321">
        <f t="shared" si="54"/>
        <v>0</v>
      </c>
      <c r="K321">
        <f t="shared" si="55"/>
        <v>3147.9140365978697</v>
      </c>
      <c r="L321">
        <f t="shared" si="56"/>
        <v>330.81403659786974</v>
      </c>
      <c r="M321">
        <f t="shared" si="57"/>
        <v>2.6000000000003638</v>
      </c>
      <c r="N321">
        <f t="shared" si="59"/>
        <v>330.81403659786974</v>
      </c>
      <c r="O321" s="5">
        <f t="shared" si="50"/>
        <v>2.2566576898919555E-2</v>
      </c>
      <c r="P321">
        <f t="shared" si="58"/>
        <v>10000</v>
      </c>
      <c r="Q321">
        <f t="shared" si="51"/>
        <v>225.66576898919556</v>
      </c>
    </row>
    <row r="322" spans="1:17" x14ac:dyDescent="0.15">
      <c r="A322" s="10">
        <v>45875.555555555969</v>
      </c>
      <c r="B322">
        <f>COUNT(A322:$A$1158)/(48*252)</f>
        <v>6.9196428571428575E-2</v>
      </c>
      <c r="C322">
        <v>2.1680000000000001</v>
      </c>
      <c r="D322">
        <v>5.2999999999999999E-2</v>
      </c>
      <c r="E322">
        <f t="shared" si="48"/>
        <v>1.1368233880840781</v>
      </c>
      <c r="F322">
        <f t="shared" si="49"/>
        <v>-0.12780606204563683</v>
      </c>
      <c r="G322">
        <f t="shared" si="52"/>
        <v>1.000000000000334E-3</v>
      </c>
      <c r="H322">
        <f>IF(MOD(COUNTA($C$7:C322)-1,$J$2),H321,ROUND(F322*P322,-2))</f>
        <v>-1300</v>
      </c>
      <c r="I322">
        <f t="shared" si="53"/>
        <v>0</v>
      </c>
      <c r="J322">
        <f t="shared" si="54"/>
        <v>0</v>
      </c>
      <c r="K322">
        <f t="shared" si="55"/>
        <v>3147.9140365978697</v>
      </c>
      <c r="L322">
        <f t="shared" si="56"/>
        <v>329.51403659786956</v>
      </c>
      <c r="M322">
        <f t="shared" si="57"/>
        <v>-1.3000000000001819</v>
      </c>
      <c r="N322">
        <f t="shared" si="59"/>
        <v>329.51403659786956</v>
      </c>
      <c r="O322" s="5">
        <f t="shared" si="50"/>
        <v>2.2398070550063875E-2</v>
      </c>
      <c r="P322">
        <f t="shared" si="58"/>
        <v>10000</v>
      </c>
      <c r="Q322">
        <f t="shared" si="51"/>
        <v>223.98070550063875</v>
      </c>
    </row>
    <row r="323" spans="1:17" x14ac:dyDescent="0.15">
      <c r="A323" s="10">
        <v>45875.559027777985</v>
      </c>
      <c r="B323">
        <f>COUNT(A323:$A$1158)/(48*252)</f>
        <v>6.9113756613756613E-2</v>
      </c>
      <c r="C323">
        <v>2.1669999999999998</v>
      </c>
      <c r="D323">
        <v>5.1999999999999998E-2</v>
      </c>
      <c r="E323">
        <f t="shared" si="48"/>
        <v>1.1343479175142404</v>
      </c>
      <c r="F323">
        <f t="shared" si="49"/>
        <v>-0.12832431836218317</v>
      </c>
      <c r="G323">
        <f t="shared" si="52"/>
        <v>-1.000000000000334E-3</v>
      </c>
      <c r="H323">
        <f>IF(MOD(COUNTA($C$7:C323)-1,$J$2),H322,ROUND(F323*P323,-2))</f>
        <v>-1300</v>
      </c>
      <c r="I323">
        <f t="shared" si="53"/>
        <v>0</v>
      </c>
      <c r="J323">
        <f t="shared" si="54"/>
        <v>0</v>
      </c>
      <c r="K323">
        <f t="shared" si="55"/>
        <v>3147.9140365978697</v>
      </c>
      <c r="L323">
        <f t="shared" si="56"/>
        <v>330.81403659786974</v>
      </c>
      <c r="M323">
        <f t="shared" si="57"/>
        <v>1.3000000000001819</v>
      </c>
      <c r="N323">
        <f t="shared" si="59"/>
        <v>330.81403659786974</v>
      </c>
      <c r="O323" s="5">
        <f t="shared" si="50"/>
        <v>2.2485815198907078E-2</v>
      </c>
      <c r="P323">
        <f t="shared" si="58"/>
        <v>10000</v>
      </c>
      <c r="Q323">
        <f t="shared" si="51"/>
        <v>224.85815198907076</v>
      </c>
    </row>
    <row r="324" spans="1:17" x14ac:dyDescent="0.15">
      <c r="A324" s="10">
        <v>45875.5625</v>
      </c>
      <c r="B324">
        <f>COUNT(A324:$A$1158)/(48*252)</f>
        <v>6.9031084656084651E-2</v>
      </c>
      <c r="C324">
        <v>2.1680000000000001</v>
      </c>
      <c r="D324">
        <v>5.1999999999999998E-2</v>
      </c>
      <c r="E324">
        <f t="shared" si="48"/>
        <v>1.1379700951166574</v>
      </c>
      <c r="F324">
        <f t="shared" si="49"/>
        <v>-0.1275664849007927</v>
      </c>
      <c r="G324">
        <f t="shared" si="52"/>
        <v>1.000000000000334E-3</v>
      </c>
      <c r="H324">
        <f>IF(MOD(COUNTA($C$7:C324)-1,$J$2),H323,ROUND(F324*P324,-2))</f>
        <v>-1300</v>
      </c>
      <c r="I324">
        <f t="shared" si="53"/>
        <v>0</v>
      </c>
      <c r="J324">
        <f t="shared" si="54"/>
        <v>0</v>
      </c>
      <c r="K324">
        <f t="shared" si="55"/>
        <v>3147.9140365978697</v>
      </c>
      <c r="L324">
        <f t="shared" si="56"/>
        <v>329.51403659786956</v>
      </c>
      <c r="M324">
        <f t="shared" si="57"/>
        <v>-1.3000000000001819</v>
      </c>
      <c r="N324">
        <f t="shared" si="59"/>
        <v>329.51403659786956</v>
      </c>
      <c r="O324" s="5">
        <f t="shared" si="50"/>
        <v>2.2317551069974906E-2</v>
      </c>
      <c r="P324">
        <f t="shared" si="58"/>
        <v>10000</v>
      </c>
      <c r="Q324">
        <f t="shared" si="51"/>
        <v>223.17551069974905</v>
      </c>
    </row>
    <row r="325" spans="1:17" x14ac:dyDescent="0.15">
      <c r="A325" s="10">
        <v>45875.565972222015</v>
      </c>
      <c r="B325">
        <f>COUNT(A325:$A$1158)/(48*252)</f>
        <v>6.8948412698412703E-2</v>
      </c>
      <c r="C325">
        <v>2.1720000000000002</v>
      </c>
      <c r="D325">
        <v>5.2999999999999999E-2</v>
      </c>
      <c r="E325">
        <f t="shared" si="48"/>
        <v>1.1507387522707739</v>
      </c>
      <c r="F325">
        <f t="shared" si="49"/>
        <v>-0.12491986437120151</v>
      </c>
      <c r="G325">
        <f t="shared" si="52"/>
        <v>4.0000000000000036E-3</v>
      </c>
      <c r="H325">
        <f>IF(MOD(COUNTA($C$7:C325)-1,$J$2),H324,ROUND(F325*P325,-2))</f>
        <v>-1200</v>
      </c>
      <c r="I325">
        <f t="shared" si="53"/>
        <v>100</v>
      </c>
      <c r="J325">
        <f t="shared" si="54"/>
        <v>0</v>
      </c>
      <c r="K325">
        <f t="shared" si="55"/>
        <v>2930.7042625978697</v>
      </c>
      <c r="L325">
        <f t="shared" si="56"/>
        <v>324.30426259786964</v>
      </c>
      <c r="M325">
        <f t="shared" si="57"/>
        <v>-5.2097739999999249</v>
      </c>
      <c r="N325">
        <f t="shared" si="59"/>
        <v>324.30426259786964</v>
      </c>
      <c r="O325" s="5">
        <f t="shared" si="50"/>
        <v>2.1772574208999584E-2</v>
      </c>
      <c r="P325">
        <f t="shared" si="58"/>
        <v>10000</v>
      </c>
      <c r="Q325">
        <f t="shared" si="51"/>
        <v>217.72574208999583</v>
      </c>
    </row>
    <row r="326" spans="1:17" x14ac:dyDescent="0.15">
      <c r="A326" s="10">
        <v>45875.569444444962</v>
      </c>
      <c r="B326">
        <f>COUNT(A326:$A$1158)/(48*252)</f>
        <v>6.8865740740740741E-2</v>
      </c>
      <c r="C326">
        <v>2.169</v>
      </c>
      <c r="D326">
        <v>5.2999999999999999E-2</v>
      </c>
      <c r="E326">
        <f t="shared" si="48"/>
        <v>1.1421735398221491</v>
      </c>
      <c r="F326">
        <f t="shared" si="49"/>
        <v>-0.12669094611759979</v>
      </c>
      <c r="G326">
        <f t="shared" si="52"/>
        <v>-3.0000000000001137E-3</v>
      </c>
      <c r="H326">
        <f>IF(MOD(COUNTA($C$7:C326)-1,$J$2),H325,ROUND(F326*P326,-2))</f>
        <v>-1200</v>
      </c>
      <c r="I326">
        <f t="shared" si="53"/>
        <v>0</v>
      </c>
      <c r="J326">
        <f t="shared" si="54"/>
        <v>0</v>
      </c>
      <c r="K326">
        <f t="shared" si="55"/>
        <v>2930.7042625978697</v>
      </c>
      <c r="L326">
        <f t="shared" si="56"/>
        <v>327.90426259786955</v>
      </c>
      <c r="M326">
        <f t="shared" si="57"/>
        <v>3.5999999999999091</v>
      </c>
      <c r="N326">
        <f t="shared" si="59"/>
        <v>327.90426259786955</v>
      </c>
      <c r="O326" s="5">
        <f t="shared" si="50"/>
        <v>2.2110029197483339E-2</v>
      </c>
      <c r="P326">
        <f t="shared" si="58"/>
        <v>10000</v>
      </c>
      <c r="Q326">
        <f t="shared" si="51"/>
        <v>221.1002919748334</v>
      </c>
    </row>
    <row r="327" spans="1:17" x14ac:dyDescent="0.15">
      <c r="A327" s="10">
        <v>45875.572916666977</v>
      </c>
      <c r="B327">
        <f>COUNT(A327:$A$1158)/(48*252)</f>
        <v>6.8783068783068779E-2</v>
      </c>
      <c r="C327">
        <v>2.1720000000000002</v>
      </c>
      <c r="D327">
        <v>5.2999999999999999E-2</v>
      </c>
      <c r="E327">
        <f t="shared" si="48"/>
        <v>1.151906692342469</v>
      </c>
      <c r="F327">
        <f t="shared" si="49"/>
        <v>-0.12467970894247027</v>
      </c>
      <c r="G327">
        <f t="shared" si="52"/>
        <v>3.0000000000001137E-3</v>
      </c>
      <c r="H327">
        <f>IF(MOD(COUNTA($C$7:C327)-1,$J$2),H326,ROUND(F327*P327,-2))</f>
        <v>-1200</v>
      </c>
      <c r="I327">
        <f t="shared" si="53"/>
        <v>0</v>
      </c>
      <c r="J327">
        <f t="shared" si="54"/>
        <v>0</v>
      </c>
      <c r="K327">
        <f t="shared" si="55"/>
        <v>2930.7042625978697</v>
      </c>
      <c r="L327">
        <f t="shared" si="56"/>
        <v>324.30426259786964</v>
      </c>
      <c r="M327">
        <f t="shared" si="57"/>
        <v>-3.5999999999999091</v>
      </c>
      <c r="N327">
        <f t="shared" si="59"/>
        <v>324.30426259786964</v>
      </c>
      <c r="O327" s="5">
        <f t="shared" si="50"/>
        <v>2.1693025165767599E-2</v>
      </c>
      <c r="P327">
        <f t="shared" si="58"/>
        <v>10000</v>
      </c>
      <c r="Q327">
        <f t="shared" si="51"/>
        <v>216.930251657676</v>
      </c>
    </row>
    <row r="328" spans="1:17" x14ac:dyDescent="0.15">
      <c r="A328" s="10">
        <v>45875.576388888992</v>
      </c>
      <c r="B328">
        <f>COUNT(A328:$A$1158)/(48*252)</f>
        <v>6.8700396825396831E-2</v>
      </c>
      <c r="C328">
        <v>2.1640000000000001</v>
      </c>
      <c r="D328">
        <v>0.05</v>
      </c>
      <c r="E328">
        <f t="shared" ref="E328:E391" si="60">(LN(C328/$B$2)+($B$1+0.5*$D$1*$D$1)*B328)/($D$1*SQRT(B328))</f>
        <v>1.1280384772498357</v>
      </c>
      <c r="F328">
        <f t="shared" ref="F328:F391" si="61">NORMSDIST(E328)-1</f>
        <v>-0.12965183482067133</v>
      </c>
      <c r="G328">
        <f t="shared" si="52"/>
        <v>-8.0000000000000071E-3</v>
      </c>
      <c r="H328">
        <f>IF(MOD(COUNTA($C$7:C328)-1,$J$2),H327,ROUND(F328*P328,-2))</f>
        <v>-1200</v>
      </c>
      <c r="I328">
        <f t="shared" si="53"/>
        <v>0</v>
      </c>
      <c r="J328">
        <f t="shared" si="54"/>
        <v>0</v>
      </c>
      <c r="K328">
        <f t="shared" si="55"/>
        <v>2930.7042625978697</v>
      </c>
      <c r="L328">
        <f t="shared" si="56"/>
        <v>333.90426259786955</v>
      </c>
      <c r="M328">
        <f t="shared" si="57"/>
        <v>9.5999999999999091</v>
      </c>
      <c r="N328">
        <f t="shared" si="59"/>
        <v>333.90426259786955</v>
      </c>
      <c r="O328" s="5">
        <f t="shared" ref="O328:O391" si="62">put_bs($B$1,$J$1,C328,$B$2,B328)</f>
        <v>2.2669991723764549E-2</v>
      </c>
      <c r="P328">
        <f t="shared" si="58"/>
        <v>10000</v>
      </c>
      <c r="Q328">
        <f t="shared" ref="Q328:Q391" si="63">P328*O328</f>
        <v>226.69991723764548</v>
      </c>
    </row>
    <row r="329" spans="1:17" x14ac:dyDescent="0.15">
      <c r="A329" s="10">
        <v>45875.579861111008</v>
      </c>
      <c r="B329">
        <f>COUNT(A329:$A$1158)/(48*252)</f>
        <v>6.8617724867724869E-2</v>
      </c>
      <c r="C329">
        <v>2.165</v>
      </c>
      <c r="D329">
        <v>0.05</v>
      </c>
      <c r="E329">
        <f t="shared" si="60"/>
        <v>1.1316740362435591</v>
      </c>
      <c r="F329">
        <f t="shared" si="61"/>
        <v>-0.1288857505345854</v>
      </c>
      <c r="G329">
        <f t="shared" ref="G329:G392" si="64">C329-C328</f>
        <v>9.9999999999988987E-4</v>
      </c>
      <c r="H329">
        <f>IF(MOD(COUNTA($C$7:C329)-1,$J$2),H328,ROUND(F329*P329,-2))</f>
        <v>-1300</v>
      </c>
      <c r="I329">
        <f t="shared" ref="I329:I392" si="65">H329-H328</f>
        <v>-100</v>
      </c>
      <c r="J329">
        <f t="shared" ref="J329:J392" si="66">J328</f>
        <v>0</v>
      </c>
      <c r="K329">
        <f t="shared" ref="K329:K392" si="67">K328-I329*C329-ABS(I329*C329*$F$2)</f>
        <v>3147.1945200978698</v>
      </c>
      <c r="L329">
        <f t="shared" ref="L329:L392" si="68">K329+H329*C329</f>
        <v>332.69452009786983</v>
      </c>
      <c r="M329">
        <f t="shared" ref="M329:M392" si="69">L329-L328</f>
        <v>-1.2097424999997202</v>
      </c>
      <c r="N329">
        <f t="shared" si="59"/>
        <v>332.69452009786983</v>
      </c>
      <c r="O329" s="5">
        <f t="shared" si="62"/>
        <v>2.2500049641283659E-2</v>
      </c>
      <c r="P329">
        <f t="shared" ref="P329:P392" si="70">P328</f>
        <v>10000</v>
      </c>
      <c r="Q329">
        <f t="shared" si="63"/>
        <v>225.00049641283658</v>
      </c>
    </row>
    <row r="330" spans="1:17" x14ac:dyDescent="0.15">
      <c r="A330" s="10">
        <v>45875.583333333023</v>
      </c>
      <c r="B330">
        <f>COUNT(A330:$A$1158)/(48*252)</f>
        <v>6.8535052910052907E-2</v>
      </c>
      <c r="C330">
        <v>2.1659999999999999</v>
      </c>
      <c r="D330">
        <v>5.1999999999999998E-2</v>
      </c>
      <c r="E330">
        <f t="shared" si="60"/>
        <v>1.1353129734548002</v>
      </c>
      <c r="F330">
        <f t="shared" si="61"/>
        <v>-0.12812210417320413</v>
      </c>
      <c r="G330">
        <f t="shared" si="64"/>
        <v>9.9999999999988987E-4</v>
      </c>
      <c r="H330">
        <f>IF(MOD(COUNTA($C$7:C330)-1,$J$2),H329,ROUND(F330*P330,-2))</f>
        <v>-1300</v>
      </c>
      <c r="I330">
        <f t="shared" si="65"/>
        <v>0</v>
      </c>
      <c r="J330">
        <f t="shared" si="66"/>
        <v>0</v>
      </c>
      <c r="K330">
        <f t="shared" si="67"/>
        <v>3147.1945200978698</v>
      </c>
      <c r="L330">
        <f t="shared" si="68"/>
        <v>331.3945200978701</v>
      </c>
      <c r="M330">
        <f t="shared" si="69"/>
        <v>-1.2999999999997272</v>
      </c>
      <c r="N330">
        <f t="shared" ref="N330:N393" si="71">L330-$F$1</f>
        <v>331.3945200978701</v>
      </c>
      <c r="O330" s="5">
        <f t="shared" si="62"/>
        <v>2.2330994443148844E-2</v>
      </c>
      <c r="P330">
        <f t="shared" si="70"/>
        <v>10000</v>
      </c>
      <c r="Q330">
        <f t="shared" si="63"/>
        <v>223.30994443148845</v>
      </c>
    </row>
    <row r="331" spans="1:17" x14ac:dyDescent="0.15">
      <c r="A331" s="10">
        <v>45875.586805555969</v>
      </c>
      <c r="B331">
        <f>COUNT(A331:$A$1158)/(48*252)</f>
        <v>6.8452380952380959E-2</v>
      </c>
      <c r="C331">
        <v>2.1659999999999999</v>
      </c>
      <c r="D331">
        <v>0.05</v>
      </c>
      <c r="E331">
        <f t="shared" si="60"/>
        <v>1.1358909189104662</v>
      </c>
      <c r="F331">
        <f t="shared" si="61"/>
        <v>-0.12800110967470679</v>
      </c>
      <c r="G331">
        <f t="shared" si="64"/>
        <v>0</v>
      </c>
      <c r="H331">
        <f>IF(MOD(COUNTA($C$7:C331)-1,$J$2),H330,ROUND(F331*P331,-2))</f>
        <v>-1300</v>
      </c>
      <c r="I331">
        <f t="shared" si="65"/>
        <v>0</v>
      </c>
      <c r="J331">
        <f t="shared" si="66"/>
        <v>0</v>
      </c>
      <c r="K331">
        <f t="shared" si="67"/>
        <v>3147.1945200978698</v>
      </c>
      <c r="L331">
        <f t="shared" si="68"/>
        <v>331.3945200978701</v>
      </c>
      <c r="M331">
        <f t="shared" si="69"/>
        <v>0</v>
      </c>
      <c r="N331">
        <f t="shared" si="71"/>
        <v>331.3945200978701</v>
      </c>
      <c r="O331" s="5">
        <f t="shared" si="62"/>
        <v>2.2290504792406574E-2</v>
      </c>
      <c r="P331">
        <f t="shared" si="70"/>
        <v>10000</v>
      </c>
      <c r="Q331">
        <f t="shared" si="63"/>
        <v>222.90504792406574</v>
      </c>
    </row>
    <row r="332" spans="1:17" x14ac:dyDescent="0.15">
      <c r="A332" s="10">
        <v>45875.590277777985</v>
      </c>
      <c r="B332">
        <f>COUNT(A332:$A$1158)/(48*252)</f>
        <v>6.8369708994708997E-2</v>
      </c>
      <c r="C332">
        <v>2.17</v>
      </c>
      <c r="D332">
        <v>5.1999999999999998E-2</v>
      </c>
      <c r="E332">
        <f t="shared" si="60"/>
        <v>1.1487264316597507</v>
      </c>
      <c r="F332">
        <f t="shared" si="61"/>
        <v>-0.12533440163557952</v>
      </c>
      <c r="G332">
        <f t="shared" si="64"/>
        <v>4.0000000000000036E-3</v>
      </c>
      <c r="H332">
        <f>IF(MOD(COUNTA($C$7:C332)-1,$J$2),H331,ROUND(F332*P332,-2))</f>
        <v>-1300</v>
      </c>
      <c r="I332">
        <f t="shared" si="65"/>
        <v>0</v>
      </c>
      <c r="J332">
        <f t="shared" si="66"/>
        <v>0</v>
      </c>
      <c r="K332">
        <f t="shared" si="67"/>
        <v>3147.1945200978698</v>
      </c>
      <c r="L332">
        <f t="shared" si="68"/>
        <v>326.19452009786983</v>
      </c>
      <c r="M332">
        <f t="shared" si="69"/>
        <v>-5.2000000000002728</v>
      </c>
      <c r="N332">
        <f t="shared" si="71"/>
        <v>326.19452009786983</v>
      </c>
      <c r="O332" s="5">
        <f t="shared" si="62"/>
        <v>2.174360130780284E-2</v>
      </c>
      <c r="P332">
        <f t="shared" si="70"/>
        <v>10000</v>
      </c>
      <c r="Q332">
        <f t="shared" si="63"/>
        <v>217.4360130780284</v>
      </c>
    </row>
    <row r="333" spans="1:17" x14ac:dyDescent="0.15">
      <c r="A333" s="10">
        <v>45875.59375</v>
      </c>
      <c r="B333">
        <f>COUNT(A333:$A$1158)/(48*252)</f>
        <v>6.8287037037037035E-2</v>
      </c>
      <c r="C333">
        <v>2.17</v>
      </c>
      <c r="D333">
        <v>5.0999999999999997E-2</v>
      </c>
      <c r="E333">
        <f t="shared" si="60"/>
        <v>1.1493140231988916</v>
      </c>
      <c r="F333">
        <f t="shared" si="61"/>
        <v>-0.1252132588646504</v>
      </c>
      <c r="G333">
        <f t="shared" si="64"/>
        <v>0</v>
      </c>
      <c r="H333">
        <f>IF(MOD(COUNTA($C$7:C333)-1,$J$2),H332,ROUND(F333*P333,-2))</f>
        <v>-1300</v>
      </c>
      <c r="I333">
        <f t="shared" si="65"/>
        <v>0</v>
      </c>
      <c r="J333">
        <f t="shared" si="66"/>
        <v>0</v>
      </c>
      <c r="K333">
        <f t="shared" si="67"/>
        <v>3147.1945200978698</v>
      </c>
      <c r="L333">
        <f t="shared" si="68"/>
        <v>326.19452009786983</v>
      </c>
      <c r="M333">
        <f t="shared" si="69"/>
        <v>0</v>
      </c>
      <c r="N333">
        <f t="shared" si="71"/>
        <v>326.19452009786983</v>
      </c>
      <c r="O333" s="5">
        <f t="shared" si="62"/>
        <v>2.1703599482507441E-2</v>
      </c>
      <c r="P333">
        <f t="shared" si="70"/>
        <v>10000</v>
      </c>
      <c r="Q333">
        <f t="shared" si="63"/>
        <v>217.0359948250744</v>
      </c>
    </row>
    <row r="334" spans="1:17" x14ac:dyDescent="0.15">
      <c r="A334" s="10">
        <v>45875.597222222015</v>
      </c>
      <c r="B334">
        <f>COUNT(A334:$A$1158)/(48*252)</f>
        <v>6.8204365079365073E-2</v>
      </c>
      <c r="C334">
        <v>2.1720000000000002</v>
      </c>
      <c r="D334">
        <v>5.1999999999999998E-2</v>
      </c>
      <c r="E334">
        <f t="shared" si="60"/>
        <v>1.1560299189271104</v>
      </c>
      <c r="F334">
        <f t="shared" si="61"/>
        <v>-0.12383445968427675</v>
      </c>
      <c r="G334">
        <f t="shared" si="64"/>
        <v>2.0000000000002238E-3</v>
      </c>
      <c r="H334">
        <f>IF(MOD(COUNTA($C$7:C334)-1,$J$2),H333,ROUND(F334*P334,-2))</f>
        <v>-1300</v>
      </c>
      <c r="I334">
        <f t="shared" si="65"/>
        <v>0</v>
      </c>
      <c r="J334">
        <f t="shared" si="66"/>
        <v>0</v>
      </c>
      <c r="K334">
        <f t="shared" si="67"/>
        <v>3147.1945200978698</v>
      </c>
      <c r="L334">
        <f t="shared" si="68"/>
        <v>323.59452009786946</v>
      </c>
      <c r="M334">
        <f t="shared" si="69"/>
        <v>-2.6000000000003638</v>
      </c>
      <c r="N334">
        <f t="shared" si="71"/>
        <v>323.59452009786946</v>
      </c>
      <c r="O334" s="5">
        <f t="shared" si="62"/>
        <v>2.1414675032621289E-2</v>
      </c>
      <c r="P334">
        <f t="shared" si="70"/>
        <v>10000</v>
      </c>
      <c r="Q334">
        <f t="shared" si="63"/>
        <v>214.1467503262129</v>
      </c>
    </row>
    <row r="335" spans="1:17" x14ac:dyDescent="0.15">
      <c r="A335" s="10">
        <v>45875.600694444962</v>
      </c>
      <c r="B335">
        <f>COUNT(A335:$A$1158)/(48*252)</f>
        <v>6.8121693121693125E-2</v>
      </c>
      <c r="C335">
        <v>2.1760000000000002</v>
      </c>
      <c r="D335">
        <v>5.2999999999999999E-2</v>
      </c>
      <c r="E335">
        <f t="shared" si="60"/>
        <v>1.1688683547845384</v>
      </c>
      <c r="F335">
        <f t="shared" si="61"/>
        <v>-0.12122833752362905</v>
      </c>
      <c r="G335">
        <f t="shared" si="64"/>
        <v>4.0000000000000036E-3</v>
      </c>
      <c r="H335">
        <f>IF(MOD(COUNTA($C$7:C335)-1,$J$2),H334,ROUND(F335*P335,-2))</f>
        <v>-1200</v>
      </c>
      <c r="I335">
        <f t="shared" si="65"/>
        <v>100</v>
      </c>
      <c r="J335">
        <f t="shared" si="66"/>
        <v>0</v>
      </c>
      <c r="K335">
        <f t="shared" si="67"/>
        <v>2929.5847280978701</v>
      </c>
      <c r="L335">
        <f t="shared" si="68"/>
        <v>318.38472809786981</v>
      </c>
      <c r="M335">
        <f t="shared" si="69"/>
        <v>-5.209791999999652</v>
      </c>
      <c r="N335">
        <f t="shared" si="71"/>
        <v>318.38472809786981</v>
      </c>
      <c r="O335" s="5">
        <f t="shared" si="62"/>
        <v>2.0885050717251219E-2</v>
      </c>
      <c r="P335">
        <f t="shared" si="70"/>
        <v>10000</v>
      </c>
      <c r="Q335">
        <f t="shared" si="63"/>
        <v>208.85050717251218</v>
      </c>
    </row>
    <row r="336" spans="1:17" x14ac:dyDescent="0.15">
      <c r="A336" s="10">
        <v>45875.604166666977</v>
      </c>
      <c r="B336">
        <f>COUNT(A336:$A$1158)/(48*252)</f>
        <v>6.8039021164021163E-2</v>
      </c>
      <c r="C336">
        <v>2.1749999999999998</v>
      </c>
      <c r="D336">
        <v>5.2999999999999999E-2</v>
      </c>
      <c r="E336">
        <f t="shared" si="60"/>
        <v>1.1664095559759375</v>
      </c>
      <c r="F336">
        <f t="shared" si="61"/>
        <v>-0.12172444838558572</v>
      </c>
      <c r="G336">
        <f t="shared" si="64"/>
        <v>-1.000000000000334E-3</v>
      </c>
      <c r="H336">
        <f>IF(MOD(COUNTA($C$7:C336)-1,$J$2),H335,ROUND(F336*P336,-2))</f>
        <v>-1200</v>
      </c>
      <c r="I336">
        <f t="shared" si="65"/>
        <v>0</v>
      </c>
      <c r="J336">
        <f t="shared" si="66"/>
        <v>0</v>
      </c>
      <c r="K336">
        <f t="shared" si="67"/>
        <v>2929.5847280978701</v>
      </c>
      <c r="L336">
        <f t="shared" si="68"/>
        <v>319.58472809787008</v>
      </c>
      <c r="M336">
        <f t="shared" si="69"/>
        <v>1.2000000000002728</v>
      </c>
      <c r="N336">
        <f t="shared" si="71"/>
        <v>319.58472809787008</v>
      </c>
      <c r="O336" s="5">
        <f t="shared" si="62"/>
        <v>2.0967199602579867E-2</v>
      </c>
      <c r="P336">
        <f t="shared" si="70"/>
        <v>10000</v>
      </c>
      <c r="Q336">
        <f t="shared" si="63"/>
        <v>209.67199602579868</v>
      </c>
    </row>
    <row r="337" spans="1:17" x14ac:dyDescent="0.15">
      <c r="A337" s="10">
        <v>45875.607638888992</v>
      </c>
      <c r="B337">
        <f>COUNT(A337:$A$1158)/(48*252)</f>
        <v>6.7956349206349201E-2</v>
      </c>
      <c r="C337">
        <v>2.1760000000000002</v>
      </c>
      <c r="D337">
        <v>5.1999999999999998E-2</v>
      </c>
      <c r="E337">
        <f t="shared" si="60"/>
        <v>1.170073842887563</v>
      </c>
      <c r="F337">
        <f t="shared" si="61"/>
        <v>-0.12098562687384629</v>
      </c>
      <c r="G337">
        <f t="shared" si="64"/>
        <v>1.000000000000334E-3</v>
      </c>
      <c r="H337">
        <f>IF(MOD(COUNTA($C$7:C337)-1,$J$2),H336,ROUND(F337*P337,-2))</f>
        <v>-1200</v>
      </c>
      <c r="I337">
        <f t="shared" si="65"/>
        <v>0</v>
      </c>
      <c r="J337">
        <f t="shared" si="66"/>
        <v>0</v>
      </c>
      <c r="K337">
        <f t="shared" si="67"/>
        <v>2929.5847280978701</v>
      </c>
      <c r="L337">
        <f t="shared" si="68"/>
        <v>318.38472809786981</v>
      </c>
      <c r="M337">
        <f t="shared" si="69"/>
        <v>-1.2000000000002728</v>
      </c>
      <c r="N337">
        <f t="shared" si="71"/>
        <v>318.38472809786981</v>
      </c>
      <c r="O337" s="5">
        <f t="shared" si="62"/>
        <v>2.0806520537183237E-2</v>
      </c>
      <c r="P337">
        <f t="shared" si="70"/>
        <v>10000</v>
      </c>
      <c r="Q337">
        <f t="shared" si="63"/>
        <v>208.06520537183238</v>
      </c>
    </row>
    <row r="338" spans="1:17" x14ac:dyDescent="0.15">
      <c r="A338" s="10">
        <v>45875.611111111008</v>
      </c>
      <c r="B338">
        <f>COUNT(A338:$A$1158)/(48*252)</f>
        <v>6.7873677248677253E-2</v>
      </c>
      <c r="C338">
        <v>2.1749999999999998</v>
      </c>
      <c r="D338">
        <v>5.1999999999999998E-2</v>
      </c>
      <c r="E338">
        <f t="shared" si="60"/>
        <v>1.167613649643279</v>
      </c>
      <c r="F338">
        <f t="shared" si="61"/>
        <v>-0.12148132091703312</v>
      </c>
      <c r="G338">
        <f t="shared" si="64"/>
        <v>-1.000000000000334E-3</v>
      </c>
      <c r="H338">
        <f>IF(MOD(COUNTA($C$7:C338)-1,$J$2),H337,ROUND(F338*P338,-2))</f>
        <v>-1200</v>
      </c>
      <c r="I338">
        <f t="shared" si="65"/>
        <v>0</v>
      </c>
      <c r="J338">
        <f t="shared" si="66"/>
        <v>0</v>
      </c>
      <c r="K338">
        <f t="shared" si="67"/>
        <v>2929.5847280978701</v>
      </c>
      <c r="L338">
        <f t="shared" si="68"/>
        <v>319.58472809787008</v>
      </c>
      <c r="M338">
        <f t="shared" si="69"/>
        <v>1.2000000000002728</v>
      </c>
      <c r="N338">
        <f t="shared" si="71"/>
        <v>319.58472809787008</v>
      </c>
      <c r="O338" s="5">
        <f t="shared" si="62"/>
        <v>2.0888432670686019E-2</v>
      </c>
      <c r="P338">
        <f t="shared" si="70"/>
        <v>10000</v>
      </c>
      <c r="Q338">
        <f t="shared" si="63"/>
        <v>208.88432670686018</v>
      </c>
    </row>
    <row r="339" spans="1:17" x14ac:dyDescent="0.15">
      <c r="A339" s="10">
        <v>45875.614583333023</v>
      </c>
      <c r="B339">
        <f>COUNT(A339:$A$1158)/(48*252)</f>
        <v>6.7791005291005291E-2</v>
      </c>
      <c r="C339">
        <v>2.1760000000000002</v>
      </c>
      <c r="D339">
        <v>5.1999999999999998E-2</v>
      </c>
      <c r="E339">
        <f t="shared" si="60"/>
        <v>1.171284001430253</v>
      </c>
      <c r="F339">
        <f t="shared" si="61"/>
        <v>-0.12074231998173024</v>
      </c>
      <c r="G339">
        <f t="shared" si="64"/>
        <v>1.000000000000334E-3</v>
      </c>
      <c r="H339">
        <f>IF(MOD(COUNTA($C$7:C339)-1,$J$2),H338,ROUND(F339*P339,-2))</f>
        <v>-1200</v>
      </c>
      <c r="I339">
        <f t="shared" si="65"/>
        <v>0</v>
      </c>
      <c r="J339">
        <f t="shared" si="66"/>
        <v>0</v>
      </c>
      <c r="K339">
        <f t="shared" si="67"/>
        <v>2929.5847280978701</v>
      </c>
      <c r="L339">
        <f t="shared" si="68"/>
        <v>318.38472809786981</v>
      </c>
      <c r="M339">
        <f t="shared" si="69"/>
        <v>-1.2000000000002728</v>
      </c>
      <c r="N339">
        <f t="shared" si="71"/>
        <v>318.38472809786981</v>
      </c>
      <c r="O339" s="5">
        <f t="shared" si="62"/>
        <v>2.0728003067049527E-2</v>
      </c>
      <c r="P339">
        <f t="shared" si="70"/>
        <v>10000</v>
      </c>
      <c r="Q339">
        <f t="shared" si="63"/>
        <v>207.28003067049528</v>
      </c>
    </row>
    <row r="340" spans="1:17" x14ac:dyDescent="0.15">
      <c r="A340" s="10">
        <v>45875.618055555969</v>
      </c>
      <c r="B340">
        <f>COUNT(A340:$A$1158)/(48*252)</f>
        <v>6.7708333333333329E-2</v>
      </c>
      <c r="C340">
        <v>2.1760000000000002</v>
      </c>
      <c r="D340">
        <v>5.1999999999999998E-2</v>
      </c>
      <c r="E340">
        <f t="shared" si="60"/>
        <v>1.1718908411229163</v>
      </c>
      <c r="F340">
        <f t="shared" si="61"/>
        <v>-0.12062044234203873</v>
      </c>
      <c r="G340">
        <f t="shared" si="64"/>
        <v>0</v>
      </c>
      <c r="H340">
        <f>IF(MOD(COUNTA($C$7:C340)-1,$J$2),H339,ROUND(F340*P340,-2))</f>
        <v>-1200</v>
      </c>
      <c r="I340">
        <f t="shared" si="65"/>
        <v>0</v>
      </c>
      <c r="J340">
        <f t="shared" si="66"/>
        <v>0</v>
      </c>
      <c r="K340">
        <f t="shared" si="67"/>
        <v>2929.5847280978701</v>
      </c>
      <c r="L340">
        <f t="shared" si="68"/>
        <v>318.38472809786981</v>
      </c>
      <c r="M340">
        <f t="shared" si="69"/>
        <v>0</v>
      </c>
      <c r="N340">
        <f t="shared" si="71"/>
        <v>318.38472809786981</v>
      </c>
      <c r="O340" s="5">
        <f t="shared" si="62"/>
        <v>2.0688749194573142E-2</v>
      </c>
      <c r="P340">
        <f t="shared" si="70"/>
        <v>10000</v>
      </c>
      <c r="Q340">
        <f t="shared" si="63"/>
        <v>206.88749194573143</v>
      </c>
    </row>
    <row r="341" spans="1:17" x14ac:dyDescent="0.15">
      <c r="A341" s="10">
        <v>45875.621527777985</v>
      </c>
      <c r="B341">
        <f>COUNT(A341:$A$1158)/(48*252)</f>
        <v>6.7625661375661381E-2</v>
      </c>
      <c r="C341">
        <v>2.1739999999999999</v>
      </c>
      <c r="D341">
        <v>0.05</v>
      </c>
      <c r="E341">
        <f t="shared" si="60"/>
        <v>1.1663568440835761</v>
      </c>
      <c r="F341">
        <f t="shared" si="61"/>
        <v>-0.12173509964003382</v>
      </c>
      <c r="G341">
        <f t="shared" si="64"/>
        <v>-2.0000000000002238E-3</v>
      </c>
      <c r="H341">
        <f>IF(MOD(COUNTA($C$7:C341)-1,$J$2),H340,ROUND(F341*P341,-2))</f>
        <v>-1200</v>
      </c>
      <c r="I341">
        <f t="shared" si="65"/>
        <v>0</v>
      </c>
      <c r="J341">
        <f t="shared" si="66"/>
        <v>0</v>
      </c>
      <c r="K341">
        <f t="shared" si="67"/>
        <v>2929.5847280978701</v>
      </c>
      <c r="L341">
        <f t="shared" si="68"/>
        <v>320.78472809787036</v>
      </c>
      <c r="M341">
        <f t="shared" si="69"/>
        <v>2.4000000000005457</v>
      </c>
      <c r="N341">
        <f t="shared" si="71"/>
        <v>320.78472809787036</v>
      </c>
      <c r="O341" s="5">
        <f t="shared" si="62"/>
        <v>2.0891730460141922E-2</v>
      </c>
      <c r="P341">
        <f t="shared" si="70"/>
        <v>10000</v>
      </c>
      <c r="Q341">
        <f t="shared" si="63"/>
        <v>208.91730460141923</v>
      </c>
    </row>
    <row r="342" spans="1:17" x14ac:dyDescent="0.15">
      <c r="A342" s="10">
        <v>45875.625</v>
      </c>
      <c r="B342">
        <f>COUNT(A342:$A$1158)/(48*252)</f>
        <v>6.7542989417989419E-2</v>
      </c>
      <c r="C342">
        <v>2.1739999999999999</v>
      </c>
      <c r="D342">
        <v>5.0999999999999997E-2</v>
      </c>
      <c r="E342">
        <f t="shared" si="60"/>
        <v>1.1669622865850526</v>
      </c>
      <c r="F342">
        <f t="shared" si="61"/>
        <v>-0.12161280003665131</v>
      </c>
      <c r="G342">
        <f t="shared" si="64"/>
        <v>0</v>
      </c>
      <c r="H342">
        <f>IF(MOD(COUNTA($C$7:C342)-1,$J$2),H341,ROUND(F342*P342,-2))</f>
        <v>-1200</v>
      </c>
      <c r="I342">
        <f t="shared" si="65"/>
        <v>0</v>
      </c>
      <c r="J342">
        <f t="shared" si="66"/>
        <v>0</v>
      </c>
      <c r="K342">
        <f t="shared" si="67"/>
        <v>2929.5847280978701</v>
      </c>
      <c r="L342">
        <f t="shared" si="68"/>
        <v>320.78472809787036</v>
      </c>
      <c r="M342">
        <f t="shared" si="69"/>
        <v>0</v>
      </c>
      <c r="N342">
        <f t="shared" si="71"/>
        <v>320.78472809787036</v>
      </c>
      <c r="O342" s="5">
        <f t="shared" si="62"/>
        <v>2.0852238735030393E-2</v>
      </c>
      <c r="P342">
        <f t="shared" si="70"/>
        <v>10000</v>
      </c>
      <c r="Q342">
        <f t="shared" si="63"/>
        <v>208.52238735030392</v>
      </c>
    </row>
    <row r="343" spans="1:17" x14ac:dyDescent="0.15">
      <c r="A343" s="10">
        <v>45876.399305555969</v>
      </c>
      <c r="B343">
        <f>COUNT(A343:$A$1158)/(48*252)</f>
        <v>6.7460317460317457E-2</v>
      </c>
      <c r="C343">
        <v>2.1259999999999999</v>
      </c>
      <c r="D343">
        <v>4.2000000000000003E-2</v>
      </c>
      <c r="E343">
        <f t="shared" si="60"/>
        <v>1.0182576651641131</v>
      </c>
      <c r="F343">
        <f t="shared" si="61"/>
        <v>-0.15427776077476185</v>
      </c>
      <c r="G343">
        <f>C343-C342</f>
        <v>-4.8000000000000043E-2</v>
      </c>
      <c r="H343">
        <f>IF(MOD(COUNTA($C$7:C343)-1,$J$2),H342,ROUND(F343*P343,-2))</f>
        <v>-1500</v>
      </c>
      <c r="I343">
        <f t="shared" si="65"/>
        <v>-300</v>
      </c>
      <c r="J343">
        <f t="shared" si="66"/>
        <v>0</v>
      </c>
      <c r="K343">
        <f t="shared" si="67"/>
        <v>3567.3560270978696</v>
      </c>
      <c r="L343">
        <f t="shared" si="68"/>
        <v>378.35602709786963</v>
      </c>
      <c r="M343">
        <f t="shared" si="69"/>
        <v>57.571298999999271</v>
      </c>
      <c r="N343">
        <f t="shared" si="71"/>
        <v>378.35602709786963</v>
      </c>
      <c r="O343" s="5">
        <f t="shared" si="62"/>
        <v>2.7406880827861746E-2</v>
      </c>
      <c r="P343">
        <f t="shared" si="70"/>
        <v>10000</v>
      </c>
      <c r="Q343">
        <f t="shared" si="63"/>
        <v>274.06880827861744</v>
      </c>
    </row>
    <row r="344" spans="1:17" x14ac:dyDescent="0.15">
      <c r="A344" s="10">
        <v>45876.402777777985</v>
      </c>
      <c r="B344">
        <f>COUNT(A344:$A$1158)/(48*252)</f>
        <v>6.7377645502645508E-2</v>
      </c>
      <c r="C344">
        <v>2.1259999999999999</v>
      </c>
      <c r="D344">
        <v>4.2999999999999997E-2</v>
      </c>
      <c r="E344">
        <f t="shared" si="60"/>
        <v>1.0187738951122007</v>
      </c>
      <c r="F344">
        <f t="shared" si="61"/>
        <v>-0.15415516083010861</v>
      </c>
      <c r="G344">
        <f t="shared" si="64"/>
        <v>0</v>
      </c>
      <c r="H344">
        <f>IF(MOD(COUNTA($C$7:C344)-1,$J$2),H343,ROUND(F344*P344,-2))</f>
        <v>-1500</v>
      </c>
      <c r="I344">
        <f t="shared" si="65"/>
        <v>0</v>
      </c>
      <c r="J344">
        <f t="shared" si="66"/>
        <v>0</v>
      </c>
      <c r="K344">
        <f t="shared" si="67"/>
        <v>3567.3560270978696</v>
      </c>
      <c r="L344">
        <f t="shared" si="68"/>
        <v>378.35602709786963</v>
      </c>
      <c r="M344">
        <f t="shared" si="69"/>
        <v>0</v>
      </c>
      <c r="N344">
        <f t="shared" si="71"/>
        <v>378.35602709786963</v>
      </c>
      <c r="O344" s="5">
        <f t="shared" si="62"/>
        <v>2.7361486345526487E-2</v>
      </c>
      <c r="P344">
        <f t="shared" si="70"/>
        <v>10000</v>
      </c>
      <c r="Q344">
        <f t="shared" si="63"/>
        <v>273.61486345526487</v>
      </c>
    </row>
    <row r="345" spans="1:17" x14ac:dyDescent="0.15">
      <c r="A345" s="10">
        <v>45876.40625</v>
      </c>
      <c r="B345">
        <f>COUNT(A345:$A$1158)/(48*252)</f>
        <v>6.7294973544973546E-2</v>
      </c>
      <c r="C345">
        <v>2.1259999999999999</v>
      </c>
      <c r="D345">
        <v>4.1000000000000002E-2</v>
      </c>
      <c r="E345">
        <f t="shared" si="60"/>
        <v>1.0192911425405562</v>
      </c>
      <c r="F345">
        <f t="shared" si="61"/>
        <v>-0.1540323838947989</v>
      </c>
      <c r="G345">
        <f t="shared" si="64"/>
        <v>0</v>
      </c>
      <c r="H345">
        <f>IF(MOD(COUNTA($C$7:C345)-1,$J$2),H344,ROUND(F345*P345,-2))</f>
        <v>-1500</v>
      </c>
      <c r="I345">
        <f t="shared" si="65"/>
        <v>0</v>
      </c>
      <c r="J345">
        <f t="shared" si="66"/>
        <v>0</v>
      </c>
      <c r="K345">
        <f t="shared" si="67"/>
        <v>3567.3560270978696</v>
      </c>
      <c r="L345">
        <f t="shared" si="68"/>
        <v>378.35602709786963</v>
      </c>
      <c r="M345">
        <f t="shared" si="69"/>
        <v>0</v>
      </c>
      <c r="N345">
        <f t="shared" si="71"/>
        <v>378.35602709786963</v>
      </c>
      <c r="O345" s="5">
        <f t="shared" si="62"/>
        <v>2.7316087074884365E-2</v>
      </c>
      <c r="P345">
        <f t="shared" si="70"/>
        <v>10000</v>
      </c>
      <c r="Q345">
        <f t="shared" si="63"/>
        <v>273.16087074884365</v>
      </c>
    </row>
    <row r="346" spans="1:17" x14ac:dyDescent="0.15">
      <c r="A346" s="10">
        <v>45876.409722222015</v>
      </c>
      <c r="B346">
        <f>COUNT(A346:$A$1158)/(48*252)</f>
        <v>6.7212301587301584E-2</v>
      </c>
      <c r="C346">
        <v>2.1259999999999999</v>
      </c>
      <c r="D346">
        <v>3.6999999999999998E-2</v>
      </c>
      <c r="E346">
        <f t="shared" si="60"/>
        <v>1.0198094106178799</v>
      </c>
      <c r="F346">
        <f t="shared" si="61"/>
        <v>-0.15390942959792631</v>
      </c>
      <c r="G346">
        <f t="shared" si="64"/>
        <v>0</v>
      </c>
      <c r="H346">
        <f>IF(MOD(COUNTA($C$7:C346)-1,$J$2),H345,ROUND(F346*P346,-2))</f>
        <v>-1500</v>
      </c>
      <c r="I346">
        <f t="shared" si="65"/>
        <v>0</v>
      </c>
      <c r="J346">
        <f t="shared" si="66"/>
        <v>0</v>
      </c>
      <c r="K346">
        <f t="shared" si="67"/>
        <v>3567.3560270978696</v>
      </c>
      <c r="L346">
        <f t="shared" si="68"/>
        <v>378.35602709786963</v>
      </c>
      <c r="M346">
        <f t="shared" si="69"/>
        <v>0</v>
      </c>
      <c r="N346">
        <f t="shared" si="71"/>
        <v>378.35602709786963</v>
      </c>
      <c r="O346" s="5">
        <f t="shared" si="62"/>
        <v>2.7270683040202082E-2</v>
      </c>
      <c r="P346">
        <f t="shared" si="70"/>
        <v>10000</v>
      </c>
      <c r="Q346">
        <f t="shared" si="63"/>
        <v>272.70683040202084</v>
      </c>
    </row>
    <row r="347" spans="1:17" x14ac:dyDescent="0.15">
      <c r="A347" s="10">
        <v>45876.413194444962</v>
      </c>
      <c r="B347">
        <f>COUNT(A347:$A$1158)/(48*252)</f>
        <v>6.7129629629629636E-2</v>
      </c>
      <c r="C347">
        <v>2.1259999999999999</v>
      </c>
      <c r="D347">
        <v>3.7999999999999999E-2</v>
      </c>
      <c r="E347">
        <f t="shared" si="60"/>
        <v>1.0203287025266017</v>
      </c>
      <c r="F347">
        <f t="shared" si="61"/>
        <v>-0.15378629756762363</v>
      </c>
      <c r="G347">
        <f t="shared" si="64"/>
        <v>0</v>
      </c>
      <c r="H347">
        <f>IF(MOD(COUNTA($C$7:C347)-1,$J$2),H346,ROUND(F347*P347,-2))</f>
        <v>-1500</v>
      </c>
      <c r="I347">
        <f t="shared" si="65"/>
        <v>0</v>
      </c>
      <c r="J347">
        <f t="shared" si="66"/>
        <v>0</v>
      </c>
      <c r="K347">
        <f t="shared" si="67"/>
        <v>3567.3560270978696</v>
      </c>
      <c r="L347">
        <f t="shared" si="68"/>
        <v>378.35602709786963</v>
      </c>
      <c r="M347">
        <f t="shared" si="69"/>
        <v>0</v>
      </c>
      <c r="N347">
        <f t="shared" si="71"/>
        <v>378.35602709786963</v>
      </c>
      <c r="O347" s="5">
        <f t="shared" si="62"/>
        <v>2.7225274265888444E-2</v>
      </c>
      <c r="P347">
        <f t="shared" si="70"/>
        <v>10000</v>
      </c>
      <c r="Q347">
        <f t="shared" si="63"/>
        <v>272.25274265888442</v>
      </c>
    </row>
    <row r="348" spans="1:17" x14ac:dyDescent="0.15">
      <c r="A348" s="10">
        <v>45876.416666666977</v>
      </c>
      <c r="B348">
        <f>COUNT(A348:$A$1158)/(48*252)</f>
        <v>6.7046957671957674E-2</v>
      </c>
      <c r="C348">
        <v>2.1259999999999999</v>
      </c>
      <c r="D348">
        <v>3.9E-2</v>
      </c>
      <c r="E348">
        <f t="shared" si="60"/>
        <v>1.0208490214629569</v>
      </c>
      <c r="F348">
        <f t="shared" si="61"/>
        <v>-0.15366298743106122</v>
      </c>
      <c r="G348">
        <f t="shared" si="64"/>
        <v>0</v>
      </c>
      <c r="H348">
        <f>IF(MOD(COUNTA($C$7:C348)-1,$J$2),H347,ROUND(F348*P348,-2))</f>
        <v>-1500</v>
      </c>
      <c r="I348">
        <f t="shared" si="65"/>
        <v>0</v>
      </c>
      <c r="J348">
        <f t="shared" si="66"/>
        <v>0</v>
      </c>
      <c r="K348">
        <f t="shared" si="67"/>
        <v>3567.3560270978696</v>
      </c>
      <c r="L348">
        <f t="shared" si="68"/>
        <v>378.35602709786963</v>
      </c>
      <c r="M348">
        <f t="shared" si="69"/>
        <v>0</v>
      </c>
      <c r="N348">
        <f t="shared" si="71"/>
        <v>378.35602709786963</v>
      </c>
      <c r="O348" s="5">
        <f t="shared" si="62"/>
        <v>2.7179860776495146E-2</v>
      </c>
      <c r="P348">
        <f t="shared" si="70"/>
        <v>10000</v>
      </c>
      <c r="Q348">
        <f t="shared" si="63"/>
        <v>271.79860776495144</v>
      </c>
    </row>
    <row r="349" spans="1:17" x14ac:dyDescent="0.15">
      <c r="A349" s="10">
        <v>45876.420138888992</v>
      </c>
      <c r="B349">
        <f>COUNT(A349:$A$1158)/(48*252)</f>
        <v>6.6964285714285712E-2</v>
      </c>
      <c r="C349">
        <v>2.1259999999999999</v>
      </c>
      <c r="D349">
        <v>3.9E-2</v>
      </c>
      <c r="E349">
        <f t="shared" si="60"/>
        <v>1.021370370637064</v>
      </c>
      <c r="F349">
        <f t="shared" si="61"/>
        <v>-0.15353949881444318</v>
      </c>
      <c r="G349">
        <f t="shared" si="64"/>
        <v>0</v>
      </c>
      <c r="H349">
        <f>IF(MOD(COUNTA($C$7:C349)-1,$J$2),H348,ROUND(F349*P349,-2))</f>
        <v>-1500</v>
      </c>
      <c r="I349">
        <f t="shared" si="65"/>
        <v>0</v>
      </c>
      <c r="J349">
        <f t="shared" si="66"/>
        <v>0</v>
      </c>
      <c r="K349">
        <f t="shared" si="67"/>
        <v>3567.3560270978696</v>
      </c>
      <c r="L349">
        <f t="shared" si="68"/>
        <v>378.35602709786963</v>
      </c>
      <c r="M349">
        <f t="shared" si="69"/>
        <v>0</v>
      </c>
      <c r="N349">
        <f t="shared" si="71"/>
        <v>378.35602709786963</v>
      </c>
      <c r="O349" s="5">
        <f t="shared" si="62"/>
        <v>2.7134442596717046E-2</v>
      </c>
      <c r="P349">
        <f t="shared" si="70"/>
        <v>10000</v>
      </c>
      <c r="Q349">
        <f t="shared" si="63"/>
        <v>271.34442596717048</v>
      </c>
    </row>
    <row r="350" spans="1:17" x14ac:dyDescent="0.15">
      <c r="A350" s="10">
        <v>45876.423611111008</v>
      </c>
      <c r="B350">
        <f>COUNT(A350:$A$1158)/(48*252)</f>
        <v>6.688161375661375E-2</v>
      </c>
      <c r="C350">
        <v>2.1259999999999999</v>
      </c>
      <c r="D350">
        <v>3.9E-2</v>
      </c>
      <c r="E350">
        <f t="shared" si="60"/>
        <v>1.021892753273002</v>
      </c>
      <c r="F350">
        <f t="shared" si="61"/>
        <v>-0.15341583134300607</v>
      </c>
      <c r="G350">
        <f t="shared" si="64"/>
        <v>0</v>
      </c>
      <c r="H350">
        <f>IF(MOD(COUNTA($C$7:C350)-1,$J$2),H349,ROUND(F350*P350,-2))</f>
        <v>-1500</v>
      </c>
      <c r="I350">
        <f t="shared" si="65"/>
        <v>0</v>
      </c>
      <c r="J350">
        <f t="shared" si="66"/>
        <v>0</v>
      </c>
      <c r="K350">
        <f t="shared" si="67"/>
        <v>3567.3560270978696</v>
      </c>
      <c r="L350">
        <f t="shared" si="68"/>
        <v>378.35602709786963</v>
      </c>
      <c r="M350">
        <f t="shared" si="69"/>
        <v>0</v>
      </c>
      <c r="N350">
        <f t="shared" si="71"/>
        <v>378.35602709786963</v>
      </c>
      <c r="O350" s="5">
        <f t="shared" si="62"/>
        <v>2.7089019751394494E-2</v>
      </c>
      <c r="P350">
        <f t="shared" si="70"/>
        <v>10000</v>
      </c>
      <c r="Q350">
        <f t="shared" si="63"/>
        <v>270.89019751394494</v>
      </c>
    </row>
    <row r="351" spans="1:17" x14ac:dyDescent="0.15">
      <c r="A351" s="10">
        <v>45876.427083333023</v>
      </c>
      <c r="B351">
        <f>COUNT(A351:$A$1158)/(48*252)</f>
        <v>6.6798941798941802E-2</v>
      </c>
      <c r="C351">
        <v>2.1259999999999999</v>
      </c>
      <c r="D351">
        <v>3.7999999999999999E-2</v>
      </c>
      <c r="E351">
        <f t="shared" si="60"/>
        <v>1.0224161726088874</v>
      </c>
      <c r="F351">
        <f t="shared" si="61"/>
        <v>-0.15329198464101645</v>
      </c>
      <c r="G351">
        <f t="shared" si="64"/>
        <v>0</v>
      </c>
      <c r="H351">
        <f>IF(MOD(COUNTA($C$7:C351)-1,$J$2),H350,ROUND(F351*P351,-2))</f>
        <v>-1500</v>
      </c>
      <c r="I351">
        <f t="shared" si="65"/>
        <v>0</v>
      </c>
      <c r="J351">
        <f t="shared" si="66"/>
        <v>0</v>
      </c>
      <c r="K351">
        <f t="shared" si="67"/>
        <v>3567.3560270978696</v>
      </c>
      <c r="L351">
        <f t="shared" si="68"/>
        <v>378.35602709786963</v>
      </c>
      <c r="M351">
        <f t="shared" si="69"/>
        <v>0</v>
      </c>
      <c r="N351">
        <f t="shared" si="71"/>
        <v>378.35602709786963</v>
      </c>
      <c r="O351" s="5">
        <f t="shared" si="62"/>
        <v>2.7043592265511951E-2</v>
      </c>
      <c r="P351">
        <f t="shared" si="70"/>
        <v>10000</v>
      </c>
      <c r="Q351">
        <f t="shared" si="63"/>
        <v>270.4359226551195</v>
      </c>
    </row>
    <row r="352" spans="1:17" x14ac:dyDescent="0.15">
      <c r="A352" s="10">
        <v>45876.430555555969</v>
      </c>
      <c r="B352">
        <f>COUNT(A352:$A$1158)/(48*252)</f>
        <v>6.671626984126984E-2</v>
      </c>
      <c r="C352">
        <v>2.1259999999999999</v>
      </c>
      <c r="D352">
        <v>3.9E-2</v>
      </c>
      <c r="E352">
        <f t="shared" si="60"/>
        <v>1.0229406318969536</v>
      </c>
      <c r="F352">
        <f t="shared" si="61"/>
        <v>-0.15316795833176744</v>
      </c>
      <c r="G352">
        <f t="shared" si="64"/>
        <v>0</v>
      </c>
      <c r="H352">
        <f>IF(MOD(COUNTA($C$7:C352)-1,$J$2),H351,ROUND(F352*P352,-2))</f>
        <v>-1500</v>
      </c>
      <c r="I352">
        <f t="shared" si="65"/>
        <v>0</v>
      </c>
      <c r="J352">
        <f t="shared" si="66"/>
        <v>0</v>
      </c>
      <c r="K352">
        <f t="shared" si="67"/>
        <v>3567.3560270978696</v>
      </c>
      <c r="L352">
        <f t="shared" si="68"/>
        <v>378.35602709786963</v>
      </c>
      <c r="M352">
        <f t="shared" si="69"/>
        <v>0</v>
      </c>
      <c r="N352">
        <f t="shared" si="71"/>
        <v>378.35602709786963</v>
      </c>
      <c r="O352" s="5">
        <f t="shared" si="62"/>
        <v>2.6998160164200979E-2</v>
      </c>
      <c r="P352">
        <f t="shared" si="70"/>
        <v>10000</v>
      </c>
      <c r="Q352">
        <f t="shared" si="63"/>
        <v>269.98160164200982</v>
      </c>
    </row>
    <row r="353" spans="1:17" x14ac:dyDescent="0.15">
      <c r="A353" s="10">
        <v>45876.434027777985</v>
      </c>
      <c r="B353">
        <f>COUNT(A353:$A$1158)/(48*252)</f>
        <v>6.6633597883597878E-2</v>
      </c>
      <c r="C353">
        <v>2.1259999999999999</v>
      </c>
      <c r="D353">
        <v>3.9E-2</v>
      </c>
      <c r="E353">
        <f t="shared" si="60"/>
        <v>1.0234661344036295</v>
      </c>
      <c r="F353">
        <f t="shared" si="61"/>
        <v>-0.15304375203757736</v>
      </c>
      <c r="G353">
        <f t="shared" si="64"/>
        <v>0</v>
      </c>
      <c r="H353">
        <f>IF(MOD(COUNTA($C$7:C353)-1,$J$2),H352,ROUND(F353*P353,-2))</f>
        <v>-1500</v>
      </c>
      <c r="I353">
        <f t="shared" si="65"/>
        <v>0</v>
      </c>
      <c r="J353">
        <f t="shared" si="66"/>
        <v>0</v>
      </c>
      <c r="K353">
        <f t="shared" si="67"/>
        <v>3567.3560270978696</v>
      </c>
      <c r="L353">
        <f t="shared" si="68"/>
        <v>378.35602709786963</v>
      </c>
      <c r="M353">
        <f t="shared" si="69"/>
        <v>0</v>
      </c>
      <c r="N353">
        <f t="shared" si="71"/>
        <v>378.35602709786963</v>
      </c>
      <c r="O353" s="5">
        <f t="shared" si="62"/>
        <v>2.6952723472739137E-2</v>
      </c>
      <c r="P353">
        <f t="shared" si="70"/>
        <v>10000</v>
      </c>
      <c r="Q353">
        <f t="shared" si="63"/>
        <v>269.52723472739137</v>
      </c>
    </row>
    <row r="354" spans="1:17" x14ac:dyDescent="0.15">
      <c r="A354" s="10">
        <v>45876.4375</v>
      </c>
      <c r="B354">
        <f>COUNT(A354:$A$1158)/(48*252)</f>
        <v>6.655092592592593E-2</v>
      </c>
      <c r="C354">
        <v>2.1259999999999999</v>
      </c>
      <c r="D354">
        <v>3.9E-2</v>
      </c>
      <c r="E354">
        <f t="shared" si="60"/>
        <v>1.0239926834096205</v>
      </c>
      <c r="F354">
        <f t="shared" si="61"/>
        <v>-0.15291936537978656</v>
      </c>
      <c r="G354">
        <f t="shared" si="64"/>
        <v>0</v>
      </c>
      <c r="H354">
        <f>IF(MOD(COUNTA($C$7:C354)-1,$J$2),H353,ROUND(F354*P354,-2))</f>
        <v>-1500</v>
      </c>
      <c r="I354">
        <f t="shared" si="65"/>
        <v>0</v>
      </c>
      <c r="J354">
        <f t="shared" si="66"/>
        <v>0</v>
      </c>
      <c r="K354">
        <f t="shared" si="67"/>
        <v>3567.3560270978696</v>
      </c>
      <c r="L354">
        <f t="shared" si="68"/>
        <v>378.35602709786963</v>
      </c>
      <c r="M354">
        <f t="shared" si="69"/>
        <v>0</v>
      </c>
      <c r="N354">
        <f t="shared" si="71"/>
        <v>378.35602709786963</v>
      </c>
      <c r="O354" s="5">
        <f t="shared" si="62"/>
        <v>2.6907282216552031E-2</v>
      </c>
      <c r="P354">
        <f t="shared" si="70"/>
        <v>10000</v>
      </c>
      <c r="Q354">
        <f t="shared" si="63"/>
        <v>269.07282216552034</v>
      </c>
    </row>
    <row r="355" spans="1:17" x14ac:dyDescent="0.15">
      <c r="A355" s="10">
        <v>45876.440972222015</v>
      </c>
      <c r="B355">
        <f>COUNT(A355:$A$1158)/(48*252)</f>
        <v>6.6468253968253968E-2</v>
      </c>
      <c r="C355">
        <v>2.1259999999999999</v>
      </c>
      <c r="D355">
        <v>3.9E-2</v>
      </c>
      <c r="E355">
        <f t="shared" si="60"/>
        <v>1.0245202822099853</v>
      </c>
      <c r="F355">
        <f t="shared" si="61"/>
        <v>-0.15279479797875561</v>
      </c>
      <c r="G355">
        <f t="shared" si="64"/>
        <v>0</v>
      </c>
      <c r="H355">
        <f>IF(MOD(COUNTA($C$7:C355)-1,$J$2),H354,ROUND(F355*P355,-2))</f>
        <v>-1500</v>
      </c>
      <c r="I355">
        <f t="shared" si="65"/>
        <v>0</v>
      </c>
      <c r="J355">
        <f t="shared" si="66"/>
        <v>0</v>
      </c>
      <c r="K355">
        <f t="shared" si="67"/>
        <v>3567.3560270978696</v>
      </c>
      <c r="L355">
        <f t="shared" si="68"/>
        <v>378.35602709786963</v>
      </c>
      <c r="M355">
        <f t="shared" si="69"/>
        <v>0</v>
      </c>
      <c r="N355">
        <f t="shared" si="71"/>
        <v>378.35602709786963</v>
      </c>
      <c r="O355" s="5">
        <f t="shared" si="62"/>
        <v>2.6861836421213869E-2</v>
      </c>
      <c r="P355">
        <f t="shared" si="70"/>
        <v>10000</v>
      </c>
      <c r="Q355">
        <f t="shared" si="63"/>
        <v>268.61836421213872</v>
      </c>
    </row>
    <row r="356" spans="1:17" x14ac:dyDescent="0.15">
      <c r="A356" s="10">
        <v>45876.444444444962</v>
      </c>
      <c r="B356">
        <f>COUNT(A356:$A$1158)/(48*252)</f>
        <v>6.6385582010582006E-2</v>
      </c>
      <c r="C356">
        <v>2.1259999999999999</v>
      </c>
      <c r="D356">
        <v>3.7999999999999999E-2</v>
      </c>
      <c r="E356">
        <f t="shared" si="60"/>
        <v>1.0250489341142208</v>
      </c>
      <c r="F356">
        <f t="shared" si="61"/>
        <v>-0.15267004945386209</v>
      </c>
      <c r="G356">
        <f t="shared" si="64"/>
        <v>0</v>
      </c>
      <c r="H356">
        <f>IF(MOD(COUNTA($C$7:C356)-1,$J$2),H355,ROUND(F356*P356,-2))</f>
        <v>-1500</v>
      </c>
      <c r="I356">
        <f t="shared" si="65"/>
        <v>0</v>
      </c>
      <c r="J356">
        <f t="shared" si="66"/>
        <v>0</v>
      </c>
      <c r="K356">
        <f t="shared" si="67"/>
        <v>3567.3560270978696</v>
      </c>
      <c r="L356">
        <f t="shared" si="68"/>
        <v>378.35602709786963</v>
      </c>
      <c r="M356">
        <f t="shared" si="69"/>
        <v>0</v>
      </c>
      <c r="N356">
        <f t="shared" si="71"/>
        <v>378.35602709786963</v>
      </c>
      <c r="O356" s="5">
        <f t="shared" si="62"/>
        <v>2.6816386112448021E-2</v>
      </c>
      <c r="P356">
        <f t="shared" si="70"/>
        <v>10000</v>
      </c>
      <c r="Q356">
        <f t="shared" si="63"/>
        <v>268.16386112448021</v>
      </c>
    </row>
    <row r="357" spans="1:17" x14ac:dyDescent="0.15">
      <c r="A357" s="10">
        <v>45876.447916666977</v>
      </c>
      <c r="B357">
        <f>COUNT(A357:$A$1158)/(48*252)</f>
        <v>6.6302910052910058E-2</v>
      </c>
      <c r="C357">
        <v>2.1259999999999999</v>
      </c>
      <c r="D357">
        <v>3.7999999999999999E-2</v>
      </c>
      <c r="E357">
        <f t="shared" si="60"/>
        <v>1.0255786424463393</v>
      </c>
      <c r="F357">
        <f t="shared" si="61"/>
        <v>-0.15254511942349902</v>
      </c>
      <c r="G357">
        <f t="shared" si="64"/>
        <v>0</v>
      </c>
      <c r="H357">
        <f>IF(MOD(COUNTA($C$7:C357)-1,$J$2),H356,ROUND(F357*P357,-2))</f>
        <v>-1500</v>
      </c>
      <c r="I357">
        <f t="shared" si="65"/>
        <v>0</v>
      </c>
      <c r="J357">
        <f t="shared" si="66"/>
        <v>0</v>
      </c>
      <c r="K357">
        <f t="shared" si="67"/>
        <v>3567.3560270978696</v>
      </c>
      <c r="L357">
        <f t="shared" si="68"/>
        <v>378.35602709786963</v>
      </c>
      <c r="M357">
        <f t="shared" si="69"/>
        <v>0</v>
      </c>
      <c r="N357">
        <f t="shared" si="71"/>
        <v>378.35602709786963</v>
      </c>
      <c r="O357" s="5">
        <f t="shared" si="62"/>
        <v>2.6770931316128455E-2</v>
      </c>
      <c r="P357">
        <f t="shared" si="70"/>
        <v>10000</v>
      </c>
      <c r="Q357">
        <f t="shared" si="63"/>
        <v>267.70931316128457</v>
      </c>
    </row>
    <row r="358" spans="1:17" x14ac:dyDescent="0.15">
      <c r="A358" s="10">
        <v>45876.451388888992</v>
      </c>
      <c r="B358">
        <f>COUNT(A358:$A$1158)/(48*252)</f>
        <v>6.6220238095238096E-2</v>
      </c>
      <c r="C358">
        <v>2.1259999999999999</v>
      </c>
      <c r="D358">
        <v>3.6999999999999998E-2</v>
      </c>
      <c r="E358">
        <f t="shared" si="60"/>
        <v>1.0261094105449535</v>
      </c>
      <c r="F358">
        <f t="shared" si="61"/>
        <v>-0.15242000750507156</v>
      </c>
      <c r="G358">
        <f t="shared" si="64"/>
        <v>0</v>
      </c>
      <c r="H358">
        <f>IF(MOD(COUNTA($C$7:C358)-1,$J$2),H357,ROUND(F358*P358,-2))</f>
        <v>-1500</v>
      </c>
      <c r="I358">
        <f t="shared" si="65"/>
        <v>0</v>
      </c>
      <c r="J358">
        <f t="shared" si="66"/>
        <v>0</v>
      </c>
      <c r="K358">
        <f t="shared" si="67"/>
        <v>3567.3560270978696</v>
      </c>
      <c r="L358">
        <f t="shared" si="68"/>
        <v>378.35602709786963</v>
      </c>
      <c r="M358">
        <f t="shared" si="69"/>
        <v>0</v>
      </c>
      <c r="N358">
        <f t="shared" si="71"/>
        <v>378.35602709786963</v>
      </c>
      <c r="O358" s="5">
        <f t="shared" si="62"/>
        <v>2.6725472058279631E-2</v>
      </c>
      <c r="P358">
        <f t="shared" si="70"/>
        <v>10000</v>
      </c>
      <c r="Q358">
        <f t="shared" si="63"/>
        <v>267.25472058279632</v>
      </c>
    </row>
    <row r="359" spans="1:17" x14ac:dyDescent="0.15">
      <c r="A359" s="10">
        <v>45876.454861111008</v>
      </c>
      <c r="B359">
        <f>COUNT(A359:$A$1158)/(48*252)</f>
        <v>6.6137566137566134E-2</v>
      </c>
      <c r="C359">
        <v>2.1259999999999999</v>
      </c>
      <c r="D359">
        <v>3.6999999999999998E-2</v>
      </c>
      <c r="E359">
        <f t="shared" si="60"/>
        <v>1.0266412417633568</v>
      </c>
      <c r="F359">
        <f t="shared" si="61"/>
        <v>-0.15229471331499533</v>
      </c>
      <c r="G359">
        <f t="shared" si="64"/>
        <v>0</v>
      </c>
      <c r="H359">
        <f>IF(MOD(COUNTA($C$7:C359)-1,$J$2),H358,ROUND(F359*P359,-2))</f>
        <v>-1500</v>
      </c>
      <c r="I359">
        <f t="shared" si="65"/>
        <v>0</v>
      </c>
      <c r="J359">
        <f t="shared" si="66"/>
        <v>0</v>
      </c>
      <c r="K359">
        <f t="shared" si="67"/>
        <v>3567.3560270978696</v>
      </c>
      <c r="L359">
        <f t="shared" si="68"/>
        <v>378.35602709786963</v>
      </c>
      <c r="M359">
        <f t="shared" si="69"/>
        <v>0</v>
      </c>
      <c r="N359">
        <f t="shared" si="71"/>
        <v>378.35602709786963</v>
      </c>
      <c r="O359" s="5">
        <f t="shared" si="62"/>
        <v>2.6680008365077224E-2</v>
      </c>
      <c r="P359">
        <f t="shared" si="70"/>
        <v>10000</v>
      </c>
      <c r="Q359">
        <f t="shared" si="63"/>
        <v>266.80008365077225</v>
      </c>
    </row>
    <row r="360" spans="1:17" x14ac:dyDescent="0.15">
      <c r="A360" s="10">
        <v>45876.458333333023</v>
      </c>
      <c r="B360">
        <f>COUNT(A360:$A$1158)/(48*252)</f>
        <v>6.6054894179894186E-2</v>
      </c>
      <c r="C360">
        <v>2.1259999999999999</v>
      </c>
      <c r="D360">
        <v>3.3000000000000002E-2</v>
      </c>
      <c r="E360">
        <f t="shared" si="60"/>
        <v>1.0271741394696072</v>
      </c>
      <c r="F360">
        <f t="shared" si="61"/>
        <v>-0.1521692364686934</v>
      </c>
      <c r="G360">
        <f t="shared" si="64"/>
        <v>0</v>
      </c>
      <c r="H360">
        <f>IF(MOD(COUNTA($C$7:C360)-1,$J$2),H359,ROUND(F360*P360,-2))</f>
        <v>-1500</v>
      </c>
      <c r="I360">
        <f t="shared" si="65"/>
        <v>0</v>
      </c>
      <c r="J360">
        <f t="shared" si="66"/>
        <v>0</v>
      </c>
      <c r="K360">
        <f t="shared" si="67"/>
        <v>3567.3560270978696</v>
      </c>
      <c r="L360">
        <f t="shared" si="68"/>
        <v>378.35602709786963</v>
      </c>
      <c r="M360">
        <f t="shared" si="69"/>
        <v>0</v>
      </c>
      <c r="N360">
        <f t="shared" si="71"/>
        <v>378.35602709786963</v>
      </c>
      <c r="O360" s="5">
        <f t="shared" si="62"/>
        <v>2.6634540262851059E-2</v>
      </c>
      <c r="P360">
        <f t="shared" si="70"/>
        <v>10000</v>
      </c>
      <c r="Q360">
        <f t="shared" si="63"/>
        <v>266.34540262851061</v>
      </c>
    </row>
    <row r="361" spans="1:17" x14ac:dyDescent="0.15">
      <c r="A361" s="10">
        <v>45876.461805555969</v>
      </c>
      <c r="B361">
        <f>COUNT(A361:$A$1158)/(48*252)</f>
        <v>6.5972222222222224E-2</v>
      </c>
      <c r="C361">
        <v>2.1259999999999999</v>
      </c>
      <c r="D361">
        <v>3.3000000000000002E-2</v>
      </c>
      <c r="E361">
        <f t="shared" si="60"/>
        <v>1.0277081070466103</v>
      </c>
      <c r="F361">
        <f t="shared" si="61"/>
        <v>-0.15204357658059431</v>
      </c>
      <c r="G361">
        <f t="shared" si="64"/>
        <v>0</v>
      </c>
      <c r="H361">
        <f>IF(MOD(COUNTA($C$7:C361)-1,$J$2),H360,ROUND(F361*P361,-2))</f>
        <v>-1500</v>
      </c>
      <c r="I361">
        <f t="shared" si="65"/>
        <v>0</v>
      </c>
      <c r="J361">
        <f t="shared" si="66"/>
        <v>0</v>
      </c>
      <c r="K361">
        <f t="shared" si="67"/>
        <v>3567.3560270978696</v>
      </c>
      <c r="L361">
        <f t="shared" si="68"/>
        <v>378.35602709786963</v>
      </c>
      <c r="M361">
        <f t="shared" si="69"/>
        <v>0</v>
      </c>
      <c r="N361">
        <f t="shared" si="71"/>
        <v>378.35602709786963</v>
      </c>
      <c r="O361" s="5">
        <f t="shared" si="62"/>
        <v>2.6589067778083397E-2</v>
      </c>
      <c r="P361">
        <f t="shared" si="70"/>
        <v>10000</v>
      </c>
      <c r="Q361">
        <f t="shared" si="63"/>
        <v>265.89067778083398</v>
      </c>
    </row>
    <row r="362" spans="1:17" x14ac:dyDescent="0.15">
      <c r="A362" s="10">
        <v>45876.465277777985</v>
      </c>
      <c r="B362">
        <f>COUNT(A362:$A$1158)/(48*252)</f>
        <v>6.5889550264550262E-2</v>
      </c>
      <c r="C362">
        <v>2.1259999999999999</v>
      </c>
      <c r="D362">
        <v>3.2000000000000001E-2</v>
      </c>
      <c r="E362">
        <f t="shared" si="60"/>
        <v>1.0282431478922038</v>
      </c>
      <c r="F362">
        <f t="shared" si="61"/>
        <v>-0.15191773326412905</v>
      </c>
      <c r="G362">
        <f t="shared" si="64"/>
        <v>0</v>
      </c>
      <c r="H362">
        <f>IF(MOD(COUNTA($C$7:C362)-1,$J$2),H361,ROUND(F362*P362,-2))</f>
        <v>-1500</v>
      </c>
      <c r="I362">
        <f t="shared" si="65"/>
        <v>0</v>
      </c>
      <c r="J362">
        <f t="shared" si="66"/>
        <v>0</v>
      </c>
      <c r="K362">
        <f t="shared" si="67"/>
        <v>3567.3560270978696</v>
      </c>
      <c r="L362">
        <f t="shared" si="68"/>
        <v>378.35602709786963</v>
      </c>
      <c r="M362">
        <f t="shared" si="69"/>
        <v>0</v>
      </c>
      <c r="N362">
        <f t="shared" si="71"/>
        <v>378.35602709786963</v>
      </c>
      <c r="O362" s="5">
        <f t="shared" si="62"/>
        <v>2.6543590937411599E-2</v>
      </c>
      <c r="P362">
        <f t="shared" si="70"/>
        <v>10000</v>
      </c>
      <c r="Q362">
        <f t="shared" si="63"/>
        <v>265.43590937411597</v>
      </c>
    </row>
    <row r="363" spans="1:17" x14ac:dyDescent="0.15">
      <c r="A363" s="10">
        <v>45876.46875</v>
      </c>
      <c r="B363">
        <f>COUNT(A363:$A$1158)/(48*252)</f>
        <v>6.5806878306878314E-2</v>
      </c>
      <c r="C363">
        <v>2.1259999999999999</v>
      </c>
      <c r="D363">
        <v>3.3000000000000002E-2</v>
      </c>
      <c r="E363">
        <f t="shared" si="60"/>
        <v>1.0287792654192416</v>
      </c>
      <c r="F363">
        <f t="shared" si="61"/>
        <v>-0.15179170613172921</v>
      </c>
      <c r="G363">
        <f t="shared" si="64"/>
        <v>0</v>
      </c>
      <c r="H363">
        <f>IF(MOD(COUNTA($C$7:C363)-1,$J$2),H362,ROUND(F363*P363,-2))</f>
        <v>-1500</v>
      </c>
      <c r="I363">
        <f t="shared" si="65"/>
        <v>0</v>
      </c>
      <c r="J363">
        <f t="shared" si="66"/>
        <v>0</v>
      </c>
      <c r="K363">
        <f t="shared" si="67"/>
        <v>3567.3560270978696</v>
      </c>
      <c r="L363">
        <f t="shared" si="68"/>
        <v>378.35602709786963</v>
      </c>
      <c r="M363">
        <f t="shared" si="69"/>
        <v>0</v>
      </c>
      <c r="N363">
        <f t="shared" si="71"/>
        <v>378.35602709786963</v>
      </c>
      <c r="O363" s="5">
        <f t="shared" si="62"/>
        <v>2.6498109767627676E-2</v>
      </c>
      <c r="P363">
        <f t="shared" si="70"/>
        <v>10000</v>
      </c>
      <c r="Q363">
        <f t="shared" si="63"/>
        <v>264.98109767627676</v>
      </c>
    </row>
    <row r="364" spans="1:17" x14ac:dyDescent="0.15">
      <c r="A364" s="10">
        <v>45876.472222222015</v>
      </c>
      <c r="B364">
        <f>COUNT(A364:$A$1158)/(48*252)</f>
        <v>6.5724206349206352E-2</v>
      </c>
      <c r="C364">
        <v>2.1259999999999999</v>
      </c>
      <c r="D364">
        <v>3.1E-2</v>
      </c>
      <c r="E364">
        <f t="shared" si="60"/>
        <v>1.0293164630556793</v>
      </c>
      <c r="F364">
        <f t="shared" si="61"/>
        <v>-0.15166549479482416</v>
      </c>
      <c r="G364">
        <f t="shared" si="64"/>
        <v>0</v>
      </c>
      <c r="H364">
        <f>IF(MOD(COUNTA($C$7:C364)-1,$J$2),H363,ROUND(F364*P364,-2))</f>
        <v>-1500</v>
      </c>
      <c r="I364">
        <f t="shared" si="65"/>
        <v>0</v>
      </c>
      <c r="J364">
        <f t="shared" si="66"/>
        <v>0</v>
      </c>
      <c r="K364">
        <f t="shared" si="67"/>
        <v>3567.3560270978696</v>
      </c>
      <c r="L364">
        <f t="shared" si="68"/>
        <v>378.35602709786963</v>
      </c>
      <c r="M364">
        <f t="shared" si="69"/>
        <v>0</v>
      </c>
      <c r="N364">
        <f t="shared" si="71"/>
        <v>378.35602709786963</v>
      </c>
      <c r="O364" s="5">
        <f t="shared" si="62"/>
        <v>2.6452624295679572E-2</v>
      </c>
      <c r="P364">
        <f t="shared" si="70"/>
        <v>10000</v>
      </c>
      <c r="Q364">
        <f t="shared" si="63"/>
        <v>264.52624295679573</v>
      </c>
    </row>
    <row r="365" spans="1:17" x14ac:dyDescent="0.15">
      <c r="A365" s="10">
        <v>45876.475694444962</v>
      </c>
      <c r="B365">
        <f>COUNT(A365:$A$1158)/(48*252)</f>
        <v>6.564153439153439E-2</v>
      </c>
      <c r="C365">
        <v>2.1259999999999999</v>
      </c>
      <c r="D365">
        <v>3.1E-2</v>
      </c>
      <c r="E365">
        <f t="shared" si="60"/>
        <v>1.0298547442446597</v>
      </c>
      <c r="F365">
        <f t="shared" si="61"/>
        <v>-0.15153909886383921</v>
      </c>
      <c r="G365">
        <f t="shared" si="64"/>
        <v>0</v>
      </c>
      <c r="H365">
        <f>IF(MOD(COUNTA($C$7:C365)-1,$J$2),H364,ROUND(F365*P365,-2))</f>
        <v>-1500</v>
      </c>
      <c r="I365">
        <f t="shared" si="65"/>
        <v>0</v>
      </c>
      <c r="J365">
        <f t="shared" si="66"/>
        <v>0</v>
      </c>
      <c r="K365">
        <f t="shared" si="67"/>
        <v>3567.3560270978696</v>
      </c>
      <c r="L365">
        <f t="shared" si="68"/>
        <v>378.35602709786963</v>
      </c>
      <c r="M365">
        <f t="shared" si="69"/>
        <v>0</v>
      </c>
      <c r="N365">
        <f t="shared" si="71"/>
        <v>378.35602709786963</v>
      </c>
      <c r="O365" s="5">
        <f t="shared" si="62"/>
        <v>2.6407134548672884E-2</v>
      </c>
      <c r="P365">
        <f t="shared" si="70"/>
        <v>10000</v>
      </c>
      <c r="Q365">
        <f t="shared" si="63"/>
        <v>264.07134548672883</v>
      </c>
    </row>
    <row r="366" spans="1:17" x14ac:dyDescent="0.15">
      <c r="A366" s="10">
        <v>45876.479166666977</v>
      </c>
      <c r="B366">
        <f>COUNT(A366:$A$1158)/(48*252)</f>
        <v>6.5558862433862428E-2</v>
      </c>
      <c r="C366">
        <v>2.1259999999999999</v>
      </c>
      <c r="D366">
        <v>3.2000000000000001E-2</v>
      </c>
      <c r="E366">
        <f t="shared" si="60"/>
        <v>1.0303941124446012</v>
      </c>
      <c r="F366">
        <f t="shared" si="61"/>
        <v>-0.15141251794819177</v>
      </c>
      <c r="G366">
        <f t="shared" si="64"/>
        <v>0</v>
      </c>
      <c r="H366">
        <f>IF(MOD(COUNTA($C$7:C366)-1,$J$2),H365,ROUND(F366*P366,-2))</f>
        <v>-1500</v>
      </c>
      <c r="I366">
        <f t="shared" si="65"/>
        <v>0</v>
      </c>
      <c r="J366">
        <f t="shared" si="66"/>
        <v>0</v>
      </c>
      <c r="K366">
        <f t="shared" si="67"/>
        <v>3567.3560270978696</v>
      </c>
      <c r="L366">
        <f t="shared" si="68"/>
        <v>378.35602709786963</v>
      </c>
      <c r="M366">
        <f t="shared" si="69"/>
        <v>0</v>
      </c>
      <c r="N366">
        <f t="shared" si="71"/>
        <v>378.35602709786963</v>
      </c>
      <c r="O366" s="5">
        <f t="shared" si="62"/>
        <v>2.6361640553870525E-2</v>
      </c>
      <c r="P366">
        <f t="shared" si="70"/>
        <v>10000</v>
      </c>
      <c r="Q366">
        <f t="shared" si="63"/>
        <v>263.61640553870524</v>
      </c>
    </row>
    <row r="367" spans="1:17" x14ac:dyDescent="0.15">
      <c r="A367" s="10">
        <v>45876.545138888992</v>
      </c>
      <c r="B367">
        <f>COUNT(A367:$A$1158)/(48*252)</f>
        <v>6.5476190476190479E-2</v>
      </c>
      <c r="C367">
        <v>2.1269999999999998</v>
      </c>
      <c r="D367">
        <v>3.3000000000000002E-2</v>
      </c>
      <c r="E367">
        <f t="shared" si="60"/>
        <v>1.034126761642032</v>
      </c>
      <c r="F367">
        <f t="shared" si="61"/>
        <v>-0.15053845342241745</v>
      </c>
      <c r="G367">
        <f t="shared" si="64"/>
        <v>9.9999999999988987E-4</v>
      </c>
      <c r="H367">
        <f>IF(MOD(COUNTA($C$7:C367)-1,$J$2),H366,ROUND(F367*P367,-2))</f>
        <v>-1500</v>
      </c>
      <c r="I367">
        <f t="shared" si="65"/>
        <v>0</v>
      </c>
      <c r="J367">
        <f t="shared" si="66"/>
        <v>0</v>
      </c>
      <c r="K367">
        <f t="shared" si="67"/>
        <v>3567.3560270978696</v>
      </c>
      <c r="L367">
        <f t="shared" si="68"/>
        <v>376.85602709787008</v>
      </c>
      <c r="M367">
        <f t="shared" si="69"/>
        <v>-1.4999999999995453</v>
      </c>
      <c r="N367">
        <f t="shared" si="71"/>
        <v>376.85602709787008</v>
      </c>
      <c r="O367" s="5">
        <f t="shared" si="62"/>
        <v>2.6165230470700185E-2</v>
      </c>
      <c r="P367">
        <f t="shared" si="70"/>
        <v>10000</v>
      </c>
      <c r="Q367">
        <f t="shared" si="63"/>
        <v>261.65230470700186</v>
      </c>
    </row>
    <row r="368" spans="1:17" x14ac:dyDescent="0.15">
      <c r="A368" s="10">
        <v>45876.548611111008</v>
      </c>
      <c r="B368">
        <f>COUNT(A368:$A$1158)/(48*252)</f>
        <v>6.5393518518518517E-2</v>
      </c>
      <c r="C368">
        <v>2.1269999999999998</v>
      </c>
      <c r="D368">
        <v>3.2000000000000001E-2</v>
      </c>
      <c r="E368">
        <f t="shared" si="60"/>
        <v>1.0346703314828765</v>
      </c>
      <c r="F368">
        <f t="shared" si="61"/>
        <v>-0.15041144803687434</v>
      </c>
      <c r="G368">
        <f t="shared" si="64"/>
        <v>0</v>
      </c>
      <c r="H368">
        <f>IF(MOD(COUNTA($C$7:C368)-1,$J$2),H367,ROUND(F368*P368,-2))</f>
        <v>-1500</v>
      </c>
      <c r="I368">
        <f t="shared" si="65"/>
        <v>0</v>
      </c>
      <c r="J368">
        <f t="shared" si="66"/>
        <v>0</v>
      </c>
      <c r="K368">
        <f t="shared" si="67"/>
        <v>3567.3560270978696</v>
      </c>
      <c r="L368">
        <f t="shared" si="68"/>
        <v>376.85602709787008</v>
      </c>
      <c r="M368">
        <f t="shared" si="69"/>
        <v>0</v>
      </c>
      <c r="N368">
        <f t="shared" si="71"/>
        <v>376.85602709787008</v>
      </c>
      <c r="O368" s="5">
        <f t="shared" si="62"/>
        <v>2.6119855041709272E-2</v>
      </c>
      <c r="P368">
        <f t="shared" si="70"/>
        <v>10000</v>
      </c>
      <c r="Q368">
        <f t="shared" si="63"/>
        <v>261.19855041709275</v>
      </c>
    </row>
    <row r="369" spans="1:17" x14ac:dyDescent="0.15">
      <c r="A369" s="10">
        <v>45876.552083333023</v>
      </c>
      <c r="B369">
        <f>COUNT(A369:$A$1158)/(48*252)</f>
        <v>6.5310846560846555E-2</v>
      </c>
      <c r="C369">
        <v>2.1259999999999999</v>
      </c>
      <c r="D369">
        <v>3.2000000000000001E-2</v>
      </c>
      <c r="E369">
        <f t="shared" si="60"/>
        <v>1.0320187739252986</v>
      </c>
      <c r="F369">
        <f t="shared" si="61"/>
        <v>-0.1510316613723004</v>
      </c>
      <c r="G369">
        <f t="shared" si="64"/>
        <v>-9.9999999999988987E-4</v>
      </c>
      <c r="H369">
        <f>IF(MOD(COUNTA($C$7:C369)-1,$J$2),H368,ROUND(F369*P369,-2))</f>
        <v>-1500</v>
      </c>
      <c r="I369">
        <f t="shared" si="65"/>
        <v>0</v>
      </c>
      <c r="J369">
        <f t="shared" si="66"/>
        <v>0</v>
      </c>
      <c r="K369">
        <f t="shared" si="67"/>
        <v>3567.3560270978696</v>
      </c>
      <c r="L369">
        <f t="shared" si="68"/>
        <v>378.35602709786963</v>
      </c>
      <c r="M369">
        <f t="shared" si="69"/>
        <v>1.4999999999995453</v>
      </c>
      <c r="N369">
        <f t="shared" si="71"/>
        <v>378.35602709786963</v>
      </c>
      <c r="O369" s="5">
        <f t="shared" si="62"/>
        <v>2.6225133357707098E-2</v>
      </c>
      <c r="P369">
        <f t="shared" si="70"/>
        <v>10000</v>
      </c>
      <c r="Q369">
        <f t="shared" si="63"/>
        <v>262.25133357707097</v>
      </c>
    </row>
    <row r="370" spans="1:17" x14ac:dyDescent="0.15">
      <c r="A370" s="10">
        <v>45876.555555555969</v>
      </c>
      <c r="B370">
        <f>COUNT(A370:$A$1158)/(48*252)</f>
        <v>6.5228174603174607E-2</v>
      </c>
      <c r="C370">
        <v>2.13</v>
      </c>
      <c r="D370">
        <v>3.3000000000000002E-2</v>
      </c>
      <c r="E370">
        <f t="shared" si="60"/>
        <v>1.0453465251905965</v>
      </c>
      <c r="F370">
        <f t="shared" si="61"/>
        <v>-0.14793142099402268</v>
      </c>
      <c r="G370">
        <f t="shared" si="64"/>
        <v>4.0000000000000036E-3</v>
      </c>
      <c r="H370">
        <f>IF(MOD(COUNTA($C$7:C370)-1,$J$2),H369,ROUND(F370*P370,-2))</f>
        <v>-1500</v>
      </c>
      <c r="I370">
        <f t="shared" si="65"/>
        <v>0</v>
      </c>
      <c r="J370">
        <f t="shared" si="66"/>
        <v>0</v>
      </c>
      <c r="K370">
        <f t="shared" si="67"/>
        <v>3567.3560270978696</v>
      </c>
      <c r="L370">
        <f t="shared" si="68"/>
        <v>372.35602709786963</v>
      </c>
      <c r="M370">
        <f t="shared" si="69"/>
        <v>-6</v>
      </c>
      <c r="N370">
        <f t="shared" si="71"/>
        <v>372.35602709786963</v>
      </c>
      <c r="O370" s="5">
        <f t="shared" si="62"/>
        <v>2.5581966157070146E-2</v>
      </c>
      <c r="P370">
        <f t="shared" si="70"/>
        <v>10000</v>
      </c>
      <c r="Q370">
        <f t="shared" si="63"/>
        <v>255.81966157070147</v>
      </c>
    </row>
    <row r="371" spans="1:17" x14ac:dyDescent="0.15">
      <c r="A371" s="10">
        <v>45876.559027777985</v>
      </c>
      <c r="B371">
        <f>COUNT(A371:$A$1158)/(48*252)</f>
        <v>6.5145502645502645E-2</v>
      </c>
      <c r="C371">
        <v>2.1309999999999998</v>
      </c>
      <c r="D371">
        <v>3.3000000000000002E-2</v>
      </c>
      <c r="E371">
        <f t="shared" si="60"/>
        <v>1.049093763719541</v>
      </c>
      <c r="F371">
        <f t="shared" si="61"/>
        <v>-0.14706748303175854</v>
      </c>
      <c r="G371">
        <f t="shared" si="64"/>
        <v>9.9999999999988987E-4</v>
      </c>
      <c r="H371">
        <f>IF(MOD(COUNTA($C$7:C371)-1,$J$2),H370,ROUND(F371*P371,-2))</f>
        <v>-1500</v>
      </c>
      <c r="I371">
        <f t="shared" si="65"/>
        <v>0</v>
      </c>
      <c r="J371">
        <f t="shared" si="66"/>
        <v>0</v>
      </c>
      <c r="K371">
        <f t="shared" si="67"/>
        <v>3567.3560270978696</v>
      </c>
      <c r="L371">
        <f t="shared" si="68"/>
        <v>370.85602709787008</v>
      </c>
      <c r="M371">
        <f t="shared" si="69"/>
        <v>-1.4999999999995453</v>
      </c>
      <c r="N371">
        <f t="shared" si="71"/>
        <v>370.85602709787008</v>
      </c>
      <c r="O371" s="5">
        <f t="shared" si="62"/>
        <v>2.5389526412265051E-2</v>
      </c>
      <c r="P371">
        <f t="shared" si="70"/>
        <v>10000</v>
      </c>
      <c r="Q371">
        <f t="shared" si="63"/>
        <v>253.8952641226505</v>
      </c>
    </row>
    <row r="372" spans="1:17" x14ac:dyDescent="0.15">
      <c r="A372" s="10">
        <v>45876.5625</v>
      </c>
      <c r="B372">
        <f>COUNT(A372:$A$1158)/(48*252)</f>
        <v>6.5062830687830683E-2</v>
      </c>
      <c r="C372">
        <v>2.13</v>
      </c>
      <c r="D372">
        <v>3.2000000000000001E-2</v>
      </c>
      <c r="E372">
        <f t="shared" si="60"/>
        <v>1.0464535782786519</v>
      </c>
      <c r="F372">
        <f t="shared" si="61"/>
        <v>-0.1476758334725633</v>
      </c>
      <c r="G372">
        <f t="shared" si="64"/>
        <v>-9.9999999999988987E-4</v>
      </c>
      <c r="H372">
        <f>IF(MOD(COUNTA($C$7:C372)-1,$J$2),H371,ROUND(F372*P372,-2))</f>
        <v>-1500</v>
      </c>
      <c r="I372">
        <f t="shared" si="65"/>
        <v>0</v>
      </c>
      <c r="J372">
        <f t="shared" si="66"/>
        <v>0</v>
      </c>
      <c r="K372">
        <f t="shared" si="67"/>
        <v>3567.3560270978696</v>
      </c>
      <c r="L372">
        <f t="shared" si="68"/>
        <v>372.35602709786963</v>
      </c>
      <c r="M372">
        <f t="shared" si="69"/>
        <v>1.4999999999995453</v>
      </c>
      <c r="N372">
        <f t="shared" si="71"/>
        <v>372.35602709786963</v>
      </c>
      <c r="O372" s="5">
        <f t="shared" si="62"/>
        <v>2.5491954066957256E-2</v>
      </c>
      <c r="P372">
        <f t="shared" si="70"/>
        <v>10000</v>
      </c>
      <c r="Q372">
        <f t="shared" si="63"/>
        <v>254.91954066957257</v>
      </c>
    </row>
    <row r="373" spans="1:17" x14ac:dyDescent="0.15">
      <c r="A373" s="10">
        <v>45876.565972222015</v>
      </c>
      <c r="B373">
        <f>COUNT(A373:$A$1158)/(48*252)</f>
        <v>6.4980158730158735E-2</v>
      </c>
      <c r="C373">
        <v>2.13</v>
      </c>
      <c r="D373">
        <v>3.3000000000000002E-2</v>
      </c>
      <c r="E373">
        <f t="shared" si="60"/>
        <v>1.0470087937465387</v>
      </c>
      <c r="F373">
        <f t="shared" si="61"/>
        <v>-0.1475477612108872</v>
      </c>
      <c r="G373">
        <f t="shared" si="64"/>
        <v>0</v>
      </c>
      <c r="H373">
        <f>IF(MOD(COUNTA($C$7:C373)-1,$J$2),H372,ROUND(F373*P373,-2))</f>
        <v>-1500</v>
      </c>
      <c r="I373">
        <f t="shared" si="65"/>
        <v>0</v>
      </c>
      <c r="J373">
        <f t="shared" si="66"/>
        <v>0</v>
      </c>
      <c r="K373">
        <f t="shared" si="67"/>
        <v>3567.3560270978696</v>
      </c>
      <c r="L373">
        <f t="shared" si="68"/>
        <v>372.35602709786963</v>
      </c>
      <c r="M373">
        <f t="shared" si="69"/>
        <v>0</v>
      </c>
      <c r="N373">
        <f t="shared" si="71"/>
        <v>372.35602709786963</v>
      </c>
      <c r="O373" s="5">
        <f t="shared" si="62"/>
        <v>2.5446943048906767E-2</v>
      </c>
      <c r="P373">
        <f t="shared" si="70"/>
        <v>10000</v>
      </c>
      <c r="Q373">
        <f t="shared" si="63"/>
        <v>254.46943048906766</v>
      </c>
    </row>
    <row r="374" spans="1:17" x14ac:dyDescent="0.15">
      <c r="A374" s="10">
        <v>45876.569444444962</v>
      </c>
      <c r="B374">
        <f>COUNT(A374:$A$1158)/(48*252)</f>
        <v>6.4897486772486773E-2</v>
      </c>
      <c r="C374">
        <v>2.1269999999999998</v>
      </c>
      <c r="D374">
        <v>3.1E-2</v>
      </c>
      <c r="E374">
        <f t="shared" si="60"/>
        <v>1.0379550021796884</v>
      </c>
      <c r="F374">
        <f t="shared" si="61"/>
        <v>-0.14964550239032848</v>
      </c>
      <c r="G374">
        <f t="shared" si="64"/>
        <v>-3.0000000000001137E-3</v>
      </c>
      <c r="H374">
        <f>IF(MOD(COUNTA($C$7:C374)-1,$J$2),H373,ROUND(F374*P374,-2))</f>
        <v>-1500</v>
      </c>
      <c r="I374">
        <f t="shared" si="65"/>
        <v>0</v>
      </c>
      <c r="J374">
        <f t="shared" si="66"/>
        <v>0</v>
      </c>
      <c r="K374">
        <f t="shared" si="67"/>
        <v>3567.3560270978696</v>
      </c>
      <c r="L374">
        <f t="shared" si="68"/>
        <v>376.85602709787008</v>
      </c>
      <c r="M374">
        <f t="shared" si="69"/>
        <v>4.5000000000004547</v>
      </c>
      <c r="N374">
        <f t="shared" si="71"/>
        <v>376.85602709787008</v>
      </c>
      <c r="O374" s="5">
        <f t="shared" si="62"/>
        <v>2.5847519902326976E-2</v>
      </c>
      <c r="P374">
        <f t="shared" si="70"/>
        <v>10000</v>
      </c>
      <c r="Q374">
        <f t="shared" si="63"/>
        <v>258.47519902326974</v>
      </c>
    </row>
    <row r="375" spans="1:17" x14ac:dyDescent="0.15">
      <c r="A375" s="10">
        <v>45876.572916666977</v>
      </c>
      <c r="B375">
        <f>COUNT(A375:$A$1158)/(48*252)</f>
        <v>6.4814814814814811E-2</v>
      </c>
      <c r="C375">
        <v>2.125</v>
      </c>
      <c r="D375">
        <v>3.1E-2</v>
      </c>
      <c r="E375">
        <f t="shared" si="60"/>
        <v>1.0320879746906986</v>
      </c>
      <c r="F375">
        <f t="shared" si="61"/>
        <v>-0.15101545335027611</v>
      </c>
      <c r="G375">
        <f t="shared" si="64"/>
        <v>-1.9999999999997797E-3</v>
      </c>
      <c r="H375">
        <f>IF(MOD(COUNTA($C$7:C375)-1,$J$2),H374,ROUND(F375*P375,-2))</f>
        <v>-1500</v>
      </c>
      <c r="I375">
        <f t="shared" si="65"/>
        <v>0</v>
      </c>
      <c r="J375">
        <f t="shared" si="66"/>
        <v>0</v>
      </c>
      <c r="K375">
        <f t="shared" si="67"/>
        <v>3567.3560270978696</v>
      </c>
      <c r="L375">
        <f t="shared" si="68"/>
        <v>379.85602709786963</v>
      </c>
      <c r="M375">
        <f t="shared" si="69"/>
        <v>2.9999999999995453</v>
      </c>
      <c r="N375">
        <f t="shared" si="71"/>
        <v>379.85602709786963</v>
      </c>
      <c r="O375" s="5">
        <f t="shared" si="62"/>
        <v>2.6102647967471582E-2</v>
      </c>
      <c r="P375">
        <f t="shared" si="70"/>
        <v>10000</v>
      </c>
      <c r="Q375">
        <f t="shared" si="63"/>
        <v>261.0264796747158</v>
      </c>
    </row>
    <row r="376" spans="1:17" x14ac:dyDescent="0.15">
      <c r="A376" s="10">
        <v>45876.576388888992</v>
      </c>
      <c r="B376">
        <f>COUNT(A376:$A$1158)/(48*252)</f>
        <v>6.4732142857142863E-2</v>
      </c>
      <c r="C376">
        <v>2.1269999999999998</v>
      </c>
      <c r="D376">
        <v>3.1E-2</v>
      </c>
      <c r="E376">
        <f t="shared" si="60"/>
        <v>1.0390588360134032</v>
      </c>
      <c r="F376">
        <f t="shared" si="61"/>
        <v>-0.14938868690712559</v>
      </c>
      <c r="G376">
        <f t="shared" si="64"/>
        <v>1.9999999999997797E-3</v>
      </c>
      <c r="H376">
        <f>IF(MOD(COUNTA($C$7:C376)-1,$J$2),H375,ROUND(F376*P376,-2))</f>
        <v>-1500</v>
      </c>
      <c r="I376">
        <f t="shared" si="65"/>
        <v>0</v>
      </c>
      <c r="J376">
        <f t="shared" si="66"/>
        <v>0</v>
      </c>
      <c r="K376">
        <f t="shared" si="67"/>
        <v>3567.3560270978696</v>
      </c>
      <c r="L376">
        <f t="shared" si="68"/>
        <v>376.85602709787008</v>
      </c>
      <c r="M376">
        <f t="shared" si="69"/>
        <v>-2.9999999999995453</v>
      </c>
      <c r="N376">
        <f t="shared" si="71"/>
        <v>376.85602709787008</v>
      </c>
      <c r="O376" s="5">
        <f t="shared" si="62"/>
        <v>2.5756710759012535E-2</v>
      </c>
      <c r="P376">
        <f t="shared" si="70"/>
        <v>10000</v>
      </c>
      <c r="Q376">
        <f t="shared" si="63"/>
        <v>257.56710759012537</v>
      </c>
    </row>
    <row r="377" spans="1:17" x14ac:dyDescent="0.15">
      <c r="A377" s="10">
        <v>45876.579861111008</v>
      </c>
      <c r="B377">
        <f>COUNT(A377:$A$1158)/(48*252)</f>
        <v>6.4649470899470901E-2</v>
      </c>
      <c r="C377">
        <v>2.1259999999999999</v>
      </c>
      <c r="D377">
        <v>3.1E-2</v>
      </c>
      <c r="E377">
        <f t="shared" si="60"/>
        <v>1.0363999100282291</v>
      </c>
      <c r="F377">
        <f t="shared" si="61"/>
        <v>-0.15000780616661791</v>
      </c>
      <c r="G377">
        <f t="shared" si="64"/>
        <v>-9.9999999999988987E-4</v>
      </c>
      <c r="H377">
        <f>IF(MOD(COUNTA($C$7:C377)-1,$J$2),H376,ROUND(F377*P377,-2))</f>
        <v>-1500</v>
      </c>
      <c r="I377">
        <f t="shared" si="65"/>
        <v>0</v>
      </c>
      <c r="J377">
        <f t="shared" si="66"/>
        <v>0</v>
      </c>
      <c r="K377">
        <f t="shared" si="67"/>
        <v>3567.3560270978696</v>
      </c>
      <c r="L377">
        <f t="shared" si="68"/>
        <v>378.35602709786963</v>
      </c>
      <c r="M377">
        <f t="shared" si="69"/>
        <v>1.4999999999995453</v>
      </c>
      <c r="N377">
        <f t="shared" si="71"/>
        <v>378.35602709786963</v>
      </c>
      <c r="O377" s="5">
        <f t="shared" si="62"/>
        <v>2.5860934214450182E-2</v>
      </c>
      <c r="P377">
        <f t="shared" si="70"/>
        <v>10000</v>
      </c>
      <c r="Q377">
        <f t="shared" si="63"/>
        <v>258.6093421445018</v>
      </c>
    </row>
    <row r="378" spans="1:17" x14ac:dyDescent="0.15">
      <c r="A378" s="10">
        <v>45876.583333333023</v>
      </c>
      <c r="B378">
        <f>COUNT(A378:$A$1158)/(48*252)</f>
        <v>6.4566798941798939E-2</v>
      </c>
      <c r="C378">
        <v>2.1259999999999999</v>
      </c>
      <c r="D378">
        <v>0.03</v>
      </c>
      <c r="E378">
        <f t="shared" si="60"/>
        <v>1.0369525977965677</v>
      </c>
      <c r="F378">
        <f t="shared" si="61"/>
        <v>-0.14987897459976751</v>
      </c>
      <c r="G378">
        <f t="shared" si="64"/>
        <v>0</v>
      </c>
      <c r="H378">
        <f>IF(MOD(COUNTA($C$7:C378)-1,$J$2),H377,ROUND(F378*P378,-2))</f>
        <v>-1500</v>
      </c>
      <c r="I378">
        <f t="shared" si="65"/>
        <v>0</v>
      </c>
      <c r="J378">
        <f t="shared" si="66"/>
        <v>0</v>
      </c>
      <c r="K378">
        <f t="shared" si="67"/>
        <v>3567.3560270978696</v>
      </c>
      <c r="L378">
        <f t="shared" si="68"/>
        <v>378.35602709786963</v>
      </c>
      <c r="M378">
        <f t="shared" si="69"/>
        <v>0</v>
      </c>
      <c r="N378">
        <f t="shared" si="71"/>
        <v>378.35602709786963</v>
      </c>
      <c r="O378" s="5">
        <f t="shared" si="62"/>
        <v>2.5815391431294354E-2</v>
      </c>
      <c r="P378">
        <f t="shared" si="70"/>
        <v>10000</v>
      </c>
      <c r="Q378">
        <f t="shared" si="63"/>
        <v>258.15391431294353</v>
      </c>
    </row>
    <row r="379" spans="1:17" x14ac:dyDescent="0.15">
      <c r="A379" s="10">
        <v>45876.586805555969</v>
      </c>
      <c r="B379">
        <f>COUNT(A379:$A$1158)/(48*252)</f>
        <v>6.4484126984126991E-2</v>
      </c>
      <c r="C379">
        <v>2.12</v>
      </c>
      <c r="D379">
        <v>2.9000000000000001E-2</v>
      </c>
      <c r="E379">
        <f t="shared" si="60"/>
        <v>1.0181746758139676</v>
      </c>
      <c r="F379">
        <f t="shared" si="61"/>
        <v>-0.15429747600942323</v>
      </c>
      <c r="G379">
        <f t="shared" si="64"/>
        <v>-5.9999999999997833E-3</v>
      </c>
      <c r="H379">
        <f>IF(MOD(COUNTA($C$7:C379)-1,$J$2),H378,ROUND(F379*P379,-2))</f>
        <v>-1500</v>
      </c>
      <c r="I379">
        <f t="shared" si="65"/>
        <v>0</v>
      </c>
      <c r="J379">
        <f t="shared" si="66"/>
        <v>0</v>
      </c>
      <c r="K379">
        <f t="shared" si="67"/>
        <v>3567.3560270978696</v>
      </c>
      <c r="L379">
        <f t="shared" si="68"/>
        <v>387.35602709786963</v>
      </c>
      <c r="M379">
        <f t="shared" si="69"/>
        <v>9</v>
      </c>
      <c r="N379">
        <f t="shared" si="71"/>
        <v>387.35602709786963</v>
      </c>
      <c r="O379" s="5">
        <f t="shared" si="62"/>
        <v>2.6681935451453476E-2</v>
      </c>
      <c r="P379">
        <f t="shared" si="70"/>
        <v>10000</v>
      </c>
      <c r="Q379">
        <f t="shared" si="63"/>
        <v>266.81935451453478</v>
      </c>
    </row>
    <row r="380" spans="1:17" x14ac:dyDescent="0.15">
      <c r="A380" s="10">
        <v>45876.590277777985</v>
      </c>
      <c r="B380">
        <f>COUNT(A380:$A$1158)/(48*252)</f>
        <v>6.4401455026455029E-2</v>
      </c>
      <c r="C380">
        <v>2.121</v>
      </c>
      <c r="D380">
        <v>2.8000000000000001E-2</v>
      </c>
      <c r="E380">
        <f t="shared" si="60"/>
        <v>1.0219450534619232</v>
      </c>
      <c r="F380">
        <f t="shared" si="61"/>
        <v>-0.1534034535704587</v>
      </c>
      <c r="G380">
        <f t="shared" si="64"/>
        <v>9.9999999999988987E-4</v>
      </c>
      <c r="H380">
        <f>IF(MOD(COUNTA($C$7:C380)-1,$J$2),H379,ROUND(F380*P380,-2))</f>
        <v>-1500</v>
      </c>
      <c r="I380">
        <f t="shared" si="65"/>
        <v>0</v>
      </c>
      <c r="J380">
        <f t="shared" si="66"/>
        <v>0</v>
      </c>
      <c r="K380">
        <f t="shared" si="67"/>
        <v>3567.3560270978696</v>
      </c>
      <c r="L380">
        <f t="shared" si="68"/>
        <v>385.85602709786963</v>
      </c>
      <c r="M380">
        <f t="shared" si="69"/>
        <v>-1.5</v>
      </c>
      <c r="N380">
        <f t="shared" si="71"/>
        <v>385.85602709786963</v>
      </c>
      <c r="O380" s="5">
        <f t="shared" si="62"/>
        <v>2.6481824869790171E-2</v>
      </c>
      <c r="P380">
        <f t="shared" si="70"/>
        <v>10000</v>
      </c>
      <c r="Q380">
        <f t="shared" si="63"/>
        <v>264.81824869790171</v>
      </c>
    </row>
    <row r="381" spans="1:17" x14ac:dyDescent="0.15">
      <c r="A381" s="10">
        <v>45876.59375</v>
      </c>
      <c r="B381">
        <f>COUNT(A381:$A$1158)/(48*252)</f>
        <v>6.4318783068783067E-2</v>
      </c>
      <c r="C381">
        <v>2.13</v>
      </c>
      <c r="D381">
        <v>3.1E-2</v>
      </c>
      <c r="E381">
        <f t="shared" si="60"/>
        <v>1.051491534488961</v>
      </c>
      <c r="F381">
        <f t="shared" si="61"/>
        <v>-0.14651644771341166</v>
      </c>
      <c r="G381">
        <f t="shared" si="64"/>
        <v>8.999999999999897E-3</v>
      </c>
      <c r="H381">
        <f>IF(MOD(COUNTA($C$7:C381)-1,$J$2),H380,ROUND(F381*P381,-2))</f>
        <v>-1500</v>
      </c>
      <c r="I381">
        <f t="shared" si="65"/>
        <v>0</v>
      </c>
      <c r="J381">
        <f t="shared" si="66"/>
        <v>0</v>
      </c>
      <c r="K381">
        <f t="shared" si="67"/>
        <v>3567.3560270978696</v>
      </c>
      <c r="L381">
        <f t="shared" si="68"/>
        <v>372.35602709786963</v>
      </c>
      <c r="M381">
        <f t="shared" si="69"/>
        <v>-13.5</v>
      </c>
      <c r="N381">
        <f t="shared" si="71"/>
        <v>372.35602709786963</v>
      </c>
      <c r="O381" s="5">
        <f t="shared" si="62"/>
        <v>2.5086739563854488E-2</v>
      </c>
      <c r="P381">
        <f t="shared" si="70"/>
        <v>10000</v>
      </c>
      <c r="Q381">
        <f t="shared" si="63"/>
        <v>250.86739563854488</v>
      </c>
    </row>
    <row r="382" spans="1:17" x14ac:dyDescent="0.15">
      <c r="A382" s="10">
        <v>45876.597222222015</v>
      </c>
      <c r="B382">
        <f>COUNT(A382:$A$1158)/(48*252)</f>
        <v>6.4236111111111105E-2</v>
      </c>
      <c r="C382">
        <v>2.1360000000000001</v>
      </c>
      <c r="D382">
        <v>3.3000000000000002E-2</v>
      </c>
      <c r="E382">
        <f t="shared" si="60"/>
        <v>1.0713352803599503</v>
      </c>
      <c r="F382">
        <f t="shared" si="61"/>
        <v>-0.14200935091416556</v>
      </c>
      <c r="G382">
        <f t="shared" si="64"/>
        <v>6.0000000000002274E-3</v>
      </c>
      <c r="H382">
        <f>IF(MOD(COUNTA($C$7:C382)-1,$J$2),H381,ROUND(F382*P382,-2))</f>
        <v>-1500</v>
      </c>
      <c r="I382">
        <f t="shared" si="65"/>
        <v>0</v>
      </c>
      <c r="J382">
        <f t="shared" si="66"/>
        <v>0</v>
      </c>
      <c r="K382">
        <f t="shared" si="67"/>
        <v>3567.3560270978696</v>
      </c>
      <c r="L382">
        <f t="shared" si="68"/>
        <v>363.35602709786963</v>
      </c>
      <c r="M382">
        <f t="shared" si="69"/>
        <v>-9</v>
      </c>
      <c r="N382">
        <f t="shared" si="71"/>
        <v>363.35602709786963</v>
      </c>
      <c r="O382" s="5">
        <f t="shared" si="62"/>
        <v>2.4176563016833963E-2</v>
      </c>
      <c r="P382">
        <f t="shared" si="70"/>
        <v>10000</v>
      </c>
      <c r="Q382">
        <f t="shared" si="63"/>
        <v>241.76563016833964</v>
      </c>
    </row>
    <row r="383" spans="1:17" x14ac:dyDescent="0.15">
      <c r="A383" s="10">
        <v>45876.600694444962</v>
      </c>
      <c r="B383">
        <f>COUNT(A383:$A$1158)/(48*252)</f>
        <v>6.4153439153439157E-2</v>
      </c>
      <c r="C383">
        <v>2.137</v>
      </c>
      <c r="D383">
        <v>3.2000000000000001E-2</v>
      </c>
      <c r="E383">
        <f t="shared" si="60"/>
        <v>1.0751242247772372</v>
      </c>
      <c r="F383">
        <f t="shared" si="61"/>
        <v>-0.14115955752520348</v>
      </c>
      <c r="G383">
        <f t="shared" si="64"/>
        <v>9.9999999999988987E-4</v>
      </c>
      <c r="H383">
        <f>IF(MOD(COUNTA($C$7:C383)-1,$J$2),H382,ROUND(F383*P383,-2))</f>
        <v>-1400</v>
      </c>
      <c r="I383">
        <f t="shared" si="65"/>
        <v>100</v>
      </c>
      <c r="J383">
        <f t="shared" si="66"/>
        <v>0</v>
      </c>
      <c r="K383">
        <f t="shared" si="67"/>
        <v>3353.6464105978698</v>
      </c>
      <c r="L383">
        <f t="shared" si="68"/>
        <v>361.84641059786964</v>
      </c>
      <c r="M383">
        <f t="shared" si="69"/>
        <v>-1.5096164999999928</v>
      </c>
      <c r="N383">
        <f t="shared" si="71"/>
        <v>361.84641059786964</v>
      </c>
      <c r="O383" s="5">
        <f t="shared" si="62"/>
        <v>2.3990781696759278E-2</v>
      </c>
      <c r="P383">
        <f t="shared" si="70"/>
        <v>10000</v>
      </c>
      <c r="Q383">
        <f t="shared" si="63"/>
        <v>239.90781696759279</v>
      </c>
    </row>
    <row r="384" spans="1:17" x14ac:dyDescent="0.15">
      <c r="A384" s="10">
        <v>45876.604166666977</v>
      </c>
      <c r="B384">
        <f>COUNT(A384:$A$1158)/(48*252)</f>
        <v>6.4070767195767195E-2</v>
      </c>
      <c r="C384">
        <v>2.1349999999999998</v>
      </c>
      <c r="D384">
        <v>3.1E-2</v>
      </c>
      <c r="E384">
        <f t="shared" si="60"/>
        <v>1.0692812750355141</v>
      </c>
      <c r="F384">
        <f t="shared" si="61"/>
        <v>-0.1424714727500922</v>
      </c>
      <c r="G384">
        <f t="shared" si="64"/>
        <v>-2.0000000000002238E-3</v>
      </c>
      <c r="H384">
        <f>IF(MOD(COUNTA($C$7:C384)-1,$J$2),H383,ROUND(F384*P384,-2))</f>
        <v>-1400</v>
      </c>
      <c r="I384">
        <f t="shared" si="65"/>
        <v>0</v>
      </c>
      <c r="J384">
        <f t="shared" si="66"/>
        <v>0</v>
      </c>
      <c r="K384">
        <f t="shared" si="67"/>
        <v>3353.6464105978698</v>
      </c>
      <c r="L384">
        <f t="shared" si="68"/>
        <v>364.64641059787027</v>
      </c>
      <c r="M384">
        <f t="shared" si="69"/>
        <v>2.8000000000006366</v>
      </c>
      <c r="N384">
        <f t="shared" si="71"/>
        <v>364.64641059787027</v>
      </c>
      <c r="O384" s="5">
        <f t="shared" si="62"/>
        <v>2.4230146850760192E-2</v>
      </c>
      <c r="P384">
        <f t="shared" si="70"/>
        <v>10000</v>
      </c>
      <c r="Q384">
        <f t="shared" si="63"/>
        <v>242.30146850760192</v>
      </c>
    </row>
    <row r="385" spans="1:17" x14ac:dyDescent="0.15">
      <c r="A385" s="10">
        <v>45876.607638888992</v>
      </c>
      <c r="B385">
        <f>COUNT(A385:$A$1158)/(48*252)</f>
        <v>6.3988095238095233E-2</v>
      </c>
      <c r="C385">
        <v>2.1320000000000001</v>
      </c>
      <c r="D385">
        <v>0.03</v>
      </c>
      <c r="E385">
        <f t="shared" si="60"/>
        <v>1.0602051904523739</v>
      </c>
      <c r="F385">
        <f t="shared" si="61"/>
        <v>-0.14452563014299002</v>
      </c>
      <c r="G385">
        <f t="shared" si="64"/>
        <v>-2.9999999999996696E-3</v>
      </c>
      <c r="H385">
        <f>IF(MOD(COUNTA($C$7:C385)-1,$J$2),H384,ROUND(F385*P385,-2))</f>
        <v>-1400</v>
      </c>
      <c r="I385">
        <f t="shared" si="65"/>
        <v>0</v>
      </c>
      <c r="J385">
        <f t="shared" si="66"/>
        <v>0</v>
      </c>
      <c r="K385">
        <f t="shared" si="67"/>
        <v>3353.6464105978698</v>
      </c>
      <c r="L385">
        <f t="shared" si="68"/>
        <v>368.84641059786964</v>
      </c>
      <c r="M385">
        <f t="shared" si="69"/>
        <v>4.1999999999993634</v>
      </c>
      <c r="N385">
        <f t="shared" si="71"/>
        <v>368.84641059786964</v>
      </c>
      <c r="O385" s="5">
        <f t="shared" si="62"/>
        <v>2.4616044165037099E-2</v>
      </c>
      <c r="P385">
        <f t="shared" si="70"/>
        <v>10000</v>
      </c>
      <c r="Q385">
        <f t="shared" si="63"/>
        <v>246.16044165037098</v>
      </c>
    </row>
    <row r="386" spans="1:17" x14ac:dyDescent="0.15">
      <c r="A386" s="10">
        <v>45876.611111111008</v>
      </c>
      <c r="B386">
        <f>COUNT(A386:$A$1158)/(48*252)</f>
        <v>6.3905423280423285E-2</v>
      </c>
      <c r="C386">
        <v>2.133</v>
      </c>
      <c r="D386">
        <v>0.03</v>
      </c>
      <c r="E386">
        <f t="shared" si="60"/>
        <v>1.0640016551871418</v>
      </c>
      <c r="F386">
        <f t="shared" si="61"/>
        <v>-0.14366397486336557</v>
      </c>
      <c r="G386">
        <f t="shared" si="64"/>
        <v>9.9999999999988987E-4</v>
      </c>
      <c r="H386">
        <f>IF(MOD(COUNTA($C$7:C386)-1,$J$2),H385,ROUND(F386*P386,-2))</f>
        <v>-1400</v>
      </c>
      <c r="I386">
        <f t="shared" si="65"/>
        <v>0</v>
      </c>
      <c r="J386">
        <f t="shared" si="66"/>
        <v>0</v>
      </c>
      <c r="K386">
        <f t="shared" si="67"/>
        <v>3353.6464105978698</v>
      </c>
      <c r="L386">
        <f t="shared" si="68"/>
        <v>367.44641059787</v>
      </c>
      <c r="M386">
        <f t="shared" si="69"/>
        <v>-1.3999999999996362</v>
      </c>
      <c r="N386">
        <f t="shared" si="71"/>
        <v>367.44641059787</v>
      </c>
      <c r="O386" s="5">
        <f t="shared" si="62"/>
        <v>2.4427224818325877E-2</v>
      </c>
      <c r="P386">
        <f t="shared" si="70"/>
        <v>10000</v>
      </c>
      <c r="Q386">
        <f t="shared" si="63"/>
        <v>244.27224818325877</v>
      </c>
    </row>
    <row r="387" spans="1:17" x14ac:dyDescent="0.15">
      <c r="A387" s="10">
        <v>45876.614583333023</v>
      </c>
      <c r="B387">
        <f>COUNT(A387:$A$1158)/(48*252)</f>
        <v>6.3822751322751323E-2</v>
      </c>
      <c r="C387">
        <v>2.1269999999999998</v>
      </c>
      <c r="D387">
        <v>2.8000000000000001E-2</v>
      </c>
      <c r="E387">
        <f t="shared" si="60"/>
        <v>1.0452115118019962</v>
      </c>
      <c r="F387">
        <f t="shared" si="61"/>
        <v>-0.14796261204736816</v>
      </c>
      <c r="G387">
        <f t="shared" si="64"/>
        <v>-6.0000000000002274E-3</v>
      </c>
      <c r="H387">
        <f>IF(MOD(COUNTA($C$7:C387)-1,$J$2),H386,ROUND(F387*P387,-2))</f>
        <v>-1500</v>
      </c>
      <c r="I387">
        <f t="shared" si="65"/>
        <v>-100</v>
      </c>
      <c r="J387">
        <f t="shared" si="66"/>
        <v>0</v>
      </c>
      <c r="K387">
        <f t="shared" si="67"/>
        <v>3566.3368390978694</v>
      </c>
      <c r="L387">
        <f t="shared" si="68"/>
        <v>375.83683909786987</v>
      </c>
      <c r="M387">
        <f t="shared" si="69"/>
        <v>8.3904284999998708</v>
      </c>
      <c r="N387">
        <f t="shared" si="71"/>
        <v>375.83683909786987</v>
      </c>
      <c r="O387" s="5">
        <f t="shared" si="62"/>
        <v>2.5256998921500684E-2</v>
      </c>
      <c r="P387">
        <f t="shared" si="70"/>
        <v>10000</v>
      </c>
      <c r="Q387">
        <f t="shared" si="63"/>
        <v>252.56998921500684</v>
      </c>
    </row>
    <row r="388" spans="1:17" x14ac:dyDescent="0.15">
      <c r="A388" s="10">
        <v>45876.618055555969</v>
      </c>
      <c r="B388">
        <f>COUNT(A388:$A$1158)/(48*252)</f>
        <v>6.3740079365079361E-2</v>
      </c>
      <c r="C388">
        <v>2.13</v>
      </c>
      <c r="D388">
        <v>2.9000000000000001E-2</v>
      </c>
      <c r="E388">
        <f t="shared" si="60"/>
        <v>1.0554747942684592</v>
      </c>
      <c r="F388">
        <f t="shared" si="61"/>
        <v>-0.14560411571816267</v>
      </c>
      <c r="G388">
        <f t="shared" si="64"/>
        <v>3.0000000000001137E-3</v>
      </c>
      <c r="H388">
        <f>IF(MOD(COUNTA($C$7:C388)-1,$J$2),H387,ROUND(F388*P388,-2))</f>
        <v>-1500</v>
      </c>
      <c r="I388">
        <f t="shared" si="65"/>
        <v>0</v>
      </c>
      <c r="J388">
        <f t="shared" si="66"/>
        <v>0</v>
      </c>
      <c r="K388">
        <f t="shared" si="67"/>
        <v>3566.3368390978694</v>
      </c>
      <c r="L388">
        <f t="shared" si="68"/>
        <v>371.33683909786942</v>
      </c>
      <c r="M388">
        <f t="shared" si="69"/>
        <v>-4.5000000000004547</v>
      </c>
      <c r="N388">
        <f t="shared" si="71"/>
        <v>371.33683909786942</v>
      </c>
      <c r="O388" s="5">
        <f t="shared" si="62"/>
        <v>2.4771402036653511E-2</v>
      </c>
      <c r="P388">
        <f t="shared" si="70"/>
        <v>10000</v>
      </c>
      <c r="Q388">
        <f t="shared" si="63"/>
        <v>247.71402036653512</v>
      </c>
    </row>
    <row r="389" spans="1:17" x14ac:dyDescent="0.15">
      <c r="A389" s="10">
        <v>45876.621527777985</v>
      </c>
      <c r="B389">
        <f>COUNT(A389:$A$1158)/(48*252)</f>
        <v>6.3657407407407413E-2</v>
      </c>
      <c r="C389">
        <v>2.1269999999999998</v>
      </c>
      <c r="D389">
        <v>2.9000000000000001E-2</v>
      </c>
      <c r="E389">
        <f t="shared" si="60"/>
        <v>1.0463452580543207</v>
      </c>
      <c r="F389">
        <f t="shared" si="61"/>
        <v>-0.14770082851432931</v>
      </c>
      <c r="G389">
        <f t="shared" si="64"/>
        <v>-3.0000000000001137E-3</v>
      </c>
      <c r="H389">
        <f>IF(MOD(COUNTA($C$7:C389)-1,$J$2),H388,ROUND(F389*P389,-2))</f>
        <v>-1500</v>
      </c>
      <c r="I389">
        <f t="shared" si="65"/>
        <v>0</v>
      </c>
      <c r="J389">
        <f t="shared" si="66"/>
        <v>0</v>
      </c>
      <c r="K389">
        <f t="shared" si="67"/>
        <v>3566.3368390978694</v>
      </c>
      <c r="L389">
        <f t="shared" si="68"/>
        <v>375.83683909786987</v>
      </c>
      <c r="M389">
        <f t="shared" si="69"/>
        <v>4.5000000000004547</v>
      </c>
      <c r="N389">
        <f t="shared" si="71"/>
        <v>375.83683909786987</v>
      </c>
      <c r="O389" s="5">
        <f t="shared" si="62"/>
        <v>2.5166096651624281E-2</v>
      </c>
      <c r="P389">
        <f t="shared" si="70"/>
        <v>10000</v>
      </c>
      <c r="Q389">
        <f t="shared" si="63"/>
        <v>251.66096651624281</v>
      </c>
    </row>
    <row r="390" spans="1:17" x14ac:dyDescent="0.15">
      <c r="A390" s="10">
        <v>45876.625</v>
      </c>
      <c r="B390">
        <f>COUNT(A390:$A$1158)/(48*252)</f>
        <v>6.3574735449735451E-2</v>
      </c>
      <c r="C390">
        <v>2.1269999999999998</v>
      </c>
      <c r="D390">
        <v>2.9000000000000001E-2</v>
      </c>
      <c r="E390">
        <f t="shared" si="60"/>
        <v>1.0469138976367196</v>
      </c>
      <c r="F390">
        <f t="shared" si="61"/>
        <v>-0.147569645744279</v>
      </c>
      <c r="G390">
        <f t="shared" si="64"/>
        <v>0</v>
      </c>
      <c r="H390">
        <f>IF(MOD(COUNTA($C$7:C390)-1,$J$2),H389,ROUND(F390*P390,-2))</f>
        <v>-1500</v>
      </c>
      <c r="I390">
        <f t="shared" si="65"/>
        <v>0</v>
      </c>
      <c r="J390">
        <f t="shared" si="66"/>
        <v>0</v>
      </c>
      <c r="K390">
        <f t="shared" si="67"/>
        <v>3566.3368390978694</v>
      </c>
      <c r="L390">
        <f t="shared" si="68"/>
        <v>375.83683909786987</v>
      </c>
      <c r="M390">
        <f t="shared" si="69"/>
        <v>0</v>
      </c>
      <c r="N390">
        <f t="shared" si="71"/>
        <v>375.83683909786987</v>
      </c>
      <c r="O390" s="5">
        <f t="shared" si="62"/>
        <v>2.5120640476786804E-2</v>
      </c>
      <c r="P390">
        <f t="shared" si="70"/>
        <v>10000</v>
      </c>
      <c r="Q390">
        <f t="shared" si="63"/>
        <v>251.20640476786804</v>
      </c>
    </row>
    <row r="391" spans="1:17" x14ac:dyDescent="0.15">
      <c r="A391" s="10">
        <v>45877.399305555969</v>
      </c>
      <c r="B391">
        <f>COUNT(A391:$A$1158)/(48*252)</f>
        <v>6.3492063492063489E-2</v>
      </c>
      <c r="C391">
        <v>2.141</v>
      </c>
      <c r="D391">
        <v>3.5000000000000003E-2</v>
      </c>
      <c r="E391">
        <f t="shared" si="60"/>
        <v>1.0927079666301707</v>
      </c>
      <c r="F391">
        <f t="shared" si="61"/>
        <v>-0.13726102040638022</v>
      </c>
      <c r="G391">
        <f t="shared" si="64"/>
        <v>1.4000000000000234E-2</v>
      </c>
      <c r="H391">
        <f>IF(MOD(COUNTA($C$7:C391)-1,$J$2),H390,ROUND(F391*P391,-2))</f>
        <v>-1400</v>
      </c>
      <c r="I391">
        <f t="shared" si="65"/>
        <v>100</v>
      </c>
      <c r="J391">
        <f t="shared" si="66"/>
        <v>0</v>
      </c>
      <c r="K391">
        <f t="shared" si="67"/>
        <v>3352.2272045978693</v>
      </c>
      <c r="L391">
        <f t="shared" si="68"/>
        <v>354.82720459786924</v>
      </c>
      <c r="M391">
        <f t="shared" si="69"/>
        <v>-21.009634500000629</v>
      </c>
      <c r="N391">
        <f t="shared" si="71"/>
        <v>354.82720459786924</v>
      </c>
      <c r="O391" s="5">
        <f t="shared" si="62"/>
        <v>2.3082938403110376E-2</v>
      </c>
      <c r="P391">
        <f t="shared" si="70"/>
        <v>10000</v>
      </c>
      <c r="Q391">
        <f t="shared" si="63"/>
        <v>230.82938403110376</v>
      </c>
    </row>
    <row r="392" spans="1:17" x14ac:dyDescent="0.15">
      <c r="A392" s="10">
        <v>45877.402777777985</v>
      </c>
      <c r="B392">
        <f>COUNT(A392:$A$1158)/(48*252)</f>
        <v>6.340939153439154E-2</v>
      </c>
      <c r="C392">
        <v>2.1389999999999998</v>
      </c>
      <c r="D392">
        <v>3.5000000000000003E-2</v>
      </c>
      <c r="E392">
        <f t="shared" ref="E392:E455" si="72">(LN(C392/$B$2)+($B$1+0.5*$D$1*$D$1)*B392)/($D$1*SQRT(B392))</f>
        <v>1.0868617788001325</v>
      </c>
      <c r="F392">
        <f t="shared" ref="F392:F455" si="73">NORMSDIST(E392)-1</f>
        <v>-0.13854895004196999</v>
      </c>
      <c r="G392">
        <f t="shared" si="64"/>
        <v>-2.0000000000002238E-3</v>
      </c>
      <c r="H392">
        <f>IF(MOD(COUNTA($C$7:C392)-1,$J$2),H391,ROUND(F392*P392,-2))</f>
        <v>-1400</v>
      </c>
      <c r="I392">
        <f t="shared" si="65"/>
        <v>0</v>
      </c>
      <c r="J392">
        <f t="shared" si="66"/>
        <v>0</v>
      </c>
      <c r="K392">
        <f t="shared" si="67"/>
        <v>3352.2272045978693</v>
      </c>
      <c r="L392">
        <f t="shared" si="68"/>
        <v>357.62720459786942</v>
      </c>
      <c r="M392">
        <f t="shared" si="69"/>
        <v>2.8000000000001819</v>
      </c>
      <c r="N392">
        <f t="shared" si="71"/>
        <v>357.62720459786942</v>
      </c>
      <c r="O392" s="5">
        <f t="shared" ref="O392:O455" si="74">put_bs($B$1,$J$1,C392,$B$2,B392)</f>
        <v>2.3314996359891316E-2</v>
      </c>
      <c r="P392">
        <f t="shared" si="70"/>
        <v>10000</v>
      </c>
      <c r="Q392">
        <f t="shared" ref="Q392:Q455" si="75">P392*O392</f>
        <v>233.14996359891316</v>
      </c>
    </row>
    <row r="393" spans="1:17" x14ac:dyDescent="0.15">
      <c r="A393" s="10">
        <v>45877.40625</v>
      </c>
      <c r="B393">
        <f>COUNT(A393:$A$1158)/(48*252)</f>
        <v>6.3326719576719578E-2</v>
      </c>
      <c r="C393">
        <v>2.141</v>
      </c>
      <c r="D393">
        <v>3.5000000000000003E-2</v>
      </c>
      <c r="E393">
        <f t="shared" si="72"/>
        <v>1.0939101764654668</v>
      </c>
      <c r="F393">
        <f t="shared" si="73"/>
        <v>-0.13699718754884516</v>
      </c>
      <c r="G393">
        <f t="shared" ref="G393:G456" si="76">C393-C392</f>
        <v>2.0000000000002238E-3</v>
      </c>
      <c r="H393">
        <f>IF(MOD(COUNTA($C$7:C393)-1,$J$2),H392,ROUND(F393*P393,-2))</f>
        <v>-1400</v>
      </c>
      <c r="I393">
        <f t="shared" ref="I393:I456" si="77">H393-H392</f>
        <v>0</v>
      </c>
      <c r="J393">
        <f t="shared" ref="J393:J456" si="78">J392</f>
        <v>0</v>
      </c>
      <c r="K393">
        <f t="shared" ref="K393:K456" si="79">K392-I393*C393-ABS(I393*C393*$F$2)</f>
        <v>3352.2272045978693</v>
      </c>
      <c r="L393">
        <f t="shared" ref="L393:L456" si="80">K393+H393*C393</f>
        <v>354.82720459786924</v>
      </c>
      <c r="M393">
        <f t="shared" ref="M393:M456" si="81">L393-L392</f>
        <v>-2.8000000000001819</v>
      </c>
      <c r="N393">
        <f t="shared" si="71"/>
        <v>354.82720459786924</v>
      </c>
      <c r="O393" s="5">
        <f t="shared" si="74"/>
        <v>2.2995701216168507E-2</v>
      </c>
      <c r="P393">
        <f t="shared" ref="P393:P456" si="82">P392</f>
        <v>10000</v>
      </c>
      <c r="Q393">
        <f t="shared" si="75"/>
        <v>229.95701216168507</v>
      </c>
    </row>
    <row r="394" spans="1:17" x14ac:dyDescent="0.15">
      <c r="A394" s="10">
        <v>45877.409722222015</v>
      </c>
      <c r="B394">
        <f>COUNT(A394:$A$1158)/(48*252)</f>
        <v>6.3244047619047616E-2</v>
      </c>
      <c r="C394">
        <v>2.1469999999999998</v>
      </c>
      <c r="D394">
        <v>3.6999999999999998E-2</v>
      </c>
      <c r="E394">
        <f t="shared" si="72"/>
        <v>1.1138423102755641</v>
      </c>
      <c r="F394">
        <f t="shared" si="73"/>
        <v>-0.13267342104775381</v>
      </c>
      <c r="G394">
        <f t="shared" si="76"/>
        <v>5.9999999999997833E-3</v>
      </c>
      <c r="H394">
        <f>IF(MOD(COUNTA($C$7:C394)-1,$J$2),H393,ROUND(F394*P394,-2))</f>
        <v>-1400</v>
      </c>
      <c r="I394">
        <f t="shared" si="77"/>
        <v>0</v>
      </c>
      <c r="J394">
        <f t="shared" si="78"/>
        <v>0</v>
      </c>
      <c r="K394">
        <f t="shared" si="79"/>
        <v>3352.2272045978693</v>
      </c>
      <c r="L394">
        <f t="shared" si="80"/>
        <v>346.4272045978696</v>
      </c>
      <c r="M394">
        <f t="shared" si="81"/>
        <v>-8.3999999999996362</v>
      </c>
      <c r="N394">
        <f t="shared" ref="N394:N457" si="83">L394-$F$1</f>
        <v>346.4272045978696</v>
      </c>
      <c r="O394" s="5">
        <f t="shared" si="74"/>
        <v>2.2143517162264148E-2</v>
      </c>
      <c r="P394">
        <f t="shared" si="82"/>
        <v>10000</v>
      </c>
      <c r="Q394">
        <f t="shared" si="75"/>
        <v>221.43517162264149</v>
      </c>
    </row>
    <row r="395" spans="1:17" x14ac:dyDescent="0.15">
      <c r="A395" s="10">
        <v>45877.413194444962</v>
      </c>
      <c r="B395">
        <f>COUNT(A395:$A$1158)/(48*252)</f>
        <v>6.3161375661375668E-2</v>
      </c>
      <c r="C395">
        <v>2.1469999999999998</v>
      </c>
      <c r="D395">
        <v>3.6999999999999998E-2</v>
      </c>
      <c r="E395">
        <f t="shared" si="72"/>
        <v>1.1144591942302662</v>
      </c>
      <c r="F395">
        <f t="shared" si="73"/>
        <v>-0.13254112046874889</v>
      </c>
      <c r="G395">
        <f t="shared" si="76"/>
        <v>0</v>
      </c>
      <c r="H395">
        <f>IF(MOD(COUNTA($C$7:C395)-1,$J$2),H394,ROUND(F395*P395,-2))</f>
        <v>-1300</v>
      </c>
      <c r="I395">
        <f t="shared" si="77"/>
        <v>100</v>
      </c>
      <c r="J395">
        <f t="shared" si="78"/>
        <v>0</v>
      </c>
      <c r="K395">
        <f t="shared" si="79"/>
        <v>3137.5175430978693</v>
      </c>
      <c r="L395">
        <f t="shared" si="80"/>
        <v>346.41754309786938</v>
      </c>
      <c r="M395">
        <f t="shared" si="81"/>
        <v>-9.6615000002202578E-3</v>
      </c>
      <c r="N395">
        <f t="shared" si="83"/>
        <v>346.41754309786938</v>
      </c>
      <c r="O395" s="5">
        <f t="shared" si="74"/>
        <v>2.2100691361773728E-2</v>
      </c>
      <c r="P395">
        <f t="shared" si="82"/>
        <v>10000</v>
      </c>
      <c r="Q395">
        <f t="shared" si="75"/>
        <v>221.00691361773727</v>
      </c>
    </row>
    <row r="396" spans="1:17" x14ac:dyDescent="0.15">
      <c r="A396" s="10">
        <v>45877.416666666977</v>
      </c>
      <c r="B396">
        <f>COUNT(A396:$A$1158)/(48*252)</f>
        <v>6.3078703703703706E-2</v>
      </c>
      <c r="C396">
        <v>2.145</v>
      </c>
      <c r="D396">
        <v>3.5000000000000003E-2</v>
      </c>
      <c r="E396">
        <f t="shared" si="72"/>
        <v>1.1086318905078532</v>
      </c>
      <c r="F396">
        <f t="shared" si="73"/>
        <v>-0.13379450743966448</v>
      </c>
      <c r="G396">
        <f t="shared" si="76"/>
        <v>-1.9999999999997797E-3</v>
      </c>
      <c r="H396">
        <f>IF(MOD(COUNTA($C$7:C396)-1,$J$2),H395,ROUND(F396*P396,-2))</f>
        <v>-1300</v>
      </c>
      <c r="I396">
        <f t="shared" si="77"/>
        <v>0</v>
      </c>
      <c r="J396">
        <f t="shared" si="78"/>
        <v>0</v>
      </c>
      <c r="K396">
        <f t="shared" si="79"/>
        <v>3137.5175430978693</v>
      </c>
      <c r="L396">
        <f t="shared" si="80"/>
        <v>349.01754309786929</v>
      </c>
      <c r="M396">
        <f t="shared" si="81"/>
        <v>2.5999999999999091</v>
      </c>
      <c r="N396">
        <f t="shared" si="83"/>
        <v>349.01754309786929</v>
      </c>
      <c r="O396" s="5">
        <f t="shared" si="74"/>
        <v>2.2324067493722399E-2</v>
      </c>
      <c r="P396">
        <f t="shared" si="82"/>
        <v>10000</v>
      </c>
      <c r="Q396">
        <f t="shared" si="75"/>
        <v>223.24067493722399</v>
      </c>
    </row>
    <row r="397" spans="1:17" x14ac:dyDescent="0.15">
      <c r="A397" s="10">
        <v>45877.420138888992</v>
      </c>
      <c r="B397">
        <f>COUNT(A397:$A$1158)/(48*252)</f>
        <v>6.2996031746031744E-2</v>
      </c>
      <c r="C397">
        <v>2.1440000000000001</v>
      </c>
      <c r="D397">
        <v>3.5000000000000003E-2</v>
      </c>
      <c r="E397">
        <f t="shared" si="72"/>
        <v>1.1060200159234088</v>
      </c>
      <c r="F397">
        <f t="shared" si="73"/>
        <v>-0.13435892798525484</v>
      </c>
      <c r="G397">
        <f t="shared" si="76"/>
        <v>-9.9999999999988987E-4</v>
      </c>
      <c r="H397">
        <f>IF(MOD(COUNTA($C$7:C397)-1,$J$2),H396,ROUND(F397*P397,-2))</f>
        <v>-1300</v>
      </c>
      <c r="I397">
        <f t="shared" si="77"/>
        <v>0</v>
      </c>
      <c r="J397">
        <f t="shared" si="78"/>
        <v>0</v>
      </c>
      <c r="K397">
        <f t="shared" si="79"/>
        <v>3137.5175430978693</v>
      </c>
      <c r="L397">
        <f t="shared" si="80"/>
        <v>350.31754309786902</v>
      </c>
      <c r="M397">
        <f t="shared" si="81"/>
        <v>1.2999999999997272</v>
      </c>
      <c r="N397">
        <f t="shared" si="83"/>
        <v>350.31754309786902</v>
      </c>
      <c r="O397" s="5">
        <f t="shared" si="74"/>
        <v>2.2414987796386732E-2</v>
      </c>
      <c r="P397">
        <f t="shared" si="82"/>
        <v>10000</v>
      </c>
      <c r="Q397">
        <f t="shared" si="75"/>
        <v>224.14987796386731</v>
      </c>
    </row>
    <row r="398" spans="1:17" x14ac:dyDescent="0.15">
      <c r="A398" s="10">
        <v>45877.423611111008</v>
      </c>
      <c r="B398">
        <f>COUNT(A398:$A$1158)/(48*252)</f>
        <v>6.2913359788359782E-2</v>
      </c>
      <c r="C398">
        <v>2.145</v>
      </c>
      <c r="D398">
        <v>3.5000000000000003E-2</v>
      </c>
      <c r="E398">
        <f t="shared" si="72"/>
        <v>1.1098636393632992</v>
      </c>
      <c r="F398">
        <f t="shared" si="73"/>
        <v>-0.13352889547837354</v>
      </c>
      <c r="G398">
        <f t="shared" si="76"/>
        <v>9.9999999999988987E-4</v>
      </c>
      <c r="H398">
        <f>IF(MOD(COUNTA($C$7:C398)-1,$J$2),H397,ROUND(F398*P398,-2))</f>
        <v>-1300</v>
      </c>
      <c r="I398">
        <f t="shared" si="77"/>
        <v>0</v>
      </c>
      <c r="J398">
        <f t="shared" si="78"/>
        <v>0</v>
      </c>
      <c r="K398">
        <f t="shared" si="79"/>
        <v>3137.5175430978693</v>
      </c>
      <c r="L398">
        <f t="shared" si="80"/>
        <v>349.01754309786929</v>
      </c>
      <c r="M398">
        <f t="shared" si="81"/>
        <v>-1.2999999999997272</v>
      </c>
      <c r="N398">
        <f t="shared" si="83"/>
        <v>349.01754309786929</v>
      </c>
      <c r="O398" s="5">
        <f t="shared" si="74"/>
        <v>2.2237888216046109E-2</v>
      </c>
      <c r="P398">
        <f t="shared" si="82"/>
        <v>10000</v>
      </c>
      <c r="Q398">
        <f t="shared" si="75"/>
        <v>222.3788821604611</v>
      </c>
    </row>
    <row r="399" spans="1:17" x14ac:dyDescent="0.15">
      <c r="A399" s="10">
        <v>45877.427083333023</v>
      </c>
      <c r="B399">
        <f>COUNT(A399:$A$1158)/(48*252)</f>
        <v>6.2830687830687834E-2</v>
      </c>
      <c r="C399">
        <v>2.145</v>
      </c>
      <c r="D399">
        <v>3.4000000000000002E-2</v>
      </c>
      <c r="E399">
        <f t="shared" si="72"/>
        <v>1.1104814468101991</v>
      </c>
      <c r="F399">
        <f t="shared" si="73"/>
        <v>-0.13339580931450512</v>
      </c>
      <c r="G399">
        <f t="shared" si="76"/>
        <v>0</v>
      </c>
      <c r="H399">
        <f>IF(MOD(COUNTA($C$7:C399)-1,$J$2),H398,ROUND(F399*P399,-2))</f>
        <v>-1300</v>
      </c>
      <c r="I399">
        <f t="shared" si="77"/>
        <v>0</v>
      </c>
      <c r="J399">
        <f t="shared" si="78"/>
        <v>0</v>
      </c>
      <c r="K399">
        <f t="shared" si="79"/>
        <v>3137.5175430978693</v>
      </c>
      <c r="L399">
        <f t="shared" si="80"/>
        <v>349.01754309786929</v>
      </c>
      <c r="M399">
        <f t="shared" si="81"/>
        <v>0</v>
      </c>
      <c r="N399">
        <f t="shared" si="83"/>
        <v>349.01754309786929</v>
      </c>
      <c r="O399" s="5">
        <f t="shared" si="74"/>
        <v>2.2194799173041457E-2</v>
      </c>
      <c r="P399">
        <f t="shared" si="82"/>
        <v>10000</v>
      </c>
      <c r="Q399">
        <f t="shared" si="75"/>
        <v>221.94799173041457</v>
      </c>
    </row>
    <row r="400" spans="1:17" x14ac:dyDescent="0.15">
      <c r="A400" s="10">
        <v>45877.430555555969</v>
      </c>
      <c r="B400">
        <f>COUNT(A400:$A$1158)/(48*252)</f>
        <v>6.2748015873015872E-2</v>
      </c>
      <c r="C400">
        <v>2.1480000000000001</v>
      </c>
      <c r="D400">
        <v>3.5000000000000003E-2</v>
      </c>
      <c r="E400">
        <f t="shared" si="72"/>
        <v>1.1207919441540317</v>
      </c>
      <c r="F400">
        <f t="shared" si="73"/>
        <v>-0.13118821700682759</v>
      </c>
      <c r="G400">
        <f t="shared" si="76"/>
        <v>3.0000000000001137E-3</v>
      </c>
      <c r="H400">
        <f>IF(MOD(COUNTA($C$7:C400)-1,$J$2),H399,ROUND(F400*P400,-2))</f>
        <v>-1300</v>
      </c>
      <c r="I400">
        <f t="shared" si="77"/>
        <v>0</v>
      </c>
      <c r="J400">
        <f t="shared" si="78"/>
        <v>0</v>
      </c>
      <c r="K400">
        <f t="shared" si="79"/>
        <v>3137.5175430978693</v>
      </c>
      <c r="L400">
        <f t="shared" si="80"/>
        <v>345.1175430978692</v>
      </c>
      <c r="M400">
        <f t="shared" si="81"/>
        <v>-3.9000000000000909</v>
      </c>
      <c r="N400">
        <f t="shared" si="83"/>
        <v>345.1175430978692</v>
      </c>
      <c r="O400" s="5">
        <f t="shared" si="74"/>
        <v>2.1755040785376045E-2</v>
      </c>
      <c r="P400">
        <f t="shared" si="82"/>
        <v>10000</v>
      </c>
      <c r="Q400">
        <f t="shared" si="75"/>
        <v>217.55040785376045</v>
      </c>
    </row>
    <row r="401" spans="1:17" x14ac:dyDescent="0.15">
      <c r="A401" s="10">
        <v>45877.434027777985</v>
      </c>
      <c r="B401">
        <f>COUNT(A401:$A$1158)/(48*252)</f>
        <v>6.266534391534391E-2</v>
      </c>
      <c r="C401">
        <v>2.1480000000000001</v>
      </c>
      <c r="D401">
        <v>3.5000000000000003E-2</v>
      </c>
      <c r="E401">
        <f t="shared" si="72"/>
        <v>1.1214187353544127</v>
      </c>
      <c r="F401">
        <f t="shared" si="73"/>
        <v>-0.13105483245131477</v>
      </c>
      <c r="G401">
        <f t="shared" si="76"/>
        <v>0</v>
      </c>
      <c r="H401">
        <f>IF(MOD(COUNTA($C$7:C401)-1,$J$2),H400,ROUND(F401*P401,-2))</f>
        <v>-1300</v>
      </c>
      <c r="I401">
        <f t="shared" si="77"/>
        <v>0</v>
      </c>
      <c r="J401">
        <f t="shared" si="78"/>
        <v>0</v>
      </c>
      <c r="K401">
        <f t="shared" si="79"/>
        <v>3137.5175430978693</v>
      </c>
      <c r="L401">
        <f t="shared" si="80"/>
        <v>345.1175430978692</v>
      </c>
      <c r="M401">
        <f t="shared" si="81"/>
        <v>0</v>
      </c>
      <c r="N401">
        <f t="shared" si="83"/>
        <v>345.1175430978692</v>
      </c>
      <c r="O401" s="5">
        <f t="shared" si="74"/>
        <v>2.1712352961209935E-2</v>
      </c>
      <c r="P401">
        <f t="shared" si="82"/>
        <v>10000</v>
      </c>
      <c r="Q401">
        <f t="shared" si="75"/>
        <v>217.12352961209936</v>
      </c>
    </row>
    <row r="402" spans="1:17" x14ac:dyDescent="0.15">
      <c r="A402" s="10">
        <v>45877.4375</v>
      </c>
      <c r="B402">
        <f>COUNT(A402:$A$1158)/(48*252)</f>
        <v>6.2582671957671962E-2</v>
      </c>
      <c r="C402">
        <v>2.1520000000000001</v>
      </c>
      <c r="D402">
        <v>3.5999999999999997E-2</v>
      </c>
      <c r="E402">
        <f t="shared" si="72"/>
        <v>1.1349646997644471</v>
      </c>
      <c r="F402">
        <f t="shared" si="73"/>
        <v>-0.12819505459203295</v>
      </c>
      <c r="G402">
        <f t="shared" si="76"/>
        <v>4.0000000000000036E-3</v>
      </c>
      <c r="H402">
        <f>IF(MOD(COUNTA($C$7:C402)-1,$J$2),H401,ROUND(F402*P402,-2))</f>
        <v>-1300</v>
      </c>
      <c r="I402">
        <f t="shared" si="77"/>
        <v>0</v>
      </c>
      <c r="J402">
        <f t="shared" si="78"/>
        <v>0</v>
      </c>
      <c r="K402">
        <f t="shared" si="79"/>
        <v>3137.5175430978693</v>
      </c>
      <c r="L402">
        <f t="shared" si="80"/>
        <v>339.91754309786893</v>
      </c>
      <c r="M402">
        <f t="shared" si="81"/>
        <v>-5.2000000000002728</v>
      </c>
      <c r="N402">
        <f t="shared" si="83"/>
        <v>339.91754309786893</v>
      </c>
      <c r="O402" s="5">
        <f t="shared" si="74"/>
        <v>2.1151448536466944E-2</v>
      </c>
      <c r="P402">
        <f t="shared" si="82"/>
        <v>10000</v>
      </c>
      <c r="Q402">
        <f t="shared" si="75"/>
        <v>211.51448536466944</v>
      </c>
    </row>
    <row r="403" spans="1:17" x14ac:dyDescent="0.15">
      <c r="A403" s="10">
        <v>45877.440972222015</v>
      </c>
      <c r="B403">
        <f>COUNT(A403:$A$1158)/(48*252)</f>
        <v>6.25E-2</v>
      </c>
      <c r="C403">
        <v>2.1520000000000001</v>
      </c>
      <c r="D403">
        <v>3.5000000000000003E-2</v>
      </c>
      <c r="E403">
        <f t="shared" si="72"/>
        <v>1.1356026675230455</v>
      </c>
      <c r="F403">
        <f t="shared" si="73"/>
        <v>-0.12806144598305613</v>
      </c>
      <c r="G403">
        <f t="shared" si="76"/>
        <v>0</v>
      </c>
      <c r="H403">
        <f>IF(MOD(COUNTA($C$7:C403)-1,$J$2),H402,ROUND(F403*P403,-2))</f>
        <v>-1300</v>
      </c>
      <c r="I403">
        <f t="shared" si="77"/>
        <v>0</v>
      </c>
      <c r="J403">
        <f t="shared" si="78"/>
        <v>0</v>
      </c>
      <c r="K403">
        <f t="shared" si="79"/>
        <v>3137.5175430978693</v>
      </c>
      <c r="L403">
        <f t="shared" si="80"/>
        <v>339.91754309786893</v>
      </c>
      <c r="M403">
        <f t="shared" si="81"/>
        <v>0</v>
      </c>
      <c r="N403">
        <f t="shared" si="83"/>
        <v>339.91754309786893</v>
      </c>
      <c r="O403" s="5">
        <f t="shared" si="74"/>
        <v>2.1109297689982431E-2</v>
      </c>
      <c r="P403">
        <f t="shared" si="82"/>
        <v>10000</v>
      </c>
      <c r="Q403">
        <f t="shared" si="75"/>
        <v>211.09297689982432</v>
      </c>
    </row>
    <row r="404" spans="1:17" x14ac:dyDescent="0.15">
      <c r="A404" s="10">
        <v>45877.444444444962</v>
      </c>
      <c r="B404">
        <f>COUNT(A404:$A$1158)/(48*252)</f>
        <v>6.2417328042328045E-2</v>
      </c>
      <c r="C404">
        <v>2.1469999999999998</v>
      </c>
      <c r="D404">
        <v>3.4000000000000002E-2</v>
      </c>
      <c r="E404">
        <f t="shared" si="72"/>
        <v>1.1200695182046883</v>
      </c>
      <c r="F404">
        <f t="shared" si="73"/>
        <v>-0.13134206943481064</v>
      </c>
      <c r="G404">
        <f t="shared" si="76"/>
        <v>-5.0000000000003375E-3</v>
      </c>
      <c r="H404">
        <f>IF(MOD(COUNTA($C$7:C404)-1,$J$2),H403,ROUND(F404*P404,-2))</f>
        <v>-1300</v>
      </c>
      <c r="I404">
        <f t="shared" si="77"/>
        <v>0</v>
      </c>
      <c r="J404">
        <f t="shared" si="78"/>
        <v>0</v>
      </c>
      <c r="K404">
        <f t="shared" si="79"/>
        <v>3137.5175430978693</v>
      </c>
      <c r="L404">
        <f t="shared" si="80"/>
        <v>346.41754309786938</v>
      </c>
      <c r="M404">
        <f t="shared" si="81"/>
        <v>6.5000000000004547</v>
      </c>
      <c r="N404">
        <f t="shared" si="83"/>
        <v>346.41754309786938</v>
      </c>
      <c r="O404" s="5">
        <f t="shared" si="74"/>
        <v>2.171529380583076E-2</v>
      </c>
      <c r="P404">
        <f t="shared" si="82"/>
        <v>10000</v>
      </c>
      <c r="Q404">
        <f t="shared" si="75"/>
        <v>217.1529380583076</v>
      </c>
    </row>
    <row r="405" spans="1:17" x14ac:dyDescent="0.15">
      <c r="A405" s="10">
        <v>45877.447916666977</v>
      </c>
      <c r="B405">
        <f>COUNT(A405:$A$1158)/(48*252)</f>
        <v>6.2334656084656083E-2</v>
      </c>
      <c r="C405">
        <v>2.1480000000000001</v>
      </c>
      <c r="D405">
        <v>3.5000000000000003E-2</v>
      </c>
      <c r="E405">
        <f t="shared" si="72"/>
        <v>1.1239391013761388</v>
      </c>
      <c r="F405">
        <f t="shared" si="73"/>
        <v>-0.13051943092840113</v>
      </c>
      <c r="G405">
        <f t="shared" si="76"/>
        <v>1.000000000000334E-3</v>
      </c>
      <c r="H405">
        <f>IF(MOD(COUNTA($C$7:C405)-1,$J$2),H404,ROUND(F405*P405,-2))</f>
        <v>-1300</v>
      </c>
      <c r="I405">
        <f t="shared" si="77"/>
        <v>0</v>
      </c>
      <c r="J405">
        <f t="shared" si="78"/>
        <v>0</v>
      </c>
      <c r="K405">
        <f t="shared" si="79"/>
        <v>3137.5175430978693</v>
      </c>
      <c r="L405">
        <f t="shared" si="80"/>
        <v>345.1175430978692</v>
      </c>
      <c r="M405">
        <f t="shared" si="81"/>
        <v>-1.3000000000001819</v>
      </c>
      <c r="N405">
        <f t="shared" si="83"/>
        <v>345.1175430978692</v>
      </c>
      <c r="O405" s="5">
        <f t="shared" si="74"/>
        <v>2.154161303455282E-2</v>
      </c>
      <c r="P405">
        <f t="shared" si="82"/>
        <v>10000</v>
      </c>
      <c r="Q405">
        <f t="shared" si="75"/>
        <v>215.41613034552819</v>
      </c>
    </row>
    <row r="406" spans="1:17" x14ac:dyDescent="0.15">
      <c r="A406" s="10">
        <v>45877.451388888992</v>
      </c>
      <c r="B406">
        <f>COUNT(A406:$A$1158)/(48*252)</f>
        <v>6.2251984126984128E-2</v>
      </c>
      <c r="C406">
        <v>2.1440000000000001</v>
      </c>
      <c r="D406">
        <v>3.3000000000000002E-2</v>
      </c>
      <c r="E406">
        <f t="shared" si="72"/>
        <v>1.1115962510015589</v>
      </c>
      <c r="F406">
        <f t="shared" si="73"/>
        <v>-0.13315589259228267</v>
      </c>
      <c r="G406">
        <f t="shared" si="76"/>
        <v>-4.0000000000000036E-3</v>
      </c>
      <c r="H406">
        <f>IF(MOD(COUNTA($C$7:C406)-1,$J$2),H405,ROUND(F406*P406,-2))</f>
        <v>-1300</v>
      </c>
      <c r="I406">
        <f t="shared" si="77"/>
        <v>0</v>
      </c>
      <c r="J406">
        <f t="shared" si="78"/>
        <v>0</v>
      </c>
      <c r="K406">
        <f t="shared" si="79"/>
        <v>3137.5175430978693</v>
      </c>
      <c r="L406">
        <f t="shared" si="80"/>
        <v>350.31754309786902</v>
      </c>
      <c r="M406">
        <f t="shared" si="81"/>
        <v>5.1999999999998181</v>
      </c>
      <c r="N406">
        <f t="shared" si="83"/>
        <v>350.31754309786902</v>
      </c>
      <c r="O406" s="5">
        <f t="shared" si="74"/>
        <v>2.2025997998804558E-2</v>
      </c>
      <c r="P406">
        <f t="shared" si="82"/>
        <v>10000</v>
      </c>
      <c r="Q406">
        <f t="shared" si="75"/>
        <v>220.25997998804559</v>
      </c>
    </row>
    <row r="407" spans="1:17" x14ac:dyDescent="0.15">
      <c r="A407" s="10">
        <v>45877.454861111008</v>
      </c>
      <c r="B407">
        <f>COUNT(A407:$A$1158)/(48*252)</f>
        <v>6.2169312169312166E-2</v>
      </c>
      <c r="C407">
        <v>2.145</v>
      </c>
      <c r="D407">
        <v>3.4000000000000002E-2</v>
      </c>
      <c r="E407">
        <f t="shared" si="72"/>
        <v>1.1154708699597096</v>
      </c>
      <c r="F407">
        <f t="shared" si="73"/>
        <v>-0.13232434733527054</v>
      </c>
      <c r="G407">
        <f t="shared" si="76"/>
        <v>9.9999999999988987E-4</v>
      </c>
      <c r="H407">
        <f>IF(MOD(COUNTA($C$7:C407)-1,$J$2),H406,ROUND(F407*P407,-2))</f>
        <v>-1300</v>
      </c>
      <c r="I407">
        <f t="shared" si="77"/>
        <v>0</v>
      </c>
      <c r="J407">
        <f t="shared" si="78"/>
        <v>0</v>
      </c>
      <c r="K407">
        <f t="shared" si="79"/>
        <v>3137.5175430978693</v>
      </c>
      <c r="L407">
        <f t="shared" si="80"/>
        <v>349.01754309786929</v>
      </c>
      <c r="M407">
        <f t="shared" si="81"/>
        <v>-1.2999999999997272</v>
      </c>
      <c r="N407">
        <f t="shared" si="83"/>
        <v>349.01754309786929</v>
      </c>
      <c r="O407" s="5">
        <f t="shared" si="74"/>
        <v>2.1850106544611947E-2</v>
      </c>
      <c r="P407">
        <f t="shared" si="82"/>
        <v>10000</v>
      </c>
      <c r="Q407">
        <f t="shared" si="75"/>
        <v>218.50106544611947</v>
      </c>
    </row>
    <row r="408" spans="1:17" x14ac:dyDescent="0.15">
      <c r="A408" s="10">
        <v>45877.458333333023</v>
      </c>
      <c r="B408">
        <f>COUNT(A408:$A$1158)/(48*252)</f>
        <v>6.2086640211640211E-2</v>
      </c>
      <c r="C408">
        <v>2.1480000000000001</v>
      </c>
      <c r="D408">
        <v>3.5000000000000003E-2</v>
      </c>
      <c r="E408">
        <f t="shared" si="72"/>
        <v>1.1258433614845567</v>
      </c>
      <c r="F408">
        <f t="shared" si="73"/>
        <v>-0.13011591329688466</v>
      </c>
      <c r="G408">
        <f t="shared" si="76"/>
        <v>3.0000000000001137E-3</v>
      </c>
      <c r="H408">
        <f>IF(MOD(COUNTA($C$7:C408)-1,$J$2),H407,ROUND(F408*P408,-2))</f>
        <v>-1300</v>
      </c>
      <c r="I408">
        <f t="shared" si="77"/>
        <v>0</v>
      </c>
      <c r="J408">
        <f t="shared" si="78"/>
        <v>0</v>
      </c>
      <c r="K408">
        <f t="shared" si="79"/>
        <v>3137.5175430978693</v>
      </c>
      <c r="L408">
        <f t="shared" si="80"/>
        <v>345.1175430978692</v>
      </c>
      <c r="M408">
        <f t="shared" si="81"/>
        <v>-3.9000000000000909</v>
      </c>
      <c r="N408">
        <f t="shared" si="83"/>
        <v>345.1175430978692</v>
      </c>
      <c r="O408" s="5">
        <f t="shared" si="74"/>
        <v>2.1413571228164563E-2</v>
      </c>
      <c r="P408">
        <f t="shared" si="82"/>
        <v>10000</v>
      </c>
      <c r="Q408">
        <f t="shared" si="75"/>
        <v>214.13571228164562</v>
      </c>
    </row>
    <row r="409" spans="1:17" x14ac:dyDescent="0.15">
      <c r="A409" s="10">
        <v>45877.461805555969</v>
      </c>
      <c r="B409">
        <f>COUNT(A409:$A$1158)/(48*252)</f>
        <v>6.2003968253968256E-2</v>
      </c>
      <c r="C409">
        <v>2.1480000000000001</v>
      </c>
      <c r="D409">
        <v>3.4000000000000002E-2</v>
      </c>
      <c r="E409">
        <f t="shared" si="72"/>
        <v>1.1264808027042326</v>
      </c>
      <c r="F409">
        <f t="shared" si="73"/>
        <v>-0.12998103093270608</v>
      </c>
      <c r="G409">
        <f t="shared" si="76"/>
        <v>0</v>
      </c>
      <c r="H409">
        <f>IF(MOD(COUNTA($C$7:C409)-1,$J$2),H408,ROUND(F409*P409,-2))</f>
        <v>-1300</v>
      </c>
      <c r="I409">
        <f t="shared" si="77"/>
        <v>0</v>
      </c>
      <c r="J409">
        <f t="shared" si="78"/>
        <v>0</v>
      </c>
      <c r="K409">
        <f t="shared" si="79"/>
        <v>3137.5175430978693</v>
      </c>
      <c r="L409">
        <f t="shared" si="80"/>
        <v>345.1175430978692</v>
      </c>
      <c r="M409">
        <f t="shared" si="81"/>
        <v>0</v>
      </c>
      <c r="N409">
        <f t="shared" si="83"/>
        <v>345.1175430978692</v>
      </c>
      <c r="O409" s="5">
        <f t="shared" si="74"/>
        <v>2.1370893359835108E-2</v>
      </c>
      <c r="P409">
        <f t="shared" si="82"/>
        <v>10000</v>
      </c>
      <c r="Q409">
        <f t="shared" si="75"/>
        <v>213.70893359835108</v>
      </c>
    </row>
    <row r="410" spans="1:17" x14ac:dyDescent="0.15">
      <c r="A410" s="10">
        <v>45877.465277777985</v>
      </c>
      <c r="B410">
        <f>COUNT(A410:$A$1158)/(48*252)</f>
        <v>6.1921296296296294E-2</v>
      </c>
      <c r="C410">
        <v>2.1469999999999998</v>
      </c>
      <c r="D410">
        <v>3.4000000000000002E-2</v>
      </c>
      <c r="E410">
        <f t="shared" si="72"/>
        <v>1.1238691513258459</v>
      </c>
      <c r="F410">
        <f t="shared" si="73"/>
        <v>-0.13053426998470485</v>
      </c>
      <c r="G410">
        <f t="shared" si="76"/>
        <v>-1.000000000000334E-3</v>
      </c>
      <c r="H410">
        <f>IF(MOD(COUNTA($C$7:C410)-1,$J$2),H409,ROUND(F410*P410,-2))</f>
        <v>-1300</v>
      </c>
      <c r="I410">
        <f t="shared" si="77"/>
        <v>0</v>
      </c>
      <c r="J410">
        <f t="shared" si="78"/>
        <v>0</v>
      </c>
      <c r="K410">
        <f t="shared" si="79"/>
        <v>3137.5175430978693</v>
      </c>
      <c r="L410">
        <f t="shared" si="80"/>
        <v>346.41754309786938</v>
      </c>
      <c r="M410">
        <f t="shared" si="81"/>
        <v>1.3000000000001819</v>
      </c>
      <c r="N410">
        <f t="shared" si="83"/>
        <v>346.41754309786938</v>
      </c>
      <c r="O410" s="5">
        <f t="shared" si="74"/>
        <v>2.145840680978911E-2</v>
      </c>
      <c r="P410">
        <f t="shared" si="82"/>
        <v>10000</v>
      </c>
      <c r="Q410">
        <f t="shared" si="75"/>
        <v>214.58406809789111</v>
      </c>
    </row>
    <row r="411" spans="1:17" x14ac:dyDescent="0.15">
      <c r="A411" s="10">
        <v>45877.46875</v>
      </c>
      <c r="B411">
        <f>COUNT(A411:$A$1158)/(48*252)</f>
        <v>6.1838624338624339E-2</v>
      </c>
      <c r="C411">
        <v>2.145</v>
      </c>
      <c r="D411">
        <v>3.4000000000000002E-2</v>
      </c>
      <c r="E411">
        <f t="shared" si="72"/>
        <v>1.1179973484749233</v>
      </c>
      <c r="F411">
        <f t="shared" si="73"/>
        <v>-0.13178406290798339</v>
      </c>
      <c r="G411">
        <f t="shared" si="76"/>
        <v>-1.9999999999997797E-3</v>
      </c>
      <c r="H411">
        <f>IF(MOD(COUNTA($C$7:C411)-1,$J$2),H410,ROUND(F411*P411,-2))</f>
        <v>-1300</v>
      </c>
      <c r="I411">
        <f t="shared" si="77"/>
        <v>0</v>
      </c>
      <c r="J411">
        <f t="shared" si="78"/>
        <v>0</v>
      </c>
      <c r="K411">
        <f t="shared" si="79"/>
        <v>3137.5175430978693</v>
      </c>
      <c r="L411">
        <f t="shared" si="80"/>
        <v>349.01754309786929</v>
      </c>
      <c r="M411">
        <f t="shared" si="81"/>
        <v>2.5999999999999091</v>
      </c>
      <c r="N411">
        <f t="shared" si="83"/>
        <v>349.01754309786929</v>
      </c>
      <c r="O411" s="5">
        <f t="shared" si="74"/>
        <v>2.1677777724157021E-2</v>
      </c>
      <c r="P411">
        <f t="shared" si="82"/>
        <v>10000</v>
      </c>
      <c r="Q411">
        <f t="shared" si="75"/>
        <v>216.77777724157022</v>
      </c>
    </row>
    <row r="412" spans="1:17" x14ac:dyDescent="0.15">
      <c r="A412" s="10">
        <v>45877.472222222015</v>
      </c>
      <c r="B412">
        <f>COUNT(A412:$A$1158)/(48*252)</f>
        <v>6.1755952380952384E-2</v>
      </c>
      <c r="C412">
        <v>2.15</v>
      </c>
      <c r="D412">
        <v>3.5000000000000003E-2</v>
      </c>
      <c r="E412">
        <f t="shared" si="72"/>
        <v>1.1349062952081723</v>
      </c>
      <c r="F412">
        <f t="shared" si="73"/>
        <v>-0.12820729100383044</v>
      </c>
      <c r="G412">
        <f t="shared" si="76"/>
        <v>4.9999999999998934E-3</v>
      </c>
      <c r="H412">
        <f>IF(MOD(COUNTA($C$7:C412)-1,$J$2),H411,ROUND(F412*P412,-2))</f>
        <v>-1300</v>
      </c>
      <c r="I412">
        <f t="shared" si="77"/>
        <v>0</v>
      </c>
      <c r="J412">
        <f t="shared" si="78"/>
        <v>0</v>
      </c>
      <c r="K412">
        <f t="shared" si="79"/>
        <v>3137.5175430978693</v>
      </c>
      <c r="L412">
        <f t="shared" si="80"/>
        <v>342.51754309786929</v>
      </c>
      <c r="M412">
        <f t="shared" si="81"/>
        <v>-6.5</v>
      </c>
      <c r="N412">
        <f t="shared" si="83"/>
        <v>342.51754309786929</v>
      </c>
      <c r="O412" s="5">
        <f t="shared" si="74"/>
        <v>2.0985087921896795E-2</v>
      </c>
      <c r="P412">
        <f t="shared" si="82"/>
        <v>10000</v>
      </c>
      <c r="Q412">
        <f t="shared" si="75"/>
        <v>209.85087921896795</v>
      </c>
    </row>
    <row r="413" spans="1:17" x14ac:dyDescent="0.15">
      <c r="A413" s="10">
        <v>45877.475694444962</v>
      </c>
      <c r="B413">
        <f>COUNT(A413:$A$1158)/(48*252)</f>
        <v>6.1673280423280422E-2</v>
      </c>
      <c r="C413">
        <v>2.1520000000000001</v>
      </c>
      <c r="D413">
        <v>3.5000000000000003E-2</v>
      </c>
      <c r="E413">
        <f t="shared" si="72"/>
        <v>1.1420568760389318</v>
      </c>
      <c r="F413">
        <f t="shared" si="73"/>
        <v>-0.1267151895085743</v>
      </c>
      <c r="G413">
        <f t="shared" si="76"/>
        <v>2.0000000000002238E-3</v>
      </c>
      <c r="H413">
        <f>IF(MOD(COUNTA($C$7:C413)-1,$J$2),H412,ROUND(F413*P413,-2))</f>
        <v>-1300</v>
      </c>
      <c r="I413">
        <f t="shared" si="77"/>
        <v>0</v>
      </c>
      <c r="J413">
        <f t="shared" si="78"/>
        <v>0</v>
      </c>
      <c r="K413">
        <f t="shared" si="79"/>
        <v>3137.5175430978693</v>
      </c>
      <c r="L413">
        <f t="shared" si="80"/>
        <v>339.91754309786893</v>
      </c>
      <c r="M413">
        <f t="shared" si="81"/>
        <v>-2.6000000000003638</v>
      </c>
      <c r="N413">
        <f t="shared" si="83"/>
        <v>339.91754309786893</v>
      </c>
      <c r="O413" s="5">
        <f t="shared" si="74"/>
        <v>2.0687902240133837E-2</v>
      </c>
      <c r="P413">
        <f t="shared" si="82"/>
        <v>10000</v>
      </c>
      <c r="Q413">
        <f t="shared" si="75"/>
        <v>206.87902240133837</v>
      </c>
    </row>
    <row r="414" spans="1:17" x14ac:dyDescent="0.15">
      <c r="A414" s="10">
        <v>45877.479166666977</v>
      </c>
      <c r="B414">
        <f>COUNT(A414:$A$1158)/(48*252)</f>
        <v>6.1590608465608467E-2</v>
      </c>
      <c r="C414">
        <v>2.1589999999999998</v>
      </c>
      <c r="D414">
        <v>3.5999999999999997E-2</v>
      </c>
      <c r="E414">
        <f t="shared" si="72"/>
        <v>1.1654393064195991</v>
      </c>
      <c r="F414">
        <f t="shared" si="73"/>
        <v>-0.12192060725796228</v>
      </c>
      <c r="G414">
        <f t="shared" si="76"/>
        <v>6.9999999999996732E-3</v>
      </c>
      <c r="H414">
        <f>IF(MOD(COUNTA($C$7:C414)-1,$J$2),H413,ROUND(F414*P414,-2))</f>
        <v>-1300</v>
      </c>
      <c r="I414">
        <f t="shared" si="77"/>
        <v>0</v>
      </c>
      <c r="J414">
        <f t="shared" si="78"/>
        <v>0</v>
      </c>
      <c r="K414">
        <f t="shared" si="79"/>
        <v>3137.5175430978693</v>
      </c>
      <c r="L414">
        <f t="shared" si="80"/>
        <v>330.81754309786947</v>
      </c>
      <c r="M414">
        <f t="shared" si="81"/>
        <v>-9.0999999999994543</v>
      </c>
      <c r="N414">
        <f t="shared" si="83"/>
        <v>330.81754309786947</v>
      </c>
      <c r="O414" s="5">
        <f t="shared" si="74"/>
        <v>1.9776104593238475E-2</v>
      </c>
      <c r="P414">
        <f t="shared" si="82"/>
        <v>10000</v>
      </c>
      <c r="Q414">
        <f t="shared" si="75"/>
        <v>197.76104593238475</v>
      </c>
    </row>
    <row r="415" spans="1:17" x14ac:dyDescent="0.15">
      <c r="A415" s="10">
        <v>45877.545138888992</v>
      </c>
      <c r="B415">
        <f>COUNT(A415:$A$1158)/(48*252)</f>
        <v>6.1507936507936505E-2</v>
      </c>
      <c r="C415">
        <v>2.1589999999999998</v>
      </c>
      <c r="D415">
        <v>3.7999999999999999E-2</v>
      </c>
      <c r="E415">
        <f t="shared" si="72"/>
        <v>1.1661089435444514</v>
      </c>
      <c r="F415">
        <f t="shared" si="73"/>
        <v>-0.12178520056649789</v>
      </c>
      <c r="G415">
        <f t="shared" si="76"/>
        <v>0</v>
      </c>
      <c r="H415">
        <f>IF(MOD(COUNTA($C$7:C415)-1,$J$2),H414,ROUND(F415*P415,-2))</f>
        <v>-1200</v>
      </c>
      <c r="I415">
        <f t="shared" si="77"/>
        <v>100</v>
      </c>
      <c r="J415">
        <f t="shared" si="78"/>
        <v>0</v>
      </c>
      <c r="K415">
        <f t="shared" si="79"/>
        <v>2921.6078275978693</v>
      </c>
      <c r="L415">
        <f t="shared" si="80"/>
        <v>330.80782759786962</v>
      </c>
      <c r="M415">
        <f t="shared" si="81"/>
        <v>-9.7154999998565472E-3</v>
      </c>
      <c r="N415">
        <f t="shared" si="83"/>
        <v>330.80782759786962</v>
      </c>
      <c r="O415" s="5">
        <f t="shared" si="74"/>
        <v>1.9734929203388596E-2</v>
      </c>
      <c r="P415">
        <f t="shared" si="82"/>
        <v>10000</v>
      </c>
      <c r="Q415">
        <f t="shared" si="75"/>
        <v>197.34929203388594</v>
      </c>
    </row>
    <row r="416" spans="1:17" x14ac:dyDescent="0.15">
      <c r="A416" s="10">
        <v>45877.548611111008</v>
      </c>
      <c r="B416">
        <f>COUNT(A416:$A$1158)/(48*252)</f>
        <v>6.1425264550264549E-2</v>
      </c>
      <c r="C416">
        <v>2.1589999999999998</v>
      </c>
      <c r="D416">
        <v>3.6999999999999998E-2</v>
      </c>
      <c r="E416">
        <f t="shared" si="72"/>
        <v>1.166780008343036</v>
      </c>
      <c r="F416">
        <f t="shared" si="73"/>
        <v>-0.12164961121843509</v>
      </c>
      <c r="G416">
        <f t="shared" si="76"/>
        <v>0</v>
      </c>
      <c r="H416">
        <f>IF(MOD(COUNTA($C$7:C416)-1,$J$2),H415,ROUND(F416*P416,-2))</f>
        <v>-1200</v>
      </c>
      <c r="I416">
        <f t="shared" si="77"/>
        <v>0</v>
      </c>
      <c r="J416">
        <f t="shared" si="78"/>
        <v>0</v>
      </c>
      <c r="K416">
        <f t="shared" si="79"/>
        <v>2921.6078275978693</v>
      </c>
      <c r="L416">
        <f t="shared" si="80"/>
        <v>330.80782759786962</v>
      </c>
      <c r="M416">
        <f t="shared" si="81"/>
        <v>0</v>
      </c>
      <c r="N416">
        <f t="shared" si="83"/>
        <v>330.80782759786962</v>
      </c>
      <c r="O416" s="5">
        <f t="shared" si="74"/>
        <v>1.9693757577791071E-2</v>
      </c>
      <c r="P416">
        <f t="shared" si="82"/>
        <v>10000</v>
      </c>
      <c r="Q416">
        <f t="shared" si="75"/>
        <v>196.93757577791072</v>
      </c>
    </row>
    <row r="417" spans="1:17" x14ac:dyDescent="0.15">
      <c r="A417" s="10">
        <v>45877.552083333023</v>
      </c>
      <c r="B417">
        <f>COUNT(A417:$A$1158)/(48*252)</f>
        <v>6.1342592592592594E-2</v>
      </c>
      <c r="C417">
        <v>2.1589999999999998</v>
      </c>
      <c r="D417">
        <v>3.6999999999999998E-2</v>
      </c>
      <c r="E417">
        <f t="shared" si="72"/>
        <v>1.1674525056753107</v>
      </c>
      <c r="F417">
        <f t="shared" si="73"/>
        <v>-0.12151383888834255</v>
      </c>
      <c r="G417">
        <f t="shared" si="76"/>
        <v>0</v>
      </c>
      <c r="H417">
        <f>IF(MOD(COUNTA($C$7:C417)-1,$J$2),H416,ROUND(F417*P417,-2))</f>
        <v>-1200</v>
      </c>
      <c r="I417">
        <f t="shared" si="77"/>
        <v>0</v>
      </c>
      <c r="J417">
        <f t="shared" si="78"/>
        <v>0</v>
      </c>
      <c r="K417">
        <f t="shared" si="79"/>
        <v>2921.6078275978693</v>
      </c>
      <c r="L417">
        <f t="shared" si="80"/>
        <v>330.80782759786962</v>
      </c>
      <c r="M417">
        <f t="shared" si="81"/>
        <v>0</v>
      </c>
      <c r="N417">
        <f t="shared" si="83"/>
        <v>330.80782759786962</v>
      </c>
      <c r="O417" s="5">
        <f t="shared" si="74"/>
        <v>1.9652589765798922E-2</v>
      </c>
      <c r="P417">
        <f t="shared" si="82"/>
        <v>10000</v>
      </c>
      <c r="Q417">
        <f t="shared" si="75"/>
        <v>196.52589765798922</v>
      </c>
    </row>
    <row r="418" spans="1:17" x14ac:dyDescent="0.15">
      <c r="A418" s="10">
        <v>45877.555555555969</v>
      </c>
      <c r="B418">
        <f>COUNT(A418:$A$1158)/(48*252)</f>
        <v>6.1259920634920632E-2</v>
      </c>
      <c r="C418">
        <v>2.161</v>
      </c>
      <c r="D418">
        <v>3.6999999999999998E-2</v>
      </c>
      <c r="E418">
        <f t="shared" si="72"/>
        <v>1.1746245038181504</v>
      </c>
      <c r="F418">
        <f t="shared" si="73"/>
        <v>-0.12007248774214163</v>
      </c>
      <c r="G418">
        <f t="shared" si="76"/>
        <v>2.0000000000002238E-3</v>
      </c>
      <c r="H418">
        <f>IF(MOD(COUNTA($C$7:C418)-1,$J$2),H417,ROUND(F418*P418,-2))</f>
        <v>-1200</v>
      </c>
      <c r="I418">
        <f t="shared" si="77"/>
        <v>0</v>
      </c>
      <c r="J418">
        <f t="shared" si="78"/>
        <v>0</v>
      </c>
      <c r="K418">
        <f t="shared" si="79"/>
        <v>2921.6078275978693</v>
      </c>
      <c r="L418">
        <f t="shared" si="80"/>
        <v>328.40782759786953</v>
      </c>
      <c r="M418">
        <f t="shared" si="81"/>
        <v>-2.4000000000000909</v>
      </c>
      <c r="N418">
        <f t="shared" si="83"/>
        <v>328.40782759786953</v>
      </c>
      <c r="O418" s="5">
        <f t="shared" si="74"/>
        <v>1.9369977303496488E-2</v>
      </c>
      <c r="P418">
        <f t="shared" si="82"/>
        <v>10000</v>
      </c>
      <c r="Q418">
        <f t="shared" si="75"/>
        <v>193.69977303496489</v>
      </c>
    </row>
    <row r="419" spans="1:17" x14ac:dyDescent="0.15">
      <c r="A419" s="10">
        <v>45877.559027777985</v>
      </c>
      <c r="B419">
        <f>COUNT(A419:$A$1158)/(48*252)</f>
        <v>6.1177248677248677E-2</v>
      </c>
      <c r="C419">
        <v>2.165</v>
      </c>
      <c r="D419">
        <v>3.7999999999999999E-2</v>
      </c>
      <c r="E419">
        <f t="shared" si="72"/>
        <v>1.1882911404380019</v>
      </c>
      <c r="F419">
        <f t="shared" si="73"/>
        <v>-0.11735936348281417</v>
      </c>
      <c r="G419">
        <f t="shared" si="76"/>
        <v>4.0000000000000036E-3</v>
      </c>
      <c r="H419">
        <f>IF(MOD(COUNTA($C$7:C419)-1,$J$2),H418,ROUND(F419*P419,-2))</f>
        <v>-1200</v>
      </c>
      <c r="I419">
        <f t="shared" si="77"/>
        <v>0</v>
      </c>
      <c r="J419">
        <f t="shared" si="78"/>
        <v>0</v>
      </c>
      <c r="K419">
        <f t="shared" si="79"/>
        <v>2921.6078275978693</v>
      </c>
      <c r="L419">
        <f t="shared" si="80"/>
        <v>323.60782759786935</v>
      </c>
      <c r="M419">
        <f t="shared" si="81"/>
        <v>-4.8000000000001819</v>
      </c>
      <c r="N419">
        <f t="shared" si="83"/>
        <v>323.60782759786935</v>
      </c>
      <c r="O419" s="5">
        <f t="shared" si="74"/>
        <v>1.8854512432425197E-2</v>
      </c>
      <c r="P419">
        <f t="shared" si="82"/>
        <v>10000</v>
      </c>
      <c r="Q419">
        <f t="shared" si="75"/>
        <v>188.54512432425196</v>
      </c>
    </row>
    <row r="420" spans="1:17" x14ac:dyDescent="0.15">
      <c r="A420" s="10">
        <v>45877.5625</v>
      </c>
      <c r="B420">
        <f>COUNT(A420:$A$1158)/(48*252)</f>
        <v>6.1094576719576722E-2</v>
      </c>
      <c r="C420">
        <v>2.1619999999999999</v>
      </c>
      <c r="D420">
        <v>3.9E-2</v>
      </c>
      <c r="E420">
        <f t="shared" si="72"/>
        <v>1.1792366596437582</v>
      </c>
      <c r="F420">
        <f t="shared" si="73"/>
        <v>-0.11915197607177563</v>
      </c>
      <c r="G420">
        <f t="shared" si="76"/>
        <v>-3.0000000000001137E-3</v>
      </c>
      <c r="H420">
        <f>IF(MOD(COUNTA($C$7:C420)-1,$J$2),H419,ROUND(F420*P420,-2))</f>
        <v>-1200</v>
      </c>
      <c r="I420">
        <f t="shared" si="77"/>
        <v>0</v>
      </c>
      <c r="J420">
        <f t="shared" si="78"/>
        <v>0</v>
      </c>
      <c r="K420">
        <f t="shared" si="79"/>
        <v>2921.6078275978693</v>
      </c>
      <c r="L420">
        <f t="shared" si="80"/>
        <v>327.20782759786925</v>
      </c>
      <c r="M420">
        <f t="shared" si="81"/>
        <v>3.5999999999999091</v>
      </c>
      <c r="N420">
        <f t="shared" si="83"/>
        <v>327.20782759786925</v>
      </c>
      <c r="O420" s="5">
        <f t="shared" si="74"/>
        <v>1.9168729887756031E-2</v>
      </c>
      <c r="P420">
        <f t="shared" si="82"/>
        <v>10000</v>
      </c>
      <c r="Q420">
        <f t="shared" si="75"/>
        <v>191.68729887756029</v>
      </c>
    </row>
    <row r="421" spans="1:17" x14ac:dyDescent="0.15">
      <c r="A421" s="10">
        <v>45877.565972222015</v>
      </c>
      <c r="B421">
        <f>COUNT(A421:$A$1158)/(48*252)</f>
        <v>6.101190476190476E-2</v>
      </c>
      <c r="C421">
        <v>2.1629999999999998</v>
      </c>
      <c r="D421">
        <v>3.7999999999999999E-2</v>
      </c>
      <c r="E421">
        <f t="shared" si="72"/>
        <v>1.1831734098740627</v>
      </c>
      <c r="F421">
        <f t="shared" si="73"/>
        <v>-0.11837021441898699</v>
      </c>
      <c r="G421">
        <f t="shared" si="76"/>
        <v>9.9999999999988987E-4</v>
      </c>
      <c r="H421">
        <f>IF(MOD(COUNTA($C$7:C421)-1,$J$2),H420,ROUND(F421*P421,-2))</f>
        <v>-1200</v>
      </c>
      <c r="I421">
        <f t="shared" si="77"/>
        <v>0</v>
      </c>
      <c r="J421">
        <f t="shared" si="78"/>
        <v>0</v>
      </c>
      <c r="K421">
        <f t="shared" si="79"/>
        <v>2921.6078275978693</v>
      </c>
      <c r="L421">
        <f t="shared" si="80"/>
        <v>326.00782759786944</v>
      </c>
      <c r="M421">
        <f t="shared" si="81"/>
        <v>-1.1999999999998181</v>
      </c>
      <c r="N421">
        <f t="shared" si="83"/>
        <v>326.00782759786944</v>
      </c>
      <c r="O421" s="5">
        <f t="shared" si="74"/>
        <v>1.9009294264550392E-2</v>
      </c>
      <c r="P421">
        <f t="shared" si="82"/>
        <v>10000</v>
      </c>
      <c r="Q421">
        <f t="shared" si="75"/>
        <v>190.09294264550391</v>
      </c>
    </row>
    <row r="422" spans="1:17" x14ac:dyDescent="0.15">
      <c r="A422" s="10">
        <v>45877.569444444962</v>
      </c>
      <c r="B422">
        <f>COUNT(A422:$A$1158)/(48*252)</f>
        <v>6.0929232804232805E-2</v>
      </c>
      <c r="C422">
        <v>2.16</v>
      </c>
      <c r="D422">
        <v>3.9E-2</v>
      </c>
      <c r="E422">
        <f t="shared" si="72"/>
        <v>1.1740952428679536</v>
      </c>
      <c r="F422">
        <f t="shared" si="73"/>
        <v>-0.12017843935580153</v>
      </c>
      <c r="G422">
        <f t="shared" si="76"/>
        <v>-2.9999999999996696E-3</v>
      </c>
      <c r="H422">
        <f>IF(MOD(COUNTA($C$7:C422)-1,$J$2),H421,ROUND(F422*P422,-2))</f>
        <v>-1200</v>
      </c>
      <c r="I422">
        <f t="shared" si="77"/>
        <v>0</v>
      </c>
      <c r="J422">
        <f t="shared" si="78"/>
        <v>0</v>
      </c>
      <c r="K422">
        <f t="shared" si="79"/>
        <v>2921.6078275978693</v>
      </c>
      <c r="L422">
        <f t="shared" si="80"/>
        <v>329.60782759786935</v>
      </c>
      <c r="M422">
        <f t="shared" si="81"/>
        <v>3.5999999999999091</v>
      </c>
      <c r="N422">
        <f t="shared" si="83"/>
        <v>329.60782759786935</v>
      </c>
      <c r="O422" s="5">
        <f t="shared" si="74"/>
        <v>1.9326304557168605E-2</v>
      </c>
      <c r="P422">
        <f t="shared" si="82"/>
        <v>10000</v>
      </c>
      <c r="Q422">
        <f t="shared" si="75"/>
        <v>193.26304557168606</v>
      </c>
    </row>
    <row r="423" spans="1:17" x14ac:dyDescent="0.15">
      <c r="A423" s="10">
        <v>45877.572916666977</v>
      </c>
      <c r="B423">
        <f>COUNT(A423:$A$1158)/(48*252)</f>
        <v>6.0846560846560843E-2</v>
      </c>
      <c r="C423">
        <v>2.161</v>
      </c>
      <c r="D423">
        <v>3.7999999999999999E-2</v>
      </c>
      <c r="E423">
        <f t="shared" si="72"/>
        <v>1.1780379462164001</v>
      </c>
      <c r="F423">
        <f t="shared" si="73"/>
        <v>-0.11939073936611744</v>
      </c>
      <c r="G423">
        <f t="shared" si="76"/>
        <v>9.9999999999988987E-4</v>
      </c>
      <c r="H423">
        <f>IF(MOD(COUNTA($C$7:C423)-1,$J$2),H422,ROUND(F423*P423,-2))</f>
        <v>-1200</v>
      </c>
      <c r="I423">
        <f t="shared" si="77"/>
        <v>0</v>
      </c>
      <c r="J423">
        <f t="shared" si="78"/>
        <v>0</v>
      </c>
      <c r="K423">
        <f t="shared" si="79"/>
        <v>2921.6078275978693</v>
      </c>
      <c r="L423">
        <f t="shared" si="80"/>
        <v>328.40782759786953</v>
      </c>
      <c r="M423">
        <f t="shared" si="81"/>
        <v>-1.1999999999998181</v>
      </c>
      <c r="N423">
        <f t="shared" si="83"/>
        <v>328.40782759786953</v>
      </c>
      <c r="O423" s="5">
        <f t="shared" si="74"/>
        <v>1.9165581556912392E-2</v>
      </c>
      <c r="P423">
        <f t="shared" si="82"/>
        <v>10000</v>
      </c>
      <c r="Q423">
        <f t="shared" si="75"/>
        <v>191.65581556912392</v>
      </c>
    </row>
    <row r="424" spans="1:17" x14ac:dyDescent="0.15">
      <c r="A424" s="10">
        <v>45877.576388888992</v>
      </c>
      <c r="B424">
        <f>COUNT(A424:$A$1158)/(48*252)</f>
        <v>6.0763888888888888E-2</v>
      </c>
      <c r="C424">
        <v>2.1619999999999999</v>
      </c>
      <c r="D424">
        <v>3.7999999999999999E-2</v>
      </c>
      <c r="E424">
        <f t="shared" si="72"/>
        <v>1.1819850452823621</v>
      </c>
      <c r="F424">
        <f t="shared" si="73"/>
        <v>-0.11860581738095166</v>
      </c>
      <c r="G424">
        <f t="shared" si="76"/>
        <v>9.9999999999988987E-4</v>
      </c>
      <c r="H424">
        <f>IF(MOD(COUNTA($C$7:C424)-1,$J$2),H423,ROUND(F424*P424,-2))</f>
        <v>-1200</v>
      </c>
      <c r="I424">
        <f t="shared" si="77"/>
        <v>0</v>
      </c>
      <c r="J424">
        <f t="shared" si="78"/>
        <v>0</v>
      </c>
      <c r="K424">
        <f t="shared" si="79"/>
        <v>2921.6078275978693</v>
      </c>
      <c r="L424">
        <f t="shared" si="80"/>
        <v>327.20782759786925</v>
      </c>
      <c r="M424">
        <f t="shared" si="81"/>
        <v>-1.2000000000002728</v>
      </c>
      <c r="N424">
        <f t="shared" si="83"/>
        <v>327.20782759786925</v>
      </c>
      <c r="O424" s="5">
        <f t="shared" si="74"/>
        <v>1.9005786209768172E-2</v>
      </c>
      <c r="P424">
        <f t="shared" si="82"/>
        <v>10000</v>
      </c>
      <c r="Q424">
        <f t="shared" si="75"/>
        <v>190.05786209768172</v>
      </c>
    </row>
    <row r="425" spans="1:17" x14ac:dyDescent="0.15">
      <c r="A425" s="10">
        <v>45877.579861111008</v>
      </c>
      <c r="B425">
        <f>COUNT(A425:$A$1158)/(48*252)</f>
        <v>6.0681216931216933E-2</v>
      </c>
      <c r="C425">
        <v>2.16</v>
      </c>
      <c r="D425">
        <v>3.7999999999999999E-2</v>
      </c>
      <c r="E425">
        <f t="shared" si="72"/>
        <v>1.1761498896744995</v>
      </c>
      <c r="F425">
        <f t="shared" si="73"/>
        <v>-0.11976749235564832</v>
      </c>
      <c r="G425">
        <f t="shared" si="76"/>
        <v>-1.9999999999997797E-3</v>
      </c>
      <c r="H425">
        <f>IF(MOD(COUNTA($C$7:C425)-1,$J$2),H424,ROUND(F425*P425,-2))</f>
        <v>-1200</v>
      </c>
      <c r="I425">
        <f t="shared" si="77"/>
        <v>0</v>
      </c>
      <c r="J425">
        <f t="shared" si="78"/>
        <v>0</v>
      </c>
      <c r="K425">
        <f t="shared" si="79"/>
        <v>2921.6078275978693</v>
      </c>
      <c r="L425">
        <f t="shared" si="80"/>
        <v>329.60782759786935</v>
      </c>
      <c r="M425">
        <f t="shared" si="81"/>
        <v>2.4000000000000909</v>
      </c>
      <c r="N425">
        <f t="shared" si="83"/>
        <v>329.60782759786935</v>
      </c>
      <c r="O425" s="5">
        <f t="shared" si="74"/>
        <v>1.9203296532236958E-2</v>
      </c>
      <c r="P425">
        <f t="shared" si="82"/>
        <v>10000</v>
      </c>
      <c r="Q425">
        <f t="shared" si="75"/>
        <v>192.03296532236956</v>
      </c>
    </row>
    <row r="426" spans="1:17" x14ac:dyDescent="0.15">
      <c r="A426" s="10">
        <v>45877.583333333023</v>
      </c>
      <c r="B426">
        <f>COUNT(A426:$A$1158)/(48*252)</f>
        <v>6.0598544973544971E-2</v>
      </c>
      <c r="C426">
        <v>2.1579999999999999</v>
      </c>
      <c r="D426">
        <v>3.6999999999999998E-2</v>
      </c>
      <c r="E426">
        <f t="shared" si="72"/>
        <v>1.1703012755123283</v>
      </c>
      <c r="F426">
        <f t="shared" si="73"/>
        <v>-0.12093987439167364</v>
      </c>
      <c r="G426">
        <f t="shared" si="76"/>
        <v>-2.0000000000002238E-3</v>
      </c>
      <c r="H426">
        <f>IF(MOD(COUNTA($C$7:C426)-1,$J$2),H425,ROUND(F426*P426,-2))</f>
        <v>-1200</v>
      </c>
      <c r="I426">
        <f t="shared" si="77"/>
        <v>0</v>
      </c>
      <c r="J426">
        <f t="shared" si="78"/>
        <v>0</v>
      </c>
      <c r="K426">
        <f t="shared" si="79"/>
        <v>2921.6078275978693</v>
      </c>
      <c r="L426">
        <f t="shared" si="80"/>
        <v>332.00782759786944</v>
      </c>
      <c r="M426">
        <f t="shared" si="81"/>
        <v>2.4000000000000909</v>
      </c>
      <c r="N426">
        <f t="shared" si="83"/>
        <v>332.00782759786944</v>
      </c>
      <c r="O426" s="5">
        <f t="shared" si="74"/>
        <v>1.9402870834459851E-2</v>
      </c>
      <c r="P426">
        <f t="shared" si="82"/>
        <v>10000</v>
      </c>
      <c r="Q426">
        <f t="shared" si="75"/>
        <v>194.0287083445985</v>
      </c>
    </row>
    <row r="427" spans="1:17" x14ac:dyDescent="0.15">
      <c r="A427" s="10">
        <v>45877.586805555969</v>
      </c>
      <c r="B427">
        <f>COUNT(A427:$A$1158)/(48*252)</f>
        <v>6.0515873015873016E-2</v>
      </c>
      <c r="C427">
        <v>2.1589999999999998</v>
      </c>
      <c r="D427">
        <v>3.6999999999999998E-2</v>
      </c>
      <c r="E427">
        <f t="shared" si="72"/>
        <v>1.1742573542060406</v>
      </c>
      <c r="F427">
        <f t="shared" si="73"/>
        <v>-0.12014597963864337</v>
      </c>
      <c r="G427">
        <f t="shared" si="76"/>
        <v>9.9999999999988987E-4</v>
      </c>
      <c r="H427">
        <f>IF(MOD(COUNTA($C$7:C427)-1,$J$2),H426,ROUND(F427*P427,-2))</f>
        <v>-1200</v>
      </c>
      <c r="I427">
        <f t="shared" si="77"/>
        <v>0</v>
      </c>
      <c r="J427">
        <f t="shared" si="78"/>
        <v>0</v>
      </c>
      <c r="K427">
        <f t="shared" si="79"/>
        <v>2921.6078275978693</v>
      </c>
      <c r="L427">
        <f t="shared" si="80"/>
        <v>330.80782759786962</v>
      </c>
      <c r="M427">
        <f t="shared" si="81"/>
        <v>-1.1999999999998181</v>
      </c>
      <c r="N427">
        <f t="shared" si="83"/>
        <v>330.80782759786962</v>
      </c>
      <c r="O427" s="5">
        <f t="shared" si="74"/>
        <v>1.924113242371478E-2</v>
      </c>
      <c r="P427">
        <f t="shared" si="82"/>
        <v>10000</v>
      </c>
      <c r="Q427">
        <f t="shared" si="75"/>
        <v>192.4113242371478</v>
      </c>
    </row>
    <row r="428" spans="1:17" x14ac:dyDescent="0.15">
      <c r="A428" s="10">
        <v>45877.590277777985</v>
      </c>
      <c r="B428">
        <f>COUNT(A428:$A$1158)/(48*252)</f>
        <v>6.0433201058201061E-2</v>
      </c>
      <c r="C428">
        <v>2.1619999999999999</v>
      </c>
      <c r="D428">
        <v>3.7999999999999999E-2</v>
      </c>
      <c r="E428">
        <f t="shared" si="72"/>
        <v>1.1847572048354738</v>
      </c>
      <c r="F428">
        <f t="shared" si="73"/>
        <v>-0.11805672873161355</v>
      </c>
      <c r="G428">
        <f t="shared" si="76"/>
        <v>3.0000000000001137E-3</v>
      </c>
      <c r="H428">
        <f>IF(MOD(COUNTA($C$7:C428)-1,$J$2),H427,ROUND(F428*P428,-2))</f>
        <v>-1200</v>
      </c>
      <c r="I428">
        <f t="shared" si="77"/>
        <v>0</v>
      </c>
      <c r="J428">
        <f t="shared" si="78"/>
        <v>0</v>
      </c>
      <c r="K428">
        <f t="shared" si="79"/>
        <v>2921.6078275978693</v>
      </c>
      <c r="L428">
        <f t="shared" si="80"/>
        <v>327.20782759786925</v>
      </c>
      <c r="M428">
        <f t="shared" si="81"/>
        <v>-3.6000000000003638</v>
      </c>
      <c r="N428">
        <f t="shared" si="83"/>
        <v>327.20782759786925</v>
      </c>
      <c r="O428" s="5">
        <f t="shared" si="74"/>
        <v>1.8842918860055347E-2</v>
      </c>
      <c r="P428">
        <f t="shared" si="82"/>
        <v>10000</v>
      </c>
      <c r="Q428">
        <f t="shared" si="75"/>
        <v>188.42918860055346</v>
      </c>
    </row>
    <row r="429" spans="1:17" x14ac:dyDescent="0.15">
      <c r="A429" s="10">
        <v>45877.59375</v>
      </c>
      <c r="B429">
        <f>COUNT(A429:$A$1158)/(48*252)</f>
        <v>6.0350529100529099E-2</v>
      </c>
      <c r="C429">
        <v>2.16</v>
      </c>
      <c r="D429">
        <v>3.7999999999999999E-2</v>
      </c>
      <c r="E429">
        <f t="shared" si="72"/>
        <v>1.1789101891190137</v>
      </c>
      <c r="F429">
        <f t="shared" si="73"/>
        <v>-0.1192169700138499</v>
      </c>
      <c r="G429">
        <f t="shared" si="76"/>
        <v>-1.9999999999997797E-3</v>
      </c>
      <c r="H429">
        <f>IF(MOD(COUNTA($C$7:C429)-1,$J$2),H428,ROUND(F429*P429,-2))</f>
        <v>-1200</v>
      </c>
      <c r="I429">
        <f t="shared" si="77"/>
        <v>0</v>
      </c>
      <c r="J429">
        <f t="shared" si="78"/>
        <v>0</v>
      </c>
      <c r="K429">
        <f t="shared" si="79"/>
        <v>2921.6078275978693</v>
      </c>
      <c r="L429">
        <f t="shared" si="80"/>
        <v>329.60782759786935</v>
      </c>
      <c r="M429">
        <f t="shared" si="81"/>
        <v>2.4000000000000909</v>
      </c>
      <c r="N429">
        <f t="shared" si="83"/>
        <v>329.60782759786935</v>
      </c>
      <c r="O429" s="5">
        <f t="shared" si="74"/>
        <v>1.903934843685956E-2</v>
      </c>
      <c r="P429">
        <f t="shared" si="82"/>
        <v>10000</v>
      </c>
      <c r="Q429">
        <f t="shared" si="75"/>
        <v>190.39348436859561</v>
      </c>
    </row>
    <row r="430" spans="1:17" x14ac:dyDescent="0.15">
      <c r="A430" s="10">
        <v>45877.597222222015</v>
      </c>
      <c r="B430">
        <f>COUNT(A430:$A$1158)/(48*252)</f>
        <v>6.0267857142857144E-2</v>
      </c>
      <c r="C430">
        <v>2.16</v>
      </c>
      <c r="D430">
        <v>3.6999999999999998E-2</v>
      </c>
      <c r="E430">
        <f t="shared" si="72"/>
        <v>1.1796040072223322</v>
      </c>
      <c r="F430">
        <f t="shared" si="73"/>
        <v>-0.11907887421346075</v>
      </c>
      <c r="G430">
        <f t="shared" si="76"/>
        <v>0</v>
      </c>
      <c r="H430">
        <f>IF(MOD(COUNTA($C$7:C430)-1,$J$2),H429,ROUND(F430*P430,-2))</f>
        <v>-1200</v>
      </c>
      <c r="I430">
        <f t="shared" si="77"/>
        <v>0</v>
      </c>
      <c r="J430">
        <f t="shared" si="78"/>
        <v>0</v>
      </c>
      <c r="K430">
        <f t="shared" si="79"/>
        <v>2921.6078275978693</v>
      </c>
      <c r="L430">
        <f t="shared" si="80"/>
        <v>329.60782759786935</v>
      </c>
      <c r="M430">
        <f t="shared" si="81"/>
        <v>0</v>
      </c>
      <c r="N430">
        <f t="shared" si="83"/>
        <v>329.60782759786935</v>
      </c>
      <c r="O430" s="5">
        <f t="shared" si="74"/>
        <v>1.8998372941543218E-2</v>
      </c>
      <c r="P430">
        <f t="shared" si="82"/>
        <v>10000</v>
      </c>
      <c r="Q430">
        <f t="shared" si="75"/>
        <v>189.98372941543218</v>
      </c>
    </row>
    <row r="431" spans="1:17" x14ac:dyDescent="0.15">
      <c r="A431" s="10">
        <v>45877.600694444962</v>
      </c>
      <c r="B431">
        <f>COUNT(A431:$A$1158)/(48*252)</f>
        <v>6.0185185185185182E-2</v>
      </c>
      <c r="C431">
        <v>2.157</v>
      </c>
      <c r="D431">
        <v>3.6999999999999998E-2</v>
      </c>
      <c r="E431">
        <f t="shared" si="72"/>
        <v>1.1704587607572943</v>
      </c>
      <c r="F431">
        <f t="shared" si="73"/>
        <v>-0.12090820031597882</v>
      </c>
      <c r="G431">
        <f t="shared" si="76"/>
        <v>-3.0000000000001137E-3</v>
      </c>
      <c r="H431">
        <f>IF(MOD(COUNTA($C$7:C431)-1,$J$2),H430,ROUND(F431*P431,-2))</f>
        <v>-1200</v>
      </c>
      <c r="I431">
        <f t="shared" si="77"/>
        <v>0</v>
      </c>
      <c r="J431">
        <f t="shared" si="78"/>
        <v>0</v>
      </c>
      <c r="K431">
        <f t="shared" si="79"/>
        <v>2921.6078275978693</v>
      </c>
      <c r="L431">
        <f t="shared" si="80"/>
        <v>333.20782759786925</v>
      </c>
      <c r="M431">
        <f t="shared" si="81"/>
        <v>3.5999999999999091</v>
      </c>
      <c r="N431">
        <f t="shared" si="83"/>
        <v>333.20782759786925</v>
      </c>
      <c r="O431" s="5">
        <f t="shared" si="74"/>
        <v>1.9317168978324195E-2</v>
      </c>
      <c r="P431">
        <f t="shared" si="82"/>
        <v>10000</v>
      </c>
      <c r="Q431">
        <f t="shared" si="75"/>
        <v>193.17168978324196</v>
      </c>
    </row>
    <row r="432" spans="1:17" x14ac:dyDescent="0.15">
      <c r="A432" s="10">
        <v>45877.604166666977</v>
      </c>
      <c r="B432">
        <f>COUNT(A432:$A$1158)/(48*252)</f>
        <v>6.0102513227513227E-2</v>
      </c>
      <c r="C432">
        <v>2.1539999999999999</v>
      </c>
      <c r="D432">
        <v>3.5000000000000003E-2</v>
      </c>
      <c r="E432">
        <f t="shared" si="72"/>
        <v>1.1612877905850862</v>
      </c>
      <c r="F432">
        <f t="shared" si="73"/>
        <v>-0.12276244151918303</v>
      </c>
      <c r="G432">
        <f t="shared" si="76"/>
        <v>-3.0000000000001137E-3</v>
      </c>
      <c r="H432">
        <f>IF(MOD(COUNTA($C$7:C432)-1,$J$2),H431,ROUND(F432*P432,-2))</f>
        <v>-1200</v>
      </c>
      <c r="I432">
        <f t="shared" si="77"/>
        <v>0</v>
      </c>
      <c r="J432">
        <f t="shared" si="78"/>
        <v>0</v>
      </c>
      <c r="K432">
        <f t="shared" si="79"/>
        <v>2921.6078275978693</v>
      </c>
      <c r="L432">
        <f t="shared" si="80"/>
        <v>336.80782759786962</v>
      </c>
      <c r="M432">
        <f t="shared" si="81"/>
        <v>3.6000000000003638</v>
      </c>
      <c r="N432">
        <f t="shared" si="83"/>
        <v>336.80782759786962</v>
      </c>
      <c r="O432" s="5">
        <f t="shared" si="74"/>
        <v>1.9641078635157405E-2</v>
      </c>
      <c r="P432">
        <f t="shared" si="82"/>
        <v>10000</v>
      </c>
      <c r="Q432">
        <f t="shared" si="75"/>
        <v>196.41078635157405</v>
      </c>
    </row>
    <row r="433" spans="1:17" x14ac:dyDescent="0.15">
      <c r="A433" s="10">
        <v>45877.607638888992</v>
      </c>
      <c r="B433">
        <f>COUNT(A433:$A$1158)/(48*252)</f>
        <v>6.0019841269841272E-2</v>
      </c>
      <c r="C433">
        <v>2.157</v>
      </c>
      <c r="D433">
        <v>3.5999999999999997E-2</v>
      </c>
      <c r="E433">
        <f t="shared" si="72"/>
        <v>1.1718404111654985</v>
      </c>
      <c r="F433">
        <f t="shared" si="73"/>
        <v>-0.12063056738985589</v>
      </c>
      <c r="G433">
        <f t="shared" si="76"/>
        <v>3.0000000000001137E-3</v>
      </c>
      <c r="H433">
        <f>IF(MOD(COUNTA($C$7:C433)-1,$J$2),H432,ROUND(F433*P433,-2))</f>
        <v>-1200</v>
      </c>
      <c r="I433">
        <f t="shared" si="77"/>
        <v>0</v>
      </c>
      <c r="J433">
        <f t="shared" si="78"/>
        <v>0</v>
      </c>
      <c r="K433">
        <f t="shared" si="79"/>
        <v>2921.6078275978693</v>
      </c>
      <c r="L433">
        <f t="shared" si="80"/>
        <v>333.20782759786925</v>
      </c>
      <c r="M433">
        <f t="shared" si="81"/>
        <v>-3.6000000000003638</v>
      </c>
      <c r="N433">
        <f t="shared" si="83"/>
        <v>333.20782759786925</v>
      </c>
      <c r="O433" s="5">
        <f t="shared" si="74"/>
        <v>1.9234409635741134E-2</v>
      </c>
      <c r="P433">
        <f t="shared" si="82"/>
        <v>10000</v>
      </c>
      <c r="Q433">
        <f t="shared" si="75"/>
        <v>192.34409635741133</v>
      </c>
    </row>
    <row r="434" spans="1:17" x14ac:dyDescent="0.15">
      <c r="A434" s="10">
        <v>45877.611111111008</v>
      </c>
      <c r="B434">
        <f>COUNT(A434:$A$1158)/(48*252)</f>
        <v>5.993716931216931E-2</v>
      </c>
      <c r="C434">
        <v>2.157</v>
      </c>
      <c r="D434">
        <v>3.5999999999999997E-2</v>
      </c>
      <c r="E434">
        <f t="shared" si="72"/>
        <v>1.1725334979213282</v>
      </c>
      <c r="F434">
        <f t="shared" si="73"/>
        <v>-0.12049146566120861</v>
      </c>
      <c r="G434">
        <f t="shared" si="76"/>
        <v>0</v>
      </c>
      <c r="H434">
        <f>IF(MOD(COUNTA($C$7:C434)-1,$J$2),H433,ROUND(F434*P434,-2))</f>
        <v>-1200</v>
      </c>
      <c r="I434">
        <f t="shared" si="77"/>
        <v>0</v>
      </c>
      <c r="J434">
        <f t="shared" si="78"/>
        <v>0</v>
      </c>
      <c r="K434">
        <f t="shared" si="79"/>
        <v>2921.6078275978693</v>
      </c>
      <c r="L434">
        <f t="shared" si="80"/>
        <v>333.20782759786925</v>
      </c>
      <c r="M434">
        <f t="shared" si="81"/>
        <v>0</v>
      </c>
      <c r="N434">
        <f t="shared" si="83"/>
        <v>333.20782759786925</v>
      </c>
      <c r="O434" s="5">
        <f t="shared" si="74"/>
        <v>1.9193036404798358E-2</v>
      </c>
      <c r="P434">
        <f t="shared" si="82"/>
        <v>10000</v>
      </c>
      <c r="Q434">
        <f t="shared" si="75"/>
        <v>191.93036404798357</v>
      </c>
    </row>
    <row r="435" spans="1:17" x14ac:dyDescent="0.15">
      <c r="A435" s="10">
        <v>45877.614583333023</v>
      </c>
      <c r="B435">
        <f>COUNT(A435:$A$1158)/(48*252)</f>
        <v>5.9854497354497355E-2</v>
      </c>
      <c r="C435">
        <v>2.1560000000000001</v>
      </c>
      <c r="D435">
        <v>3.5000000000000003E-2</v>
      </c>
      <c r="E435">
        <f t="shared" si="72"/>
        <v>1.1699358097559709</v>
      </c>
      <c r="F435">
        <f t="shared" si="73"/>
        <v>-0.12101340085244205</v>
      </c>
      <c r="G435">
        <f t="shared" si="76"/>
        <v>-9.9999999999988987E-4</v>
      </c>
      <c r="H435">
        <f>IF(MOD(COUNTA($C$7:C435)-1,$J$2),H434,ROUND(F435*P435,-2))</f>
        <v>-1200</v>
      </c>
      <c r="I435">
        <f t="shared" si="77"/>
        <v>0</v>
      </c>
      <c r="J435">
        <f t="shared" si="78"/>
        <v>0</v>
      </c>
      <c r="K435">
        <f t="shared" si="79"/>
        <v>2921.6078275978693</v>
      </c>
      <c r="L435">
        <f t="shared" si="80"/>
        <v>334.40782759786907</v>
      </c>
      <c r="M435">
        <f t="shared" si="81"/>
        <v>1.1999999999998181</v>
      </c>
      <c r="N435">
        <f t="shared" si="83"/>
        <v>334.40782759786907</v>
      </c>
      <c r="O435" s="5">
        <f t="shared" si="74"/>
        <v>1.9272350087198464E-2</v>
      </c>
      <c r="P435">
        <f t="shared" si="82"/>
        <v>10000</v>
      </c>
      <c r="Q435">
        <f t="shared" si="75"/>
        <v>192.72350087198464</v>
      </c>
    </row>
    <row r="436" spans="1:17" x14ac:dyDescent="0.15">
      <c r="A436" s="10">
        <v>45877.618055555969</v>
      </c>
      <c r="B436">
        <f>COUNT(A436:$A$1158)/(48*252)</f>
        <v>5.97718253968254E-2</v>
      </c>
      <c r="C436">
        <v>2.1539999999999999</v>
      </c>
      <c r="D436">
        <v>3.4000000000000002E-2</v>
      </c>
      <c r="E436">
        <f t="shared" si="72"/>
        <v>1.1640359370863513</v>
      </c>
      <c r="F436">
        <f t="shared" si="73"/>
        <v>-0.12220472420056094</v>
      </c>
      <c r="G436">
        <f t="shared" si="76"/>
        <v>-2.0000000000002238E-3</v>
      </c>
      <c r="H436">
        <f>IF(MOD(COUNTA($C$7:C436)-1,$J$2),H435,ROUND(F436*P436,-2))</f>
        <v>-1200</v>
      </c>
      <c r="I436">
        <f t="shared" si="77"/>
        <v>0</v>
      </c>
      <c r="J436">
        <f t="shared" si="78"/>
        <v>0</v>
      </c>
      <c r="K436">
        <f t="shared" si="79"/>
        <v>2921.6078275978693</v>
      </c>
      <c r="L436">
        <f t="shared" si="80"/>
        <v>336.80782759786962</v>
      </c>
      <c r="M436">
        <f t="shared" si="81"/>
        <v>2.4000000000005457</v>
      </c>
      <c r="N436">
        <f t="shared" si="83"/>
        <v>336.80782759786962</v>
      </c>
      <c r="O436" s="5">
        <f t="shared" si="74"/>
        <v>1.9473922760978035E-2</v>
      </c>
      <c r="P436">
        <f t="shared" si="82"/>
        <v>10000</v>
      </c>
      <c r="Q436">
        <f t="shared" si="75"/>
        <v>194.73922760978036</v>
      </c>
    </row>
    <row r="437" spans="1:17" x14ac:dyDescent="0.15">
      <c r="A437" s="10">
        <v>45877.621527777985</v>
      </c>
      <c r="B437">
        <f>COUNT(A437:$A$1158)/(48*252)</f>
        <v>5.9689153439153438E-2</v>
      </c>
      <c r="C437">
        <v>2.1520000000000001</v>
      </c>
      <c r="D437">
        <v>3.5000000000000003E-2</v>
      </c>
      <c r="E437">
        <f t="shared" si="72"/>
        <v>1.1581223262100822</v>
      </c>
      <c r="F437">
        <f t="shared" si="73"/>
        <v>-0.12340706006843227</v>
      </c>
      <c r="G437">
        <f t="shared" si="76"/>
        <v>-1.9999999999997797E-3</v>
      </c>
      <c r="H437">
        <f>IF(MOD(COUNTA($C$7:C437)-1,$J$2),H436,ROUND(F437*P437,-2))</f>
        <v>-1200</v>
      </c>
      <c r="I437">
        <f t="shared" si="77"/>
        <v>0</v>
      </c>
      <c r="J437">
        <f t="shared" si="78"/>
        <v>0</v>
      </c>
      <c r="K437">
        <f t="shared" si="79"/>
        <v>2921.6078275978693</v>
      </c>
      <c r="L437">
        <f t="shared" si="80"/>
        <v>339.20782759786925</v>
      </c>
      <c r="M437">
        <f t="shared" si="81"/>
        <v>2.3999999999996362</v>
      </c>
      <c r="N437">
        <f t="shared" si="83"/>
        <v>339.20782759786925</v>
      </c>
      <c r="O437" s="5">
        <f t="shared" si="74"/>
        <v>1.9677613342675981E-2</v>
      </c>
      <c r="P437">
        <f t="shared" si="82"/>
        <v>10000</v>
      </c>
      <c r="Q437">
        <f t="shared" si="75"/>
        <v>196.77613342675983</v>
      </c>
    </row>
    <row r="438" spans="1:17" x14ac:dyDescent="0.15">
      <c r="A438" s="10">
        <v>45877.625</v>
      </c>
      <c r="B438">
        <f>COUNT(A438:$A$1158)/(48*252)</f>
        <v>5.9606481481481483E-2</v>
      </c>
      <c r="C438">
        <v>2.1469999999999998</v>
      </c>
      <c r="D438">
        <v>3.5000000000000003E-2</v>
      </c>
      <c r="E438">
        <f t="shared" si="72"/>
        <v>1.1422606793103987</v>
      </c>
      <c r="F438">
        <f t="shared" si="73"/>
        <v>-0.12667284014879499</v>
      </c>
      <c r="G438">
        <f t="shared" si="76"/>
        <v>-5.0000000000003375E-3</v>
      </c>
      <c r="H438">
        <f>IF(MOD(COUNTA($C$7:C438)-1,$J$2),H437,ROUND(F438*P438,-2))</f>
        <v>-1200</v>
      </c>
      <c r="I438">
        <f t="shared" si="77"/>
        <v>0</v>
      </c>
      <c r="J438">
        <f t="shared" si="78"/>
        <v>0</v>
      </c>
      <c r="K438">
        <f t="shared" si="79"/>
        <v>2921.6078275978693</v>
      </c>
      <c r="L438">
        <f t="shared" si="80"/>
        <v>345.20782759786971</v>
      </c>
      <c r="M438">
        <f t="shared" si="81"/>
        <v>6.0000000000004547</v>
      </c>
      <c r="N438">
        <f t="shared" si="83"/>
        <v>345.20782759786971</v>
      </c>
      <c r="O438" s="5">
        <f t="shared" si="74"/>
        <v>2.0260376355640097E-2</v>
      </c>
      <c r="P438">
        <f t="shared" si="82"/>
        <v>10000</v>
      </c>
      <c r="Q438">
        <f t="shared" si="75"/>
        <v>202.60376355640096</v>
      </c>
    </row>
    <row r="439" spans="1:17" x14ac:dyDescent="0.15">
      <c r="A439" s="10">
        <v>45885.399305555969</v>
      </c>
      <c r="B439">
        <f>COUNT(A439:$A$1158)/(48*252)</f>
        <v>5.9523809523809521E-2</v>
      </c>
      <c r="C439">
        <v>2.222</v>
      </c>
      <c r="D439">
        <v>6.4000000000000001E-2</v>
      </c>
      <c r="E439">
        <f>(LN(C439/$B$2)+($B$1+0.5*$D$1*$D$1)*B439)/($D$1*SQRT(B439))</f>
        <v>1.3873954006656997</v>
      </c>
      <c r="F439">
        <f t="shared" si="73"/>
        <v>-8.2660613353164991E-2</v>
      </c>
      <c r="G439">
        <f t="shared" si="76"/>
        <v>7.5000000000000178E-2</v>
      </c>
      <c r="H439">
        <f>IF(MOD(COUNTA($C$7:C439)-1,$J$2),H438,ROUND(F439*P439,-2))</f>
        <v>-800</v>
      </c>
      <c r="I439">
        <f t="shared" si="77"/>
        <v>400</v>
      </c>
      <c r="J439">
        <f t="shared" si="78"/>
        <v>0</v>
      </c>
      <c r="K439">
        <f t="shared" si="79"/>
        <v>2032.7678315978694</v>
      </c>
      <c r="L439">
        <f t="shared" si="80"/>
        <v>255.16783159786951</v>
      </c>
      <c r="M439">
        <f t="shared" si="81"/>
        <v>-90.039996000000201</v>
      </c>
      <c r="N439">
        <f t="shared" si="83"/>
        <v>255.16783159786951</v>
      </c>
      <c r="O439" s="5">
        <f t="shared" si="74"/>
        <v>1.2466803023683776E-2</v>
      </c>
      <c r="P439">
        <f t="shared" si="82"/>
        <v>10000</v>
      </c>
      <c r="Q439">
        <f t="shared" si="75"/>
        <v>124.66803023683775</v>
      </c>
    </row>
    <row r="440" spans="1:17" x14ac:dyDescent="0.15">
      <c r="A440" s="10">
        <v>45885.402777777985</v>
      </c>
      <c r="B440">
        <f>COUNT(A440:$A$1158)/(48*252)</f>
        <v>5.9441137566137565E-2</v>
      </c>
      <c r="C440">
        <v>2.2120000000000002</v>
      </c>
      <c r="D440">
        <v>5.8999999999999997E-2</v>
      </c>
      <c r="E440">
        <f t="shared" si="72"/>
        <v>1.3561089250617662</v>
      </c>
      <c r="F440">
        <f t="shared" si="73"/>
        <v>-8.7532256786853169E-2</v>
      </c>
      <c r="G440">
        <f t="shared" si="76"/>
        <v>-9.9999999999997868E-3</v>
      </c>
      <c r="H440">
        <f>IF(MOD(COUNTA($C$7:C440)-1,$J$2),H439,ROUND(F440*P440,-2))</f>
        <v>-800</v>
      </c>
      <c r="I440">
        <f t="shared" si="77"/>
        <v>0</v>
      </c>
      <c r="J440">
        <f t="shared" si="78"/>
        <v>0</v>
      </c>
      <c r="K440">
        <f t="shared" si="79"/>
        <v>2032.7678315978694</v>
      </c>
      <c r="L440">
        <f t="shared" si="80"/>
        <v>263.16783159786928</v>
      </c>
      <c r="M440">
        <f t="shared" si="81"/>
        <v>7.9999999999997726</v>
      </c>
      <c r="N440">
        <f t="shared" si="83"/>
        <v>263.16783159786928</v>
      </c>
      <c r="O440" s="5">
        <f t="shared" si="74"/>
        <v>1.3284385792643794E-2</v>
      </c>
      <c r="P440">
        <f t="shared" si="82"/>
        <v>10000</v>
      </c>
      <c r="Q440">
        <f t="shared" si="75"/>
        <v>132.84385792643795</v>
      </c>
    </row>
    <row r="441" spans="1:17" x14ac:dyDescent="0.15">
      <c r="A441" s="10">
        <v>45885.40625</v>
      </c>
      <c r="B441">
        <f>COUNT(A441:$A$1158)/(48*252)</f>
        <v>5.935846560846561E-2</v>
      </c>
      <c r="C441">
        <v>2.2149999999999999</v>
      </c>
      <c r="D441">
        <v>6.2E-2</v>
      </c>
      <c r="E441">
        <f t="shared" si="72"/>
        <v>1.366600255347266</v>
      </c>
      <c r="F441">
        <f t="shared" si="73"/>
        <v>-8.587531857441455E-2</v>
      </c>
      <c r="G441">
        <f t="shared" si="76"/>
        <v>2.9999999999996696E-3</v>
      </c>
      <c r="H441">
        <f>IF(MOD(COUNTA($C$7:C441)-1,$J$2),H440,ROUND(F441*P441,-2))</f>
        <v>-900</v>
      </c>
      <c r="I441">
        <f t="shared" si="77"/>
        <v>-100</v>
      </c>
      <c r="J441">
        <f t="shared" si="78"/>
        <v>0</v>
      </c>
      <c r="K441">
        <f t="shared" si="79"/>
        <v>2254.2578640978691</v>
      </c>
      <c r="L441">
        <f t="shared" si="80"/>
        <v>260.75786409786929</v>
      </c>
      <c r="M441">
        <f t="shared" si="81"/>
        <v>-2.4099674999999934</v>
      </c>
      <c r="N441">
        <f t="shared" si="83"/>
        <v>260.75786409786929</v>
      </c>
      <c r="O441" s="5">
        <f t="shared" si="74"/>
        <v>1.2990654265627732E-2</v>
      </c>
      <c r="P441">
        <f t="shared" si="82"/>
        <v>10000</v>
      </c>
      <c r="Q441">
        <f t="shared" si="75"/>
        <v>129.90654265627734</v>
      </c>
    </row>
    <row r="442" spans="1:17" x14ac:dyDescent="0.15">
      <c r="A442" s="10">
        <v>45885.409722222015</v>
      </c>
      <c r="B442">
        <f>COUNT(A442:$A$1158)/(48*252)</f>
        <v>5.9275793650793648E-2</v>
      </c>
      <c r="C442">
        <v>2.222</v>
      </c>
      <c r="D442">
        <v>6.5000000000000002E-2</v>
      </c>
      <c r="E442">
        <f t="shared" si="72"/>
        <v>1.3899485540542911</v>
      </c>
      <c r="F442">
        <f t="shared" si="73"/>
        <v>-8.2272250036072747E-2</v>
      </c>
      <c r="G442">
        <f t="shared" si="76"/>
        <v>7.0000000000001172E-3</v>
      </c>
      <c r="H442">
        <f>IF(MOD(COUNTA($C$7:C442)-1,$J$2),H441,ROUND(F442*P442,-2))</f>
        <v>-900</v>
      </c>
      <c r="I442">
        <f t="shared" si="77"/>
        <v>0</v>
      </c>
      <c r="J442">
        <f t="shared" si="78"/>
        <v>0</v>
      </c>
      <c r="K442">
        <f t="shared" si="79"/>
        <v>2254.2578640978691</v>
      </c>
      <c r="L442">
        <f t="shared" si="80"/>
        <v>254.45786409786911</v>
      </c>
      <c r="M442">
        <f t="shared" si="81"/>
        <v>-6.3000000000001819</v>
      </c>
      <c r="N442">
        <f t="shared" si="83"/>
        <v>254.45786409786911</v>
      </c>
      <c r="O442" s="5">
        <f t="shared" si="74"/>
        <v>1.2369251507758167E-2</v>
      </c>
      <c r="P442">
        <f t="shared" si="82"/>
        <v>10000</v>
      </c>
      <c r="Q442">
        <f t="shared" si="75"/>
        <v>123.69251507758166</v>
      </c>
    </row>
    <row r="443" spans="1:17" x14ac:dyDescent="0.15">
      <c r="A443" s="10">
        <v>45885.413194444962</v>
      </c>
      <c r="B443">
        <f>COUNT(A443:$A$1158)/(48*252)</f>
        <v>5.9193121693121693E-2</v>
      </c>
      <c r="C443">
        <v>2.214</v>
      </c>
      <c r="D443">
        <v>6.2E-2</v>
      </c>
      <c r="E443">
        <f t="shared" si="72"/>
        <v>1.365052621850273</v>
      </c>
      <c r="F443">
        <f t="shared" si="73"/>
        <v>-8.6118255754086714E-2</v>
      </c>
      <c r="G443">
        <f t="shared" si="76"/>
        <v>-8.0000000000000071E-3</v>
      </c>
      <c r="H443">
        <f>IF(MOD(COUNTA($C$7:C443)-1,$J$2),H442,ROUND(F443*P443,-2))</f>
        <v>-900</v>
      </c>
      <c r="I443">
        <f t="shared" si="77"/>
        <v>0</v>
      </c>
      <c r="J443">
        <f t="shared" si="78"/>
        <v>0</v>
      </c>
      <c r="K443">
        <f t="shared" si="79"/>
        <v>2254.2578640978691</v>
      </c>
      <c r="L443">
        <f t="shared" si="80"/>
        <v>261.65786409786915</v>
      </c>
      <c r="M443">
        <f t="shared" si="81"/>
        <v>7.2000000000000455</v>
      </c>
      <c r="N443">
        <f t="shared" si="83"/>
        <v>261.65786409786915</v>
      </c>
      <c r="O443" s="5">
        <f t="shared" si="74"/>
        <v>1.3009704503601976E-2</v>
      </c>
      <c r="P443">
        <f t="shared" si="82"/>
        <v>10000</v>
      </c>
      <c r="Q443">
        <f t="shared" si="75"/>
        <v>130.09704503601978</v>
      </c>
    </row>
    <row r="444" spans="1:17" x14ac:dyDescent="0.15">
      <c r="A444" s="10">
        <v>45885.416666666977</v>
      </c>
      <c r="B444">
        <f>COUNT(A444:$A$1158)/(48*252)</f>
        <v>5.9110449735449738E-2</v>
      </c>
      <c r="C444">
        <v>2.2149999999999999</v>
      </c>
      <c r="D444">
        <v>6.3E-2</v>
      </c>
      <c r="E444">
        <f t="shared" si="72"/>
        <v>1.3691174461285287</v>
      </c>
      <c r="F444">
        <f t="shared" si="73"/>
        <v>-8.5481282853134721E-2</v>
      </c>
      <c r="G444">
        <f t="shared" si="76"/>
        <v>9.9999999999988987E-4</v>
      </c>
      <c r="H444">
        <f>IF(MOD(COUNTA($C$7:C444)-1,$J$2),H443,ROUND(F444*P444,-2))</f>
        <v>-900</v>
      </c>
      <c r="I444">
        <f t="shared" si="77"/>
        <v>0</v>
      </c>
      <c r="J444">
        <f t="shared" si="78"/>
        <v>0</v>
      </c>
      <c r="K444">
        <f t="shared" si="79"/>
        <v>2254.2578640978691</v>
      </c>
      <c r="L444">
        <f t="shared" si="80"/>
        <v>260.75786409786929</v>
      </c>
      <c r="M444">
        <f t="shared" si="81"/>
        <v>-0.89999999999986358</v>
      </c>
      <c r="N444">
        <f t="shared" si="83"/>
        <v>260.75786409786929</v>
      </c>
      <c r="O444" s="5">
        <f t="shared" si="74"/>
        <v>1.2890453353040426E-2</v>
      </c>
      <c r="P444">
        <f t="shared" si="82"/>
        <v>10000</v>
      </c>
      <c r="Q444">
        <f t="shared" si="75"/>
        <v>128.90453353040425</v>
      </c>
    </row>
    <row r="445" spans="1:17" x14ac:dyDescent="0.15">
      <c r="A445" s="10">
        <v>45885.420138888992</v>
      </c>
      <c r="B445">
        <f>COUNT(A445:$A$1158)/(48*252)</f>
        <v>5.9027777777777776E-2</v>
      </c>
      <c r="C445">
        <v>2.2120000000000002</v>
      </c>
      <c r="D445">
        <v>6.2E-2</v>
      </c>
      <c r="E445">
        <f t="shared" si="72"/>
        <v>1.3602705142894895</v>
      </c>
      <c r="F445">
        <f t="shared" si="73"/>
        <v>-8.6872167753322849E-2</v>
      </c>
      <c r="G445">
        <f t="shared" si="76"/>
        <v>-2.9999999999996696E-3</v>
      </c>
      <c r="H445">
        <f>IF(MOD(COUNTA($C$7:C445)-1,$J$2),H444,ROUND(F445*P445,-2))</f>
        <v>-900</v>
      </c>
      <c r="I445">
        <f t="shared" si="77"/>
        <v>0</v>
      </c>
      <c r="J445">
        <f t="shared" si="78"/>
        <v>0</v>
      </c>
      <c r="K445">
        <f t="shared" si="79"/>
        <v>2254.2578640978691</v>
      </c>
      <c r="L445">
        <f t="shared" si="80"/>
        <v>263.45786409786888</v>
      </c>
      <c r="M445">
        <f t="shared" si="81"/>
        <v>2.6999999999995907</v>
      </c>
      <c r="N445">
        <f t="shared" si="83"/>
        <v>263.45786409786888</v>
      </c>
      <c r="O445" s="5">
        <f t="shared" si="74"/>
        <v>1.311540925582283E-2</v>
      </c>
      <c r="P445">
        <f t="shared" si="82"/>
        <v>10000</v>
      </c>
      <c r="Q445">
        <f t="shared" si="75"/>
        <v>131.15409255822829</v>
      </c>
    </row>
    <row r="446" spans="1:17" x14ac:dyDescent="0.15">
      <c r="A446" s="10">
        <v>45885.423611111008</v>
      </c>
      <c r="B446">
        <f>COUNT(A446:$A$1158)/(48*252)</f>
        <v>5.8945105820105821E-2</v>
      </c>
      <c r="C446">
        <v>2.2149999999999999</v>
      </c>
      <c r="D446">
        <v>6.2E-2</v>
      </c>
      <c r="E446">
        <f t="shared" si="72"/>
        <v>1.3708047970738448</v>
      </c>
      <c r="F446">
        <f t="shared" si="73"/>
        <v>-8.5217907576200846E-2</v>
      </c>
      <c r="G446">
        <f t="shared" si="76"/>
        <v>2.9999999999996696E-3</v>
      </c>
      <c r="H446">
        <f>IF(MOD(COUNTA($C$7:C446)-1,$J$2),H445,ROUND(F446*P446,-2))</f>
        <v>-900</v>
      </c>
      <c r="I446">
        <f t="shared" si="77"/>
        <v>0</v>
      </c>
      <c r="J446">
        <f t="shared" si="78"/>
        <v>0</v>
      </c>
      <c r="K446">
        <f t="shared" si="79"/>
        <v>2254.2578640978691</v>
      </c>
      <c r="L446">
        <f t="shared" si="80"/>
        <v>260.75786409786929</v>
      </c>
      <c r="M446">
        <f t="shared" si="81"/>
        <v>-2.6999999999995907</v>
      </c>
      <c r="N446">
        <f t="shared" si="83"/>
        <v>260.75786409786929</v>
      </c>
      <c r="O446" s="5">
        <f t="shared" si="74"/>
        <v>1.2823725385143869E-2</v>
      </c>
      <c r="P446">
        <f t="shared" si="82"/>
        <v>10000</v>
      </c>
      <c r="Q446">
        <f t="shared" si="75"/>
        <v>128.23725385143868</v>
      </c>
    </row>
    <row r="447" spans="1:17" x14ac:dyDescent="0.15">
      <c r="A447" s="10">
        <v>45885.427083333023</v>
      </c>
      <c r="B447">
        <f>COUNT(A447:$A$1158)/(48*252)</f>
        <v>5.8862433862433859E-2</v>
      </c>
      <c r="C447">
        <v>2.2189999999999999</v>
      </c>
      <c r="D447">
        <v>6.4000000000000001E-2</v>
      </c>
      <c r="E447">
        <f t="shared" si="72"/>
        <v>1.384568542773575</v>
      </c>
      <c r="F447">
        <f t="shared" si="73"/>
        <v>-8.3092217934809809E-2</v>
      </c>
      <c r="G447">
        <f t="shared" si="76"/>
        <v>4.0000000000000036E-3</v>
      </c>
      <c r="H447">
        <f>IF(MOD(COUNTA($C$7:C447)-1,$J$2),H446,ROUND(F447*P447,-2))</f>
        <v>-800</v>
      </c>
      <c r="I447">
        <f t="shared" si="77"/>
        <v>100</v>
      </c>
      <c r="J447">
        <f t="shared" si="78"/>
        <v>0</v>
      </c>
      <c r="K447">
        <f t="shared" si="79"/>
        <v>2032.3478785978689</v>
      </c>
      <c r="L447">
        <f t="shared" si="80"/>
        <v>257.14787859786907</v>
      </c>
      <c r="M447">
        <f t="shared" si="81"/>
        <v>-3.6099855000002208</v>
      </c>
      <c r="N447">
        <f t="shared" si="83"/>
        <v>257.14787859786907</v>
      </c>
      <c r="O447" s="5">
        <f t="shared" si="74"/>
        <v>1.2454039965862668E-2</v>
      </c>
      <c r="P447">
        <f t="shared" si="82"/>
        <v>10000</v>
      </c>
      <c r="Q447">
        <f t="shared" si="75"/>
        <v>124.54039965862668</v>
      </c>
    </row>
    <row r="448" spans="1:17" x14ac:dyDescent="0.15">
      <c r="A448" s="10">
        <v>45885.430555555969</v>
      </c>
      <c r="B448">
        <f>COUNT(A448:$A$1158)/(48*252)</f>
        <v>5.8779761904761904E-2</v>
      </c>
      <c r="C448">
        <v>2.218</v>
      </c>
      <c r="D448">
        <v>6.5000000000000002E-2</v>
      </c>
      <c r="E448">
        <f t="shared" si="72"/>
        <v>1.3821965470068358</v>
      </c>
      <c r="F448">
        <f t="shared" si="73"/>
        <v>-8.3455680033447055E-2</v>
      </c>
      <c r="G448">
        <f t="shared" si="76"/>
        <v>-9.9999999999988987E-4</v>
      </c>
      <c r="H448">
        <f>IF(MOD(COUNTA($C$7:C448)-1,$J$2),H447,ROUND(F448*P448,-2))</f>
        <v>-800</v>
      </c>
      <c r="I448">
        <f t="shared" si="77"/>
        <v>0</v>
      </c>
      <c r="J448">
        <f t="shared" si="78"/>
        <v>0</v>
      </c>
      <c r="K448">
        <f t="shared" si="79"/>
        <v>2032.3478785978689</v>
      </c>
      <c r="L448">
        <f t="shared" si="80"/>
        <v>257.94787859786879</v>
      </c>
      <c r="M448">
        <f t="shared" si="81"/>
        <v>0.79999999999972715</v>
      </c>
      <c r="N448">
        <f t="shared" si="83"/>
        <v>257.94787859786879</v>
      </c>
      <c r="O448" s="5">
        <f t="shared" si="74"/>
        <v>1.2504447188765505E-2</v>
      </c>
      <c r="P448">
        <f t="shared" si="82"/>
        <v>10000</v>
      </c>
      <c r="Q448">
        <f t="shared" si="75"/>
        <v>125.04447188765505</v>
      </c>
    </row>
    <row r="449" spans="1:17" x14ac:dyDescent="0.15">
      <c r="A449" s="10">
        <v>45885.434027777985</v>
      </c>
      <c r="B449">
        <f>COUNT(A449:$A$1158)/(48*252)</f>
        <v>5.8697089947089949E-2</v>
      </c>
      <c r="C449">
        <v>2.2170000000000001</v>
      </c>
      <c r="D449">
        <v>6.5000000000000002E-2</v>
      </c>
      <c r="E449">
        <f t="shared" si="72"/>
        <v>1.3798204394301941</v>
      </c>
      <c r="F449">
        <f t="shared" si="73"/>
        <v>-8.3820968882124536E-2</v>
      </c>
      <c r="G449">
        <f t="shared" si="76"/>
        <v>-9.9999999999988987E-4</v>
      </c>
      <c r="H449">
        <f>IF(MOD(COUNTA($C$7:C449)-1,$J$2),H448,ROUND(F449*P449,-2))</f>
        <v>-800</v>
      </c>
      <c r="I449">
        <f t="shared" si="77"/>
        <v>0</v>
      </c>
      <c r="J449">
        <f t="shared" si="78"/>
        <v>0</v>
      </c>
      <c r="K449">
        <f t="shared" si="79"/>
        <v>2032.3478785978689</v>
      </c>
      <c r="L449">
        <f t="shared" si="80"/>
        <v>258.74787859786875</v>
      </c>
      <c r="M449">
        <f t="shared" si="81"/>
        <v>0.79999999999995453</v>
      </c>
      <c r="N449">
        <f t="shared" si="83"/>
        <v>258.74787859786875</v>
      </c>
      <c r="O449" s="5">
        <f t="shared" si="74"/>
        <v>1.2555102628771325E-2</v>
      </c>
      <c r="P449">
        <f t="shared" si="82"/>
        <v>10000</v>
      </c>
      <c r="Q449">
        <f t="shared" si="75"/>
        <v>125.55102628771326</v>
      </c>
    </row>
    <row r="450" spans="1:17" x14ac:dyDescent="0.15">
      <c r="A450" s="10">
        <v>45885.4375</v>
      </c>
      <c r="B450">
        <f>COUNT(A450:$A$1158)/(48*252)</f>
        <v>5.8614417989417987E-2</v>
      </c>
      <c r="C450">
        <v>2.2189999999999999</v>
      </c>
      <c r="D450">
        <v>6.6000000000000003E-2</v>
      </c>
      <c r="E450">
        <f t="shared" si="72"/>
        <v>1.3871464551368375</v>
      </c>
      <c r="F450">
        <f t="shared" si="73"/>
        <v>-8.2698554464971874E-2</v>
      </c>
      <c r="G450">
        <f t="shared" si="76"/>
        <v>1.9999999999997797E-3</v>
      </c>
      <c r="H450">
        <f>IF(MOD(COUNTA($C$7:C450)-1,$J$2),H449,ROUND(F450*P450,-2))</f>
        <v>-800</v>
      </c>
      <c r="I450">
        <f t="shared" si="77"/>
        <v>0</v>
      </c>
      <c r="J450">
        <f t="shared" si="78"/>
        <v>0</v>
      </c>
      <c r="K450">
        <f t="shared" si="79"/>
        <v>2032.3478785978689</v>
      </c>
      <c r="L450">
        <f t="shared" si="80"/>
        <v>257.14787859786907</v>
      </c>
      <c r="M450">
        <f t="shared" si="81"/>
        <v>-1.5999999999996817</v>
      </c>
      <c r="N450">
        <f t="shared" si="83"/>
        <v>257.14787859786907</v>
      </c>
      <c r="O450" s="5">
        <f t="shared" si="74"/>
        <v>1.2355683207305485E-2</v>
      </c>
      <c r="P450">
        <f t="shared" si="82"/>
        <v>10000</v>
      </c>
      <c r="Q450">
        <f t="shared" si="75"/>
        <v>123.55683207305485</v>
      </c>
    </row>
    <row r="451" spans="1:17" x14ac:dyDescent="0.15">
      <c r="A451" s="10">
        <v>45885.440972222015</v>
      </c>
      <c r="B451">
        <f>COUNT(A451:$A$1158)/(48*252)</f>
        <v>5.8531746031746032E-2</v>
      </c>
      <c r="C451">
        <v>2.2189999999999999</v>
      </c>
      <c r="D451">
        <v>6.5000000000000002E-2</v>
      </c>
      <c r="E451">
        <f t="shared" si="72"/>
        <v>1.3880095620326676</v>
      </c>
      <c r="F451">
        <f t="shared" si="73"/>
        <v>-8.256706671655234E-2</v>
      </c>
      <c r="G451">
        <f t="shared" si="76"/>
        <v>0</v>
      </c>
      <c r="H451">
        <f>IF(MOD(COUNTA($C$7:C451)-1,$J$2),H450,ROUND(F451*P451,-2))</f>
        <v>-800</v>
      </c>
      <c r="I451">
        <f t="shared" si="77"/>
        <v>0</v>
      </c>
      <c r="J451">
        <f t="shared" si="78"/>
        <v>0</v>
      </c>
      <c r="K451">
        <f t="shared" si="79"/>
        <v>2032.3478785978689</v>
      </c>
      <c r="L451">
        <f t="shared" si="80"/>
        <v>257.14787859786907</v>
      </c>
      <c r="M451">
        <f t="shared" si="81"/>
        <v>0</v>
      </c>
      <c r="N451">
        <f t="shared" si="83"/>
        <v>257.14787859786907</v>
      </c>
      <c r="O451" s="5">
        <f t="shared" si="74"/>
        <v>1.232292854861064E-2</v>
      </c>
      <c r="P451">
        <f t="shared" si="82"/>
        <v>10000</v>
      </c>
      <c r="Q451">
        <f t="shared" si="75"/>
        <v>123.22928548610641</v>
      </c>
    </row>
    <row r="452" spans="1:17" x14ac:dyDescent="0.15">
      <c r="A452" s="10">
        <v>45885.444444444962</v>
      </c>
      <c r="B452">
        <f>COUNT(A452:$A$1158)/(48*252)</f>
        <v>5.8449074074074077E-2</v>
      </c>
      <c r="C452">
        <v>2.2149999999999999</v>
      </c>
      <c r="D452">
        <v>6.3E-2</v>
      </c>
      <c r="E452">
        <f t="shared" si="72"/>
        <v>1.3759117021857947</v>
      </c>
      <c r="F452">
        <f t="shared" si="73"/>
        <v>-8.4424485894501133E-2</v>
      </c>
      <c r="G452">
        <f t="shared" si="76"/>
        <v>-4.0000000000000036E-3</v>
      </c>
      <c r="H452">
        <f>IF(MOD(COUNTA($C$7:C452)-1,$J$2),H451,ROUND(F452*P452,-2))</f>
        <v>-800</v>
      </c>
      <c r="I452">
        <f t="shared" si="77"/>
        <v>0</v>
      </c>
      <c r="J452">
        <f t="shared" si="78"/>
        <v>0</v>
      </c>
      <c r="K452">
        <f t="shared" si="79"/>
        <v>2032.3478785978689</v>
      </c>
      <c r="L452">
        <f t="shared" si="80"/>
        <v>260.34787859786888</v>
      </c>
      <c r="M452">
        <f t="shared" si="81"/>
        <v>3.1999999999998181</v>
      </c>
      <c r="N452">
        <f t="shared" si="83"/>
        <v>260.34787859786888</v>
      </c>
      <c r="O452" s="5">
        <f t="shared" si="74"/>
        <v>1.2623896257425882E-2</v>
      </c>
      <c r="P452">
        <f t="shared" si="82"/>
        <v>10000</v>
      </c>
      <c r="Q452">
        <f t="shared" si="75"/>
        <v>126.23896257425882</v>
      </c>
    </row>
    <row r="453" spans="1:17" x14ac:dyDescent="0.15">
      <c r="A453" s="10">
        <v>45885.447916666977</v>
      </c>
      <c r="B453">
        <f>COUNT(A453:$A$1158)/(48*252)</f>
        <v>5.8366402116402115E-2</v>
      </c>
      <c r="C453">
        <v>2.2170000000000001</v>
      </c>
      <c r="D453">
        <v>6.4000000000000001E-2</v>
      </c>
      <c r="E453">
        <f t="shared" si="72"/>
        <v>1.3832584179502001</v>
      </c>
      <c r="F453">
        <f t="shared" si="73"/>
        <v>-8.3292821564264874E-2</v>
      </c>
      <c r="G453">
        <f t="shared" si="76"/>
        <v>2.0000000000002238E-3</v>
      </c>
      <c r="H453">
        <f>IF(MOD(COUNTA($C$7:C453)-1,$J$2),H452,ROUND(F453*P453,-2))</f>
        <v>-800</v>
      </c>
      <c r="I453">
        <f t="shared" si="77"/>
        <v>0</v>
      </c>
      <c r="J453">
        <f t="shared" si="78"/>
        <v>0</v>
      </c>
      <c r="K453">
        <f t="shared" si="79"/>
        <v>2032.3478785978689</v>
      </c>
      <c r="L453">
        <f t="shared" si="80"/>
        <v>258.74787859786875</v>
      </c>
      <c r="M453">
        <f t="shared" si="81"/>
        <v>-1.6000000000001364</v>
      </c>
      <c r="N453">
        <f t="shared" si="83"/>
        <v>258.74787859786875</v>
      </c>
      <c r="O453" s="5">
        <f t="shared" si="74"/>
        <v>1.2423060929820429E-2</v>
      </c>
      <c r="P453">
        <f t="shared" si="82"/>
        <v>10000</v>
      </c>
      <c r="Q453">
        <f t="shared" si="75"/>
        <v>124.23060929820429</v>
      </c>
    </row>
    <row r="454" spans="1:17" x14ac:dyDescent="0.15">
      <c r="A454" s="10">
        <v>45885.451388888992</v>
      </c>
      <c r="B454">
        <f>COUNT(A454:$A$1158)/(48*252)</f>
        <v>5.828373015873016E-2</v>
      </c>
      <c r="C454">
        <v>2.2189999999999999</v>
      </c>
      <c r="D454">
        <v>6.4000000000000001E-2</v>
      </c>
      <c r="E454">
        <f t="shared" si="72"/>
        <v>1.390610386174667</v>
      </c>
      <c r="F454">
        <f t="shared" si="73"/>
        <v>-8.2171802565449426E-2</v>
      </c>
      <c r="G454">
        <f t="shared" si="76"/>
        <v>1.9999999999997797E-3</v>
      </c>
      <c r="H454">
        <f>IF(MOD(COUNTA($C$7:C454)-1,$J$2),H453,ROUND(F454*P454,-2))</f>
        <v>-800</v>
      </c>
      <c r="I454">
        <f t="shared" si="77"/>
        <v>0</v>
      </c>
      <c r="J454">
        <f t="shared" si="78"/>
        <v>0</v>
      </c>
      <c r="K454">
        <f t="shared" si="79"/>
        <v>2032.3478785978689</v>
      </c>
      <c r="L454">
        <f t="shared" si="80"/>
        <v>257.14787859786907</v>
      </c>
      <c r="M454">
        <f t="shared" si="81"/>
        <v>-1.5999999999996817</v>
      </c>
      <c r="N454">
        <f t="shared" si="83"/>
        <v>257.14787859786907</v>
      </c>
      <c r="O454" s="5">
        <f t="shared" si="74"/>
        <v>1.2224758348671955E-2</v>
      </c>
      <c r="P454">
        <f t="shared" si="82"/>
        <v>10000</v>
      </c>
      <c r="Q454">
        <f t="shared" si="75"/>
        <v>122.24758348671955</v>
      </c>
    </row>
    <row r="455" spans="1:17" x14ac:dyDescent="0.15">
      <c r="A455" s="10">
        <v>45885.454861111008</v>
      </c>
      <c r="B455">
        <f>COUNT(A455:$A$1158)/(48*252)</f>
        <v>5.8201058201058198E-2</v>
      </c>
      <c r="C455">
        <v>2.2200000000000002</v>
      </c>
      <c r="D455">
        <v>6.5000000000000002E-2</v>
      </c>
      <c r="E455">
        <f t="shared" si="72"/>
        <v>1.3947251434993873</v>
      </c>
      <c r="F455">
        <f t="shared" si="73"/>
        <v>-8.1549369861726673E-2</v>
      </c>
      <c r="G455">
        <f t="shared" si="76"/>
        <v>1.000000000000334E-3</v>
      </c>
      <c r="H455">
        <f>IF(MOD(COUNTA($C$7:C455)-1,$J$2),H454,ROUND(F455*P455,-2))</f>
        <v>-800</v>
      </c>
      <c r="I455">
        <f t="shared" si="77"/>
        <v>0</v>
      </c>
      <c r="J455">
        <f t="shared" si="78"/>
        <v>0</v>
      </c>
      <c r="K455">
        <f t="shared" si="79"/>
        <v>2032.3478785978689</v>
      </c>
      <c r="L455">
        <f t="shared" si="80"/>
        <v>256.34787859786866</v>
      </c>
      <c r="M455">
        <f t="shared" si="81"/>
        <v>-0.80000000000040927</v>
      </c>
      <c r="N455">
        <f t="shared" si="83"/>
        <v>256.34787859786866</v>
      </c>
      <c r="O455" s="5">
        <f t="shared" si="74"/>
        <v>1.2110272073665884E-2</v>
      </c>
      <c r="P455">
        <f t="shared" si="82"/>
        <v>10000</v>
      </c>
      <c r="Q455">
        <f t="shared" si="75"/>
        <v>121.10272073665884</v>
      </c>
    </row>
    <row r="456" spans="1:17" x14ac:dyDescent="0.15">
      <c r="A456" s="10">
        <v>45885.458333333023</v>
      </c>
      <c r="B456">
        <f>COUNT(A456:$A$1158)/(48*252)</f>
        <v>5.8118386243386243E-2</v>
      </c>
      <c r="C456">
        <v>2.2229999999999999</v>
      </c>
      <c r="D456">
        <v>6.5000000000000002E-2</v>
      </c>
      <c r="E456">
        <f t="shared" ref="E456:E519" si="84">(LN(C456/$B$2)+($B$1+0.5*$D$1*$D$1)*B456)/($D$1*SQRT(B456))</f>
        <v>1.405330217364833</v>
      </c>
      <c r="F456">
        <f t="shared" ref="F456:F519" si="85">NORMSDIST(E456)-1</f>
        <v>-7.9961553418911868E-2</v>
      </c>
      <c r="G456">
        <f t="shared" si="76"/>
        <v>2.9999999999996696E-3</v>
      </c>
      <c r="H456">
        <f>IF(MOD(COUNTA($C$7:C456)-1,$J$2),H455,ROUND(F456*P456,-2))</f>
        <v>-800</v>
      </c>
      <c r="I456">
        <f t="shared" si="77"/>
        <v>0</v>
      </c>
      <c r="J456">
        <f t="shared" si="78"/>
        <v>0</v>
      </c>
      <c r="K456">
        <f t="shared" si="79"/>
        <v>2032.3478785978689</v>
      </c>
      <c r="L456">
        <f t="shared" si="80"/>
        <v>253.94787859786902</v>
      </c>
      <c r="M456">
        <f t="shared" si="81"/>
        <v>-2.3999999999996362</v>
      </c>
      <c r="N456">
        <f t="shared" si="83"/>
        <v>253.94787859786902</v>
      </c>
      <c r="O456" s="5">
        <f t="shared" ref="O456:O519" si="86">put_bs($B$1,$J$1,C456,$B$2,B456)</f>
        <v>1.183566499773811E-2</v>
      </c>
      <c r="P456">
        <f t="shared" si="82"/>
        <v>10000</v>
      </c>
      <c r="Q456">
        <f t="shared" ref="Q456:Q519" si="87">P456*O456</f>
        <v>118.3566499773811</v>
      </c>
    </row>
    <row r="457" spans="1:17" x14ac:dyDescent="0.15">
      <c r="A457" s="10">
        <v>45885.461805555969</v>
      </c>
      <c r="B457">
        <f>COUNT(A457:$A$1158)/(48*252)</f>
        <v>5.8035714285714288E-2</v>
      </c>
      <c r="C457">
        <v>2.226</v>
      </c>
      <c r="D457">
        <v>6.7000000000000004E-2</v>
      </c>
      <c r="E457">
        <f t="shared" si="84"/>
        <v>1.4159379673985941</v>
      </c>
      <c r="F457">
        <f t="shared" si="85"/>
        <v>-7.8396833713788916E-2</v>
      </c>
      <c r="G457">
        <f t="shared" ref="G457:G520" si="88">C457-C456</f>
        <v>3.0000000000001137E-3</v>
      </c>
      <c r="H457">
        <f>IF(MOD(COUNTA($C$7:C457)-1,$J$2),H456,ROUND(F457*P457,-2))</f>
        <v>-800</v>
      </c>
      <c r="I457">
        <f t="shared" ref="I457:I520" si="89">H457-H456</f>
        <v>0</v>
      </c>
      <c r="J457">
        <f t="shared" ref="J457:J520" si="90">J456</f>
        <v>0</v>
      </c>
      <c r="K457">
        <f t="shared" ref="K457:K520" si="91">K456-I457*C457-ABS(I457*C457*$F$2)</f>
        <v>2032.3478785978689</v>
      </c>
      <c r="L457">
        <f t="shared" ref="L457:L520" si="92">K457+H457*C457</f>
        <v>251.54787859786893</v>
      </c>
      <c r="M457">
        <f t="shared" ref="M457:M520" si="93">L457-L456</f>
        <v>-2.4000000000000909</v>
      </c>
      <c r="N457">
        <f t="shared" si="83"/>
        <v>251.54787859786893</v>
      </c>
      <c r="O457" s="5">
        <f t="shared" si="86"/>
        <v>1.1566196793569461E-2</v>
      </c>
      <c r="P457">
        <f t="shared" ref="P457:P520" si="94">P456</f>
        <v>10000</v>
      </c>
      <c r="Q457">
        <f t="shared" si="87"/>
        <v>115.66196793569461</v>
      </c>
    </row>
    <row r="458" spans="1:17" x14ac:dyDescent="0.15">
      <c r="A458" s="10">
        <v>45885.465277777985</v>
      </c>
      <c r="B458">
        <f>COUNT(A458:$A$1158)/(48*252)</f>
        <v>5.7953042328042326E-2</v>
      </c>
      <c r="C458">
        <v>2.222</v>
      </c>
      <c r="D458">
        <v>6.5000000000000002E-2</v>
      </c>
      <c r="E458">
        <f t="shared" si="84"/>
        <v>1.4038535372610756</v>
      </c>
      <c r="F458">
        <f t="shared" si="85"/>
        <v>-8.0181233883799718E-2</v>
      </c>
      <c r="G458">
        <f t="shared" si="88"/>
        <v>-4.0000000000000036E-3</v>
      </c>
      <c r="H458">
        <f>IF(MOD(COUNTA($C$7:C458)-1,$J$2),H457,ROUND(F458*P458,-2))</f>
        <v>-800</v>
      </c>
      <c r="I458">
        <f t="shared" si="89"/>
        <v>0</v>
      </c>
      <c r="J458">
        <f t="shared" si="90"/>
        <v>0</v>
      </c>
      <c r="K458">
        <f t="shared" si="91"/>
        <v>2032.3478785978689</v>
      </c>
      <c r="L458">
        <f t="shared" si="92"/>
        <v>254.74787859786898</v>
      </c>
      <c r="M458">
        <f t="shared" si="93"/>
        <v>3.2000000000000455</v>
      </c>
      <c r="N458">
        <f t="shared" ref="N458:N521" si="95">L458-$F$1</f>
        <v>254.74787859786898</v>
      </c>
      <c r="O458" s="5">
        <f t="shared" si="86"/>
        <v>1.1851355495799354E-2</v>
      </c>
      <c r="P458">
        <f t="shared" si="94"/>
        <v>10000</v>
      </c>
      <c r="Q458">
        <f t="shared" si="87"/>
        <v>118.51355495799353</v>
      </c>
    </row>
    <row r="459" spans="1:17" x14ac:dyDescent="0.15">
      <c r="A459" s="10">
        <v>45885.46875</v>
      </c>
      <c r="B459">
        <f>COUNT(A459:$A$1158)/(48*252)</f>
        <v>5.7870370370370371E-2</v>
      </c>
      <c r="C459">
        <v>2.2210000000000001</v>
      </c>
      <c r="D459">
        <v>6.6000000000000003E-2</v>
      </c>
      <c r="E459">
        <f t="shared" si="84"/>
        <v>1.4014888143431925</v>
      </c>
      <c r="F459">
        <f t="shared" si="85"/>
        <v>-8.0533975073052488E-2</v>
      </c>
      <c r="G459">
        <f t="shared" si="88"/>
        <v>-9.9999999999988987E-4</v>
      </c>
      <c r="H459">
        <f>IF(MOD(COUNTA($C$7:C459)-1,$J$2),H458,ROUND(F459*P459,-2))</f>
        <v>-800</v>
      </c>
      <c r="I459">
        <f t="shared" si="89"/>
        <v>0</v>
      </c>
      <c r="J459">
        <f t="shared" si="90"/>
        <v>0</v>
      </c>
      <c r="K459">
        <f t="shared" si="91"/>
        <v>2032.3478785978689</v>
      </c>
      <c r="L459">
        <f t="shared" si="92"/>
        <v>255.5478785978687</v>
      </c>
      <c r="M459">
        <f t="shared" si="93"/>
        <v>0.79999999999972715</v>
      </c>
      <c r="N459">
        <f t="shared" si="95"/>
        <v>255.5478785978687</v>
      </c>
      <c r="O459" s="5">
        <f t="shared" si="86"/>
        <v>1.1899415540548797E-2</v>
      </c>
      <c r="P459">
        <f t="shared" si="94"/>
        <v>10000</v>
      </c>
      <c r="Q459">
        <f t="shared" si="87"/>
        <v>118.99415540548797</v>
      </c>
    </row>
    <row r="460" spans="1:17" x14ac:dyDescent="0.15">
      <c r="A460" s="10">
        <v>45885.472222222015</v>
      </c>
      <c r="B460">
        <f>COUNT(A460:$A$1158)/(48*252)</f>
        <v>5.7787698412698416E-2</v>
      </c>
      <c r="C460">
        <v>2.226</v>
      </c>
      <c r="D460">
        <v>6.7000000000000004E-2</v>
      </c>
      <c r="E460">
        <f t="shared" si="84"/>
        <v>1.4186224593024301</v>
      </c>
      <c r="F460">
        <f t="shared" si="85"/>
        <v>-7.8004557224076287E-2</v>
      </c>
      <c r="G460">
        <f t="shared" si="88"/>
        <v>4.9999999999998934E-3</v>
      </c>
      <c r="H460">
        <f>IF(MOD(COUNTA($C$7:C460)-1,$J$2),H459,ROUND(F460*P460,-2))</f>
        <v>-800</v>
      </c>
      <c r="I460">
        <f t="shared" si="89"/>
        <v>0</v>
      </c>
      <c r="J460">
        <f t="shared" si="90"/>
        <v>0</v>
      </c>
      <c r="K460">
        <f t="shared" si="91"/>
        <v>2032.3478785978689</v>
      </c>
      <c r="L460">
        <f t="shared" si="92"/>
        <v>251.54787859786893</v>
      </c>
      <c r="M460">
        <f t="shared" si="93"/>
        <v>-3.9999999999997726</v>
      </c>
      <c r="N460">
        <f t="shared" si="95"/>
        <v>251.54787859786893</v>
      </c>
      <c r="O460" s="5">
        <f t="shared" si="86"/>
        <v>1.1471077848752814E-2</v>
      </c>
      <c r="P460">
        <f t="shared" si="94"/>
        <v>10000</v>
      </c>
      <c r="Q460">
        <f t="shared" si="87"/>
        <v>114.71077848752815</v>
      </c>
    </row>
    <row r="461" spans="1:17" x14ac:dyDescent="0.15">
      <c r="A461" s="10">
        <v>45885.475694444962</v>
      </c>
      <c r="B461">
        <f>COUNT(A461:$A$1158)/(48*252)</f>
        <v>5.7705026455026454E-2</v>
      </c>
      <c r="C461">
        <v>2.2229999999999999</v>
      </c>
      <c r="D461">
        <v>6.7000000000000004E-2</v>
      </c>
      <c r="E461">
        <f t="shared" si="84"/>
        <v>1.40976965395297</v>
      </c>
      <c r="F461">
        <f t="shared" si="85"/>
        <v>-7.9303854922174843E-2</v>
      </c>
      <c r="G461">
        <f t="shared" si="88"/>
        <v>-3.0000000000001137E-3</v>
      </c>
      <c r="H461">
        <f>IF(MOD(COUNTA($C$7:C461)-1,$J$2),H460,ROUND(F461*P461,-2))</f>
        <v>-800</v>
      </c>
      <c r="I461">
        <f t="shared" si="89"/>
        <v>0</v>
      </c>
      <c r="J461">
        <f t="shared" si="90"/>
        <v>0</v>
      </c>
      <c r="K461">
        <f t="shared" si="91"/>
        <v>2032.3478785978689</v>
      </c>
      <c r="L461">
        <f t="shared" si="92"/>
        <v>253.94787859786902</v>
      </c>
      <c r="M461">
        <f t="shared" si="93"/>
        <v>2.4000000000000909</v>
      </c>
      <c r="N461">
        <f t="shared" si="95"/>
        <v>253.94787859786902</v>
      </c>
      <c r="O461" s="5">
        <f t="shared" si="86"/>
        <v>1.1675166410784976E-2</v>
      </c>
      <c r="P461">
        <f t="shared" si="94"/>
        <v>10000</v>
      </c>
      <c r="Q461">
        <f t="shared" si="87"/>
        <v>116.75166410784976</v>
      </c>
    </row>
    <row r="462" spans="1:17" x14ac:dyDescent="0.15">
      <c r="A462" s="10">
        <v>45885.479166666977</v>
      </c>
      <c r="B462">
        <f>COUNT(A462:$A$1158)/(48*252)</f>
        <v>5.7622354497354498E-2</v>
      </c>
      <c r="C462">
        <v>2.2240000000000002</v>
      </c>
      <c r="D462">
        <v>6.6000000000000003E-2</v>
      </c>
      <c r="E462">
        <f t="shared" si="84"/>
        <v>1.4139178627400126</v>
      </c>
      <c r="F462">
        <f t="shared" si="85"/>
        <v>-7.8693010265496244E-2</v>
      </c>
      <c r="G462">
        <f t="shared" si="88"/>
        <v>1.000000000000334E-3</v>
      </c>
      <c r="H462">
        <f>IF(MOD(COUNTA($C$7:C462)-1,$J$2),H461,ROUND(F462*P462,-2))</f>
        <v>-800</v>
      </c>
      <c r="I462">
        <f t="shared" si="89"/>
        <v>0</v>
      </c>
      <c r="J462">
        <f t="shared" si="90"/>
        <v>0</v>
      </c>
      <c r="K462">
        <f t="shared" si="91"/>
        <v>2032.3478785978689</v>
      </c>
      <c r="L462">
        <f t="shared" si="92"/>
        <v>253.14787859786861</v>
      </c>
      <c r="M462">
        <f t="shared" si="93"/>
        <v>-0.80000000000040927</v>
      </c>
      <c r="N462">
        <f t="shared" si="95"/>
        <v>253.14787859786861</v>
      </c>
      <c r="O462" s="5">
        <f t="shared" si="86"/>
        <v>1.1564184635185243E-2</v>
      </c>
      <c r="P462">
        <f t="shared" si="94"/>
        <v>10000</v>
      </c>
      <c r="Q462">
        <f t="shared" si="87"/>
        <v>115.64184635185242</v>
      </c>
    </row>
    <row r="463" spans="1:17" x14ac:dyDescent="0.15">
      <c r="A463" s="10">
        <v>45885.545138888992</v>
      </c>
      <c r="B463">
        <f>COUNT(A463:$A$1158)/(48*252)</f>
        <v>5.7539682539682536E-2</v>
      </c>
      <c r="C463">
        <v>2.222</v>
      </c>
      <c r="D463">
        <v>6.5000000000000002E-2</v>
      </c>
      <c r="E463">
        <f t="shared" si="84"/>
        <v>1.4083012515034299</v>
      </c>
      <c r="F463">
        <f t="shared" si="85"/>
        <v>-7.9520942622659296E-2</v>
      </c>
      <c r="G463">
        <f t="shared" si="88"/>
        <v>-2.0000000000002238E-3</v>
      </c>
      <c r="H463">
        <f>IF(MOD(COUNTA($C$7:C463)-1,$J$2),H462,ROUND(F463*P463,-2))</f>
        <v>-800</v>
      </c>
      <c r="I463">
        <f t="shared" si="89"/>
        <v>0</v>
      </c>
      <c r="J463">
        <f t="shared" si="90"/>
        <v>0</v>
      </c>
      <c r="K463">
        <f t="shared" si="91"/>
        <v>2032.3478785978689</v>
      </c>
      <c r="L463">
        <f t="shared" si="92"/>
        <v>254.74787859786898</v>
      </c>
      <c r="M463">
        <f t="shared" si="93"/>
        <v>1.6000000000003638</v>
      </c>
      <c r="N463">
        <f t="shared" si="95"/>
        <v>254.74787859786898</v>
      </c>
      <c r="O463" s="5">
        <f t="shared" si="86"/>
        <v>1.1690364504952006E-2</v>
      </c>
      <c r="P463">
        <f t="shared" si="94"/>
        <v>10000</v>
      </c>
      <c r="Q463">
        <f t="shared" si="87"/>
        <v>116.90364504952005</v>
      </c>
    </row>
    <row r="464" spans="1:17" x14ac:dyDescent="0.15">
      <c r="A464" s="10">
        <v>45885.548611111008</v>
      </c>
      <c r="B464">
        <f>COUNT(A464:$A$1158)/(48*252)</f>
        <v>5.7457010582010581E-2</v>
      </c>
      <c r="C464">
        <v>2.2210000000000001</v>
      </c>
      <c r="D464">
        <v>6.5000000000000002E-2</v>
      </c>
      <c r="E464">
        <f t="shared" si="84"/>
        <v>1.405934845883194</v>
      </c>
      <c r="F464">
        <f t="shared" si="85"/>
        <v>-7.9871736413710037E-2</v>
      </c>
      <c r="G464">
        <f t="shared" si="88"/>
        <v>-9.9999999999988987E-4</v>
      </c>
      <c r="H464">
        <f>IF(MOD(COUNTA($C$7:C464)-1,$J$2),H463,ROUND(F464*P464,-2))</f>
        <v>-800</v>
      </c>
      <c r="I464">
        <f t="shared" si="89"/>
        <v>0</v>
      </c>
      <c r="J464">
        <f t="shared" si="90"/>
        <v>0</v>
      </c>
      <c r="K464">
        <f t="shared" si="91"/>
        <v>2032.3478785978689</v>
      </c>
      <c r="L464">
        <f t="shared" si="92"/>
        <v>255.5478785978687</v>
      </c>
      <c r="M464">
        <f t="shared" si="93"/>
        <v>0.79999999999972715</v>
      </c>
      <c r="N464">
        <f t="shared" si="95"/>
        <v>255.5478785978687</v>
      </c>
      <c r="O464" s="5">
        <f t="shared" si="86"/>
        <v>1.1737846479530828E-2</v>
      </c>
      <c r="P464">
        <f t="shared" si="94"/>
        <v>10000</v>
      </c>
      <c r="Q464">
        <f t="shared" si="87"/>
        <v>117.37846479530828</v>
      </c>
    </row>
    <row r="465" spans="1:17" x14ac:dyDescent="0.15">
      <c r="A465" s="10">
        <v>45885.552083333023</v>
      </c>
      <c r="B465">
        <f>COUNT(A465:$A$1158)/(48*252)</f>
        <v>5.7374338624338626E-2</v>
      </c>
      <c r="C465">
        <v>2.2170000000000001</v>
      </c>
      <c r="D465">
        <v>6.5000000000000002E-2</v>
      </c>
      <c r="E465">
        <f t="shared" si="84"/>
        <v>1.3937581321594896</v>
      </c>
      <c r="F465">
        <f t="shared" si="85"/>
        <v>-8.1695327561699171E-2</v>
      </c>
      <c r="G465">
        <f t="shared" si="88"/>
        <v>-4.0000000000000036E-3</v>
      </c>
      <c r="H465">
        <f>IF(MOD(COUNTA($C$7:C465)-1,$J$2),H464,ROUND(F465*P465,-2))</f>
        <v>-800</v>
      </c>
      <c r="I465">
        <f t="shared" si="89"/>
        <v>0</v>
      </c>
      <c r="J465">
        <f t="shared" si="90"/>
        <v>0</v>
      </c>
      <c r="K465">
        <f t="shared" si="91"/>
        <v>2032.3478785978689</v>
      </c>
      <c r="L465">
        <f t="shared" si="92"/>
        <v>258.74787859786875</v>
      </c>
      <c r="M465">
        <f t="shared" si="93"/>
        <v>3.2000000000000455</v>
      </c>
      <c r="N465">
        <f t="shared" si="95"/>
        <v>258.74787859786875</v>
      </c>
      <c r="O465" s="5">
        <f t="shared" si="86"/>
        <v>1.2028438085017412E-2</v>
      </c>
      <c r="P465">
        <f t="shared" si="94"/>
        <v>10000</v>
      </c>
      <c r="Q465">
        <f t="shared" si="87"/>
        <v>120.28438085017412</v>
      </c>
    </row>
    <row r="466" spans="1:17" x14ac:dyDescent="0.15">
      <c r="A466" s="10">
        <v>45885.555555555969</v>
      </c>
      <c r="B466">
        <f>COUNT(A466:$A$1158)/(48*252)</f>
        <v>5.7291666666666664E-2</v>
      </c>
      <c r="C466">
        <v>2.2170000000000001</v>
      </c>
      <c r="D466">
        <v>6.3E-2</v>
      </c>
      <c r="E466">
        <f t="shared" si="84"/>
        <v>1.3946459459831071</v>
      </c>
      <c r="F466">
        <f t="shared" si="85"/>
        <v>-8.1561316292108277E-2</v>
      </c>
      <c r="G466">
        <f t="shared" si="88"/>
        <v>0</v>
      </c>
      <c r="H466">
        <f>IF(MOD(COUNTA($C$7:C466)-1,$J$2),H465,ROUND(F466*P466,-2))</f>
        <v>-800</v>
      </c>
      <c r="I466">
        <f t="shared" si="89"/>
        <v>0</v>
      </c>
      <c r="J466">
        <f t="shared" si="90"/>
        <v>0</v>
      </c>
      <c r="K466">
        <f t="shared" si="91"/>
        <v>2032.3478785978689</v>
      </c>
      <c r="L466">
        <f t="shared" si="92"/>
        <v>258.74787859786875</v>
      </c>
      <c r="M466">
        <f t="shared" si="93"/>
        <v>0</v>
      </c>
      <c r="N466">
        <f t="shared" si="95"/>
        <v>258.74787859786875</v>
      </c>
      <c r="O466" s="5">
        <f t="shared" si="86"/>
        <v>1.1995657250054997E-2</v>
      </c>
      <c r="P466">
        <f t="shared" si="94"/>
        <v>10000</v>
      </c>
      <c r="Q466">
        <f t="shared" si="87"/>
        <v>119.95657250054997</v>
      </c>
    </row>
    <row r="467" spans="1:17" x14ac:dyDescent="0.15">
      <c r="A467" s="10">
        <v>45885.559027777985</v>
      </c>
      <c r="B467">
        <f>COUNT(A467:$A$1158)/(48*252)</f>
        <v>5.7208994708994709E-2</v>
      </c>
      <c r="C467">
        <v>2.2109999999999999</v>
      </c>
      <c r="D467">
        <v>6.2E-2</v>
      </c>
      <c r="E467">
        <f t="shared" si="84"/>
        <v>1.3758552005406579</v>
      </c>
      <c r="F467">
        <f t="shared" si="85"/>
        <v>-8.4433233706276201E-2</v>
      </c>
      <c r="G467">
        <f t="shared" si="88"/>
        <v>-6.0000000000002274E-3</v>
      </c>
      <c r="H467">
        <f>IF(MOD(COUNTA($C$7:C467)-1,$J$2),H466,ROUND(F467*P467,-2))</f>
        <v>-800</v>
      </c>
      <c r="I467">
        <f t="shared" si="89"/>
        <v>0</v>
      </c>
      <c r="J467">
        <f t="shared" si="90"/>
        <v>0</v>
      </c>
      <c r="K467">
        <f t="shared" si="91"/>
        <v>2032.3478785978689</v>
      </c>
      <c r="L467">
        <f t="shared" si="92"/>
        <v>263.54787859786893</v>
      </c>
      <c r="M467">
        <f t="shared" si="93"/>
        <v>4.8000000000001819</v>
      </c>
      <c r="N467">
        <f t="shared" si="95"/>
        <v>263.54787859786893</v>
      </c>
      <c r="O467" s="5">
        <f t="shared" si="86"/>
        <v>1.2460428967336623E-2</v>
      </c>
      <c r="P467">
        <f t="shared" si="94"/>
        <v>10000</v>
      </c>
      <c r="Q467">
        <f t="shared" si="87"/>
        <v>124.60428967336622</v>
      </c>
    </row>
    <row r="468" spans="1:17" x14ac:dyDescent="0.15">
      <c r="A468" s="10">
        <v>45885.5625</v>
      </c>
      <c r="B468">
        <f>COUNT(A468:$A$1158)/(48*252)</f>
        <v>5.7126322751322754E-2</v>
      </c>
      <c r="C468">
        <v>2.2120000000000002</v>
      </c>
      <c r="D468">
        <v>6.3E-2</v>
      </c>
      <c r="E468">
        <f t="shared" si="84"/>
        <v>1.3800189792790518</v>
      </c>
      <c r="F468">
        <f t="shared" si="85"/>
        <v>-8.3790400625783468E-2</v>
      </c>
      <c r="G468">
        <f t="shared" si="88"/>
        <v>1.000000000000334E-3</v>
      </c>
      <c r="H468">
        <f>IF(MOD(COUNTA($C$7:C468)-1,$J$2),H467,ROUND(F468*P468,-2))</f>
        <v>-800</v>
      </c>
      <c r="I468">
        <f t="shared" si="89"/>
        <v>0</v>
      </c>
      <c r="J468">
        <f t="shared" si="90"/>
        <v>0</v>
      </c>
      <c r="K468">
        <f t="shared" si="91"/>
        <v>2032.3478785978689</v>
      </c>
      <c r="L468">
        <f t="shared" si="92"/>
        <v>262.74787859786875</v>
      </c>
      <c r="M468">
        <f t="shared" si="93"/>
        <v>-0.8000000000001819</v>
      </c>
      <c r="N468">
        <f t="shared" si="95"/>
        <v>262.74787859786875</v>
      </c>
      <c r="O468" s="5">
        <f t="shared" si="86"/>
        <v>1.2342827036438492E-2</v>
      </c>
      <c r="P468">
        <f t="shared" si="94"/>
        <v>10000</v>
      </c>
      <c r="Q468">
        <f t="shared" si="87"/>
        <v>123.42827036438491</v>
      </c>
    </row>
    <row r="469" spans="1:17" x14ac:dyDescent="0.15">
      <c r="A469" s="10">
        <v>45885.565972222015</v>
      </c>
      <c r="B469">
        <f>COUNT(A469:$A$1158)/(48*252)</f>
        <v>5.7043650793650792E-2</v>
      </c>
      <c r="C469">
        <v>2.2130000000000001</v>
      </c>
      <c r="D469">
        <v>6.2E-2</v>
      </c>
      <c r="E469">
        <f t="shared" si="84"/>
        <v>1.384188024835348</v>
      </c>
      <c r="F469">
        <f t="shared" si="85"/>
        <v>-8.3150444586108097E-2</v>
      </c>
      <c r="G469">
        <f t="shared" si="88"/>
        <v>9.9999999999988987E-4</v>
      </c>
      <c r="H469">
        <f>IF(MOD(COUNTA($C$7:C469)-1,$J$2),H468,ROUND(F469*P469,-2))</f>
        <v>-800</v>
      </c>
      <c r="I469">
        <f t="shared" si="89"/>
        <v>0</v>
      </c>
      <c r="J469">
        <f t="shared" si="90"/>
        <v>0</v>
      </c>
      <c r="K469">
        <f t="shared" si="91"/>
        <v>2032.3478785978689</v>
      </c>
      <c r="L469">
        <f t="shared" si="92"/>
        <v>261.94787859786879</v>
      </c>
      <c r="M469">
        <f t="shared" si="93"/>
        <v>-0.79999999999995453</v>
      </c>
      <c r="N469">
        <f t="shared" si="95"/>
        <v>261.94787859786879</v>
      </c>
      <c r="O469" s="5">
        <f t="shared" si="86"/>
        <v>1.2226017981114612E-2</v>
      </c>
      <c r="P469">
        <f t="shared" si="94"/>
        <v>10000</v>
      </c>
      <c r="Q469">
        <f t="shared" si="87"/>
        <v>122.26017981114612</v>
      </c>
    </row>
    <row r="470" spans="1:17" x14ac:dyDescent="0.15">
      <c r="A470" s="10">
        <v>45885.569444444962</v>
      </c>
      <c r="B470">
        <f>COUNT(A470:$A$1158)/(48*252)</f>
        <v>5.6960978835978837E-2</v>
      </c>
      <c r="C470">
        <v>2.214</v>
      </c>
      <c r="D470">
        <v>6.3E-2</v>
      </c>
      <c r="E470">
        <f t="shared" si="84"/>
        <v>1.3883623581484019</v>
      </c>
      <c r="F470">
        <f t="shared" si="85"/>
        <v>-8.251336625180683E-2</v>
      </c>
      <c r="G470">
        <f t="shared" si="88"/>
        <v>9.9999999999988987E-4</v>
      </c>
      <c r="H470">
        <f>IF(MOD(COUNTA($C$7:C470)-1,$J$2),H469,ROUND(F470*P470,-2))</f>
        <v>-800</v>
      </c>
      <c r="I470">
        <f t="shared" si="89"/>
        <v>0</v>
      </c>
      <c r="J470">
        <f t="shared" si="90"/>
        <v>0</v>
      </c>
      <c r="K470">
        <f t="shared" si="91"/>
        <v>2032.3478785978689</v>
      </c>
      <c r="L470">
        <f t="shared" si="92"/>
        <v>261.14787859786884</v>
      </c>
      <c r="M470">
        <f t="shared" si="93"/>
        <v>-0.79999999999995453</v>
      </c>
      <c r="N470">
        <f t="shared" si="95"/>
        <v>261.14787859786884</v>
      </c>
      <c r="O470" s="5">
        <f t="shared" si="86"/>
        <v>1.2109999033253965E-2</v>
      </c>
      <c r="P470">
        <f t="shared" si="94"/>
        <v>10000</v>
      </c>
      <c r="Q470">
        <f t="shared" si="87"/>
        <v>121.09999033253965</v>
      </c>
    </row>
    <row r="471" spans="1:17" x14ac:dyDescent="0.15">
      <c r="A471" s="10">
        <v>45885.572916666977</v>
      </c>
      <c r="B471">
        <f>COUNT(A471:$A$1158)/(48*252)</f>
        <v>5.6878306878306875E-2</v>
      </c>
      <c r="C471">
        <v>2.2130000000000001</v>
      </c>
      <c r="D471">
        <v>6.3E-2</v>
      </c>
      <c r="E471">
        <f t="shared" si="84"/>
        <v>1.3859627718790468</v>
      </c>
      <c r="F471">
        <f t="shared" si="85"/>
        <v>-8.2879135736358855E-2</v>
      </c>
      <c r="G471">
        <f t="shared" si="88"/>
        <v>-9.9999999999988987E-4</v>
      </c>
      <c r="H471">
        <f>IF(MOD(COUNTA($C$7:C471)-1,$J$2),H470,ROUND(F471*P471,-2))</f>
        <v>-800</v>
      </c>
      <c r="I471">
        <f t="shared" si="89"/>
        <v>0</v>
      </c>
      <c r="J471">
        <f t="shared" si="90"/>
        <v>0</v>
      </c>
      <c r="K471">
        <f t="shared" si="91"/>
        <v>2032.3478785978689</v>
      </c>
      <c r="L471">
        <f t="shared" si="92"/>
        <v>261.94787859786879</v>
      </c>
      <c r="M471">
        <f t="shared" si="93"/>
        <v>0.79999999999995453</v>
      </c>
      <c r="N471">
        <f t="shared" si="95"/>
        <v>261.94787859786879</v>
      </c>
      <c r="O471" s="5">
        <f t="shared" si="86"/>
        <v>1.2159524047488185E-2</v>
      </c>
      <c r="P471">
        <f t="shared" si="94"/>
        <v>10000</v>
      </c>
      <c r="Q471">
        <f t="shared" si="87"/>
        <v>121.59524047488185</v>
      </c>
    </row>
    <row r="472" spans="1:17" x14ac:dyDescent="0.15">
      <c r="A472" s="10">
        <v>45885.576388888992</v>
      </c>
      <c r="B472">
        <f>COUNT(A472:$A$1158)/(48*252)</f>
        <v>5.679563492063492E-2</v>
      </c>
      <c r="C472">
        <v>2.2120000000000002</v>
      </c>
      <c r="D472">
        <v>6.3E-2</v>
      </c>
      <c r="E472">
        <f t="shared" si="84"/>
        <v>1.3835589395906143</v>
      </c>
      <c r="F472">
        <f t="shared" si="85"/>
        <v>-8.3246774157389125E-2</v>
      </c>
      <c r="G472">
        <f t="shared" si="88"/>
        <v>-9.9999999999988987E-4</v>
      </c>
      <c r="H472">
        <f>IF(MOD(COUNTA($C$7:C472)-1,$J$2),H471,ROUND(F472*P472,-2))</f>
        <v>-800</v>
      </c>
      <c r="I472">
        <f t="shared" si="89"/>
        <v>0</v>
      </c>
      <c r="J472">
        <f t="shared" si="90"/>
        <v>0</v>
      </c>
      <c r="K472">
        <f t="shared" si="91"/>
        <v>2032.3478785978689</v>
      </c>
      <c r="L472">
        <f t="shared" si="92"/>
        <v>262.74787859786875</v>
      </c>
      <c r="M472">
        <f t="shared" si="93"/>
        <v>0.79999999999995453</v>
      </c>
      <c r="N472">
        <f t="shared" si="95"/>
        <v>262.74787859786875</v>
      </c>
      <c r="O472" s="5">
        <f t="shared" si="86"/>
        <v>1.220929619839381E-2</v>
      </c>
      <c r="P472">
        <f t="shared" si="94"/>
        <v>10000</v>
      </c>
      <c r="Q472">
        <f t="shared" si="87"/>
        <v>122.0929619839381</v>
      </c>
    </row>
    <row r="473" spans="1:17" x14ac:dyDescent="0.15">
      <c r="A473" s="10">
        <v>45885.579861111008</v>
      </c>
      <c r="B473">
        <f>COUNT(A473:$A$1158)/(48*252)</f>
        <v>5.6712962962962965E-2</v>
      </c>
      <c r="C473">
        <v>2.206</v>
      </c>
      <c r="D473">
        <v>6.2E-2</v>
      </c>
      <c r="E473">
        <f t="shared" si="84"/>
        <v>1.3646377906541003</v>
      </c>
      <c r="F473">
        <f t="shared" si="85"/>
        <v>-8.6183460479093754E-2</v>
      </c>
      <c r="G473">
        <f t="shared" si="88"/>
        <v>-6.0000000000002274E-3</v>
      </c>
      <c r="H473">
        <f>IF(MOD(COUNTA($C$7:C473)-1,$J$2),H472,ROUND(F473*P473,-2))</f>
        <v>-900</v>
      </c>
      <c r="I473">
        <f t="shared" si="89"/>
        <v>-100</v>
      </c>
      <c r="J473">
        <f t="shared" si="90"/>
        <v>0</v>
      </c>
      <c r="K473">
        <f t="shared" si="91"/>
        <v>2252.937951597869</v>
      </c>
      <c r="L473">
        <f t="shared" si="92"/>
        <v>267.5379515978691</v>
      </c>
      <c r="M473">
        <f t="shared" si="93"/>
        <v>4.7900730000003477</v>
      </c>
      <c r="N473">
        <f t="shared" si="95"/>
        <v>267.5379515978691</v>
      </c>
      <c r="O473" s="5">
        <f t="shared" si="86"/>
        <v>1.2683789607894569E-2</v>
      </c>
      <c r="P473">
        <f t="shared" si="94"/>
        <v>10000</v>
      </c>
      <c r="Q473">
        <f t="shared" si="87"/>
        <v>126.83789607894569</v>
      </c>
    </row>
    <row r="474" spans="1:17" x14ac:dyDescent="0.15">
      <c r="A474" s="10">
        <v>45885.583333333023</v>
      </c>
      <c r="B474">
        <f>COUNT(A474:$A$1158)/(48*252)</f>
        <v>5.6630291005291003E-2</v>
      </c>
      <c r="C474">
        <v>2.2050000000000001</v>
      </c>
      <c r="D474">
        <v>0.06</v>
      </c>
      <c r="E474">
        <f t="shared" si="84"/>
        <v>1.3622058929204934</v>
      </c>
      <c r="F474">
        <f t="shared" si="85"/>
        <v>-8.6566458304355276E-2</v>
      </c>
      <c r="G474">
        <f t="shared" si="88"/>
        <v>-9.9999999999988987E-4</v>
      </c>
      <c r="H474">
        <f>IF(MOD(COUNTA($C$7:C474)-1,$J$2),H473,ROUND(F474*P474,-2))</f>
        <v>-900</v>
      </c>
      <c r="I474">
        <f t="shared" si="89"/>
        <v>0</v>
      </c>
      <c r="J474">
        <f t="shared" si="90"/>
        <v>0</v>
      </c>
      <c r="K474">
        <f t="shared" si="91"/>
        <v>2252.937951597869</v>
      </c>
      <c r="L474">
        <f t="shared" si="92"/>
        <v>268.43795159786896</v>
      </c>
      <c r="M474">
        <f t="shared" si="93"/>
        <v>0.89999999999986358</v>
      </c>
      <c r="N474">
        <f t="shared" si="95"/>
        <v>268.43795159786896</v>
      </c>
      <c r="O474" s="5">
        <f t="shared" si="86"/>
        <v>1.2735946183025676E-2</v>
      </c>
      <c r="P474">
        <f t="shared" si="94"/>
        <v>10000</v>
      </c>
      <c r="Q474">
        <f t="shared" si="87"/>
        <v>127.35946183025676</v>
      </c>
    </row>
    <row r="475" spans="1:17" x14ac:dyDescent="0.15">
      <c r="A475" s="10">
        <v>45885.586805555969</v>
      </c>
      <c r="B475">
        <f>COUNT(A475:$A$1158)/(48*252)</f>
        <v>5.6547619047619048E-2</v>
      </c>
      <c r="C475">
        <v>2.2069999999999999</v>
      </c>
      <c r="D475">
        <v>5.8999999999999997E-2</v>
      </c>
      <c r="E475">
        <f t="shared" si="84"/>
        <v>1.3697054695365063</v>
      </c>
      <c r="F475">
        <f t="shared" si="85"/>
        <v>-8.5389430322272752E-2</v>
      </c>
      <c r="G475">
        <f t="shared" si="88"/>
        <v>1.9999999999997797E-3</v>
      </c>
      <c r="H475">
        <f>IF(MOD(COUNTA($C$7:C475)-1,$J$2),H474,ROUND(F475*P475,-2))</f>
        <v>-900</v>
      </c>
      <c r="I475">
        <f t="shared" si="89"/>
        <v>0</v>
      </c>
      <c r="J475">
        <f t="shared" si="90"/>
        <v>0</v>
      </c>
      <c r="K475">
        <f t="shared" si="91"/>
        <v>2252.937951597869</v>
      </c>
      <c r="L475">
        <f t="shared" si="92"/>
        <v>266.63795159786901</v>
      </c>
      <c r="M475">
        <f t="shared" si="93"/>
        <v>-1.7999999999999545</v>
      </c>
      <c r="N475">
        <f t="shared" si="95"/>
        <v>266.63795159786901</v>
      </c>
      <c r="O475" s="5">
        <f t="shared" si="86"/>
        <v>1.2529858360351309E-2</v>
      </c>
      <c r="P475">
        <f t="shared" si="94"/>
        <v>10000</v>
      </c>
      <c r="Q475">
        <f t="shared" si="87"/>
        <v>125.29858360351309</v>
      </c>
    </row>
    <row r="476" spans="1:17" x14ac:dyDescent="0.15">
      <c r="A476" s="10">
        <v>45885.590277777985</v>
      </c>
      <c r="B476">
        <f>COUNT(A476:$A$1158)/(48*252)</f>
        <v>5.6464947089947093E-2</v>
      </c>
      <c r="C476">
        <v>2.2000000000000002</v>
      </c>
      <c r="D476">
        <v>5.7000000000000002E-2</v>
      </c>
      <c r="E476">
        <f t="shared" si="84"/>
        <v>1.3473679575103947</v>
      </c>
      <c r="F476">
        <f t="shared" si="85"/>
        <v>-8.8930877548415999E-2</v>
      </c>
      <c r="G476">
        <f t="shared" si="88"/>
        <v>-6.9999999999996732E-3</v>
      </c>
      <c r="H476">
        <f>IF(MOD(COUNTA($C$7:C476)-1,$J$2),H475,ROUND(F476*P476,-2))</f>
        <v>-900</v>
      </c>
      <c r="I476">
        <f t="shared" si="89"/>
        <v>0</v>
      </c>
      <c r="J476">
        <f t="shared" si="90"/>
        <v>0</v>
      </c>
      <c r="K476">
        <f t="shared" si="91"/>
        <v>2252.937951597869</v>
      </c>
      <c r="L476">
        <f t="shared" si="92"/>
        <v>272.93795159786873</v>
      </c>
      <c r="M476">
        <f t="shared" si="93"/>
        <v>6.2999999999997272</v>
      </c>
      <c r="N476">
        <f t="shared" si="95"/>
        <v>272.93795159786873</v>
      </c>
      <c r="O476" s="5">
        <f t="shared" si="86"/>
        <v>1.3105441854733668E-2</v>
      </c>
      <c r="P476">
        <f t="shared" si="94"/>
        <v>10000</v>
      </c>
      <c r="Q476">
        <f t="shared" si="87"/>
        <v>131.0544185473367</v>
      </c>
    </row>
    <row r="477" spans="1:17" x14ac:dyDescent="0.15">
      <c r="A477" s="10">
        <v>45885.59375</v>
      </c>
      <c r="B477">
        <f>COUNT(A477:$A$1158)/(48*252)</f>
        <v>5.6382275132275131E-2</v>
      </c>
      <c r="C477">
        <v>2.2000000000000002</v>
      </c>
      <c r="D477">
        <v>5.8000000000000003E-2</v>
      </c>
      <c r="E477">
        <f t="shared" si="84"/>
        <v>1.3482370377737314</v>
      </c>
      <c r="F477">
        <f t="shared" si="85"/>
        <v>-8.8791077777654048E-2</v>
      </c>
      <c r="G477">
        <f t="shared" si="88"/>
        <v>0</v>
      </c>
      <c r="H477">
        <f>IF(MOD(COUNTA($C$7:C477)-1,$J$2),H476,ROUND(F477*P477,-2))</f>
        <v>-900</v>
      </c>
      <c r="I477">
        <f t="shared" si="89"/>
        <v>0</v>
      </c>
      <c r="J477">
        <f t="shared" si="90"/>
        <v>0</v>
      </c>
      <c r="K477">
        <f t="shared" si="91"/>
        <v>2252.937951597869</v>
      </c>
      <c r="L477">
        <f t="shared" si="92"/>
        <v>272.93795159786873</v>
      </c>
      <c r="M477">
        <f t="shared" si="93"/>
        <v>0</v>
      </c>
      <c r="N477">
        <f t="shared" si="95"/>
        <v>272.93795159786873</v>
      </c>
      <c r="O477" s="5">
        <f t="shared" si="86"/>
        <v>1.3070504680777556E-2</v>
      </c>
      <c r="P477">
        <f t="shared" si="94"/>
        <v>10000</v>
      </c>
      <c r="Q477">
        <f t="shared" si="87"/>
        <v>130.70504680777557</v>
      </c>
    </row>
    <row r="478" spans="1:17" x14ac:dyDescent="0.15">
      <c r="A478" s="10">
        <v>45885.597222222015</v>
      </c>
      <c r="B478">
        <f>COUNT(A478:$A$1158)/(48*252)</f>
        <v>5.6299603174603176E-2</v>
      </c>
      <c r="C478">
        <v>2.2010000000000001</v>
      </c>
      <c r="D478">
        <v>5.8999999999999997E-2</v>
      </c>
      <c r="E478">
        <f t="shared" si="84"/>
        <v>1.3524348813923508</v>
      </c>
      <c r="F478">
        <f t="shared" si="85"/>
        <v>-8.8118118568194848E-2</v>
      </c>
      <c r="G478">
        <f t="shared" si="88"/>
        <v>9.9999999999988987E-4</v>
      </c>
      <c r="H478">
        <f>IF(MOD(COUNTA($C$7:C478)-1,$J$2),H477,ROUND(F478*P478,-2))</f>
        <v>-900</v>
      </c>
      <c r="I478">
        <f t="shared" si="89"/>
        <v>0</v>
      </c>
      <c r="J478">
        <f t="shared" si="90"/>
        <v>0</v>
      </c>
      <c r="K478">
        <f t="shared" si="91"/>
        <v>2252.937951597869</v>
      </c>
      <c r="L478">
        <f t="shared" si="92"/>
        <v>272.03795159786887</v>
      </c>
      <c r="M478">
        <f t="shared" si="93"/>
        <v>-0.89999999999986358</v>
      </c>
      <c r="N478">
        <f t="shared" si="95"/>
        <v>272.03795159786887</v>
      </c>
      <c r="O478" s="5">
        <f t="shared" si="86"/>
        <v>1.2947197851495562E-2</v>
      </c>
      <c r="P478">
        <f t="shared" si="94"/>
        <v>10000</v>
      </c>
      <c r="Q478">
        <f t="shared" si="87"/>
        <v>129.47197851495562</v>
      </c>
    </row>
    <row r="479" spans="1:17" x14ac:dyDescent="0.15">
      <c r="A479" s="10">
        <v>45885.600694444962</v>
      </c>
      <c r="B479">
        <f>COUNT(A479:$A$1158)/(48*252)</f>
        <v>5.6216931216931214E-2</v>
      </c>
      <c r="C479">
        <v>2.2010000000000001</v>
      </c>
      <c r="D479">
        <v>5.8000000000000003E-2</v>
      </c>
      <c r="E479">
        <f t="shared" si="84"/>
        <v>1.3533104152111237</v>
      </c>
      <c r="F479">
        <f t="shared" si="85"/>
        <v>-8.7978241623309916E-2</v>
      </c>
      <c r="G479">
        <f t="shared" si="88"/>
        <v>0</v>
      </c>
      <c r="H479">
        <f>IF(MOD(COUNTA($C$7:C479)-1,$J$2),H478,ROUND(F479*P479,-2))</f>
        <v>-900</v>
      </c>
      <c r="I479">
        <f t="shared" si="89"/>
        <v>0</v>
      </c>
      <c r="J479">
        <f t="shared" si="90"/>
        <v>0</v>
      </c>
      <c r="K479">
        <f t="shared" si="91"/>
        <v>2252.937951597869</v>
      </c>
      <c r="L479">
        <f t="shared" si="92"/>
        <v>272.03795159786887</v>
      </c>
      <c r="M479">
        <f t="shared" si="93"/>
        <v>0</v>
      </c>
      <c r="N479">
        <f t="shared" si="95"/>
        <v>272.03795159786887</v>
      </c>
      <c r="O479" s="5">
        <f t="shared" si="86"/>
        <v>1.2912430239317707E-2</v>
      </c>
      <c r="P479">
        <f t="shared" si="94"/>
        <v>10000</v>
      </c>
      <c r="Q479">
        <f t="shared" si="87"/>
        <v>129.12430239317706</v>
      </c>
    </row>
    <row r="480" spans="1:17" x14ac:dyDescent="0.15">
      <c r="A480" s="10">
        <v>45885.604166666977</v>
      </c>
      <c r="B480">
        <f>COUNT(A480:$A$1158)/(48*252)</f>
        <v>5.6134259259259259E-2</v>
      </c>
      <c r="C480">
        <v>2.2029999999999998</v>
      </c>
      <c r="D480">
        <v>5.8999999999999997E-2</v>
      </c>
      <c r="E480">
        <f t="shared" si="84"/>
        <v>1.360846748665987</v>
      </c>
      <c r="F480">
        <f t="shared" si="85"/>
        <v>-8.678106244558792E-2</v>
      </c>
      <c r="G480">
        <f t="shared" si="88"/>
        <v>1.9999999999997797E-3</v>
      </c>
      <c r="H480">
        <f>IF(MOD(COUNTA($C$7:C480)-1,$J$2),H479,ROUND(F480*P480,-2))</f>
        <v>-900</v>
      </c>
      <c r="I480">
        <f t="shared" si="89"/>
        <v>0</v>
      </c>
      <c r="J480">
        <f t="shared" si="90"/>
        <v>0</v>
      </c>
      <c r="K480">
        <f t="shared" si="91"/>
        <v>2252.937951597869</v>
      </c>
      <c r="L480">
        <f t="shared" si="92"/>
        <v>270.23795159786914</v>
      </c>
      <c r="M480">
        <f t="shared" si="93"/>
        <v>-1.7999999999997272</v>
      </c>
      <c r="N480">
        <f t="shared" si="95"/>
        <v>270.23795159786914</v>
      </c>
      <c r="O480" s="5">
        <f t="shared" si="86"/>
        <v>1.2703060164893892E-2</v>
      </c>
      <c r="P480">
        <f t="shared" si="94"/>
        <v>10000</v>
      </c>
      <c r="Q480">
        <f t="shared" si="87"/>
        <v>127.03060164893893</v>
      </c>
    </row>
    <row r="481" spans="1:17" x14ac:dyDescent="0.15">
      <c r="A481" s="10">
        <v>45885.607638888992</v>
      </c>
      <c r="B481">
        <f>COUNT(A481:$A$1158)/(48*252)</f>
        <v>5.6051587301587304E-2</v>
      </c>
      <c r="C481">
        <v>2.2050000000000001</v>
      </c>
      <c r="D481">
        <v>0.06</v>
      </c>
      <c r="E481">
        <f t="shared" si="84"/>
        <v>1.3683888810324751</v>
      </c>
      <c r="F481">
        <f t="shared" si="85"/>
        <v>-8.5595191393925685E-2</v>
      </c>
      <c r="G481">
        <f t="shared" si="88"/>
        <v>2.0000000000002238E-3</v>
      </c>
      <c r="H481">
        <f>IF(MOD(COUNTA($C$7:C481)-1,$J$2),H480,ROUND(F481*P481,-2))</f>
        <v>-900</v>
      </c>
      <c r="I481">
        <f t="shared" si="89"/>
        <v>0</v>
      </c>
      <c r="J481">
        <f t="shared" si="90"/>
        <v>0</v>
      </c>
      <c r="K481">
        <f t="shared" si="91"/>
        <v>2252.937951597869</v>
      </c>
      <c r="L481">
        <f t="shared" si="92"/>
        <v>268.43795159786896</v>
      </c>
      <c r="M481">
        <f t="shared" si="93"/>
        <v>-1.8000000000001819</v>
      </c>
      <c r="N481">
        <f t="shared" si="95"/>
        <v>268.43795159786896</v>
      </c>
      <c r="O481" s="5">
        <f t="shared" si="86"/>
        <v>1.2496367828679106E-2</v>
      </c>
      <c r="P481">
        <f t="shared" si="94"/>
        <v>10000</v>
      </c>
      <c r="Q481">
        <f t="shared" si="87"/>
        <v>124.96367828679105</v>
      </c>
    </row>
    <row r="482" spans="1:17" x14ac:dyDescent="0.15">
      <c r="A482" s="10">
        <v>45885.611111111008</v>
      </c>
      <c r="B482">
        <f>COUNT(A482:$A$1158)/(48*252)</f>
        <v>5.5968915343915342E-2</v>
      </c>
      <c r="C482">
        <v>2.2040000000000002</v>
      </c>
      <c r="D482">
        <v>0.06</v>
      </c>
      <c r="E482">
        <f t="shared" si="84"/>
        <v>1.3659498121674416</v>
      </c>
      <c r="F482">
        <f t="shared" si="85"/>
        <v>-8.5977358247942171E-2</v>
      </c>
      <c r="G482">
        <f t="shared" si="88"/>
        <v>-9.9999999999988987E-4</v>
      </c>
      <c r="H482">
        <f>IF(MOD(COUNTA($C$7:C482)-1,$J$2),H481,ROUND(F482*P482,-2))</f>
        <v>-900</v>
      </c>
      <c r="I482">
        <f t="shared" si="89"/>
        <v>0</v>
      </c>
      <c r="J482">
        <f t="shared" si="90"/>
        <v>0</v>
      </c>
      <c r="K482">
        <f t="shared" si="91"/>
        <v>2252.937951597869</v>
      </c>
      <c r="L482">
        <f t="shared" si="92"/>
        <v>269.33795159786882</v>
      </c>
      <c r="M482">
        <f t="shared" si="93"/>
        <v>0.89999999999986358</v>
      </c>
      <c r="N482">
        <f t="shared" si="95"/>
        <v>269.33795159786882</v>
      </c>
      <c r="O482" s="5">
        <f t="shared" si="86"/>
        <v>1.2547921419000269E-2</v>
      </c>
      <c r="P482">
        <f t="shared" si="94"/>
        <v>10000</v>
      </c>
      <c r="Q482">
        <f t="shared" si="87"/>
        <v>125.47921419000268</v>
      </c>
    </row>
    <row r="483" spans="1:17" x14ac:dyDescent="0.15">
      <c r="A483" s="10">
        <v>45885.614583333023</v>
      </c>
      <c r="B483">
        <f>COUNT(A483:$A$1158)/(48*252)</f>
        <v>5.5886243386243387E-2</v>
      </c>
      <c r="C483">
        <v>2.2029999999999998</v>
      </c>
      <c r="D483">
        <v>5.8999999999999997E-2</v>
      </c>
      <c r="E483">
        <f t="shared" si="84"/>
        <v>1.3635063709123656</v>
      </c>
      <c r="F483">
        <f t="shared" si="85"/>
        <v>-8.6361488992229063E-2</v>
      </c>
      <c r="G483">
        <f t="shared" si="88"/>
        <v>-1.000000000000334E-3</v>
      </c>
      <c r="H483">
        <f>IF(MOD(COUNTA($C$7:C483)-1,$J$2),H482,ROUND(F483*P483,-2))</f>
        <v>-900</v>
      </c>
      <c r="I483">
        <f t="shared" si="89"/>
        <v>0</v>
      </c>
      <c r="J483">
        <f t="shared" si="90"/>
        <v>0</v>
      </c>
      <c r="K483">
        <f t="shared" si="91"/>
        <v>2252.937951597869</v>
      </c>
      <c r="L483">
        <f t="shared" si="92"/>
        <v>270.23795159786914</v>
      </c>
      <c r="M483">
        <f t="shared" si="93"/>
        <v>0.90000000000031832</v>
      </c>
      <c r="N483">
        <f t="shared" si="95"/>
        <v>270.23795159786914</v>
      </c>
      <c r="O483" s="5">
        <f t="shared" si="86"/>
        <v>1.2599734225445608E-2</v>
      </c>
      <c r="P483">
        <f t="shared" si="94"/>
        <v>10000</v>
      </c>
      <c r="Q483">
        <f t="shared" si="87"/>
        <v>125.99734225445609</v>
      </c>
    </row>
    <row r="484" spans="1:17" x14ac:dyDescent="0.15">
      <c r="A484" s="10">
        <v>45885.618055555969</v>
      </c>
      <c r="B484">
        <f>COUNT(A484:$A$1158)/(48*252)</f>
        <v>5.5803571428571432E-2</v>
      </c>
      <c r="C484">
        <v>2.2010000000000001</v>
      </c>
      <c r="D484">
        <v>5.7000000000000002E-2</v>
      </c>
      <c r="E484">
        <f t="shared" si="84"/>
        <v>1.3577185458571923</v>
      </c>
      <c r="F484">
        <f t="shared" si="85"/>
        <v>-8.7276504840720803E-2</v>
      </c>
      <c r="G484">
        <f t="shared" si="88"/>
        <v>-1.9999999999997797E-3</v>
      </c>
      <c r="H484">
        <f>IF(MOD(COUNTA($C$7:C484)-1,$J$2),H483,ROUND(F484*P484,-2))</f>
        <v>-900</v>
      </c>
      <c r="I484">
        <f t="shared" si="89"/>
        <v>0</v>
      </c>
      <c r="J484">
        <f t="shared" si="90"/>
        <v>0</v>
      </c>
      <c r="K484">
        <f t="shared" si="91"/>
        <v>2252.937951597869</v>
      </c>
      <c r="L484">
        <f t="shared" si="92"/>
        <v>272.03795159786887</v>
      </c>
      <c r="M484">
        <f t="shared" si="93"/>
        <v>1.7999999999997272</v>
      </c>
      <c r="N484">
        <f t="shared" si="95"/>
        <v>272.03795159786887</v>
      </c>
      <c r="O484" s="5">
        <f t="shared" si="86"/>
        <v>1.2738819568585941E-2</v>
      </c>
      <c r="P484">
        <f t="shared" si="94"/>
        <v>10000</v>
      </c>
      <c r="Q484">
        <f t="shared" si="87"/>
        <v>127.3881956858594</v>
      </c>
    </row>
    <row r="485" spans="1:17" x14ac:dyDescent="0.15">
      <c r="A485" s="10">
        <v>45885.621527777985</v>
      </c>
      <c r="B485">
        <f>COUNT(A485:$A$1158)/(48*252)</f>
        <v>5.572089947089947E-2</v>
      </c>
      <c r="C485">
        <v>2.1970000000000001</v>
      </c>
      <c r="D485">
        <v>5.5E-2</v>
      </c>
      <c r="E485">
        <f t="shared" si="84"/>
        <v>1.3452212147933067</v>
      </c>
      <c r="F485">
        <f t="shared" si="85"/>
        <v>-8.9276903585350009E-2</v>
      </c>
      <c r="G485">
        <f t="shared" si="88"/>
        <v>-4.0000000000000036E-3</v>
      </c>
      <c r="H485">
        <f>IF(MOD(COUNTA($C$7:C485)-1,$J$2),H484,ROUND(F485*P485,-2))</f>
        <v>-900</v>
      </c>
      <c r="I485">
        <f t="shared" si="89"/>
        <v>0</v>
      </c>
      <c r="J485">
        <f t="shared" si="90"/>
        <v>0</v>
      </c>
      <c r="K485">
        <f t="shared" si="91"/>
        <v>2252.937951597869</v>
      </c>
      <c r="L485">
        <f t="shared" si="92"/>
        <v>275.63795159786901</v>
      </c>
      <c r="M485">
        <f t="shared" si="93"/>
        <v>3.6000000000001364</v>
      </c>
      <c r="N485">
        <f t="shared" si="95"/>
        <v>275.63795159786901</v>
      </c>
      <c r="O485" s="5">
        <f t="shared" si="86"/>
        <v>1.3056954425905376E-2</v>
      </c>
      <c r="P485">
        <f t="shared" si="94"/>
        <v>10000</v>
      </c>
      <c r="Q485">
        <f t="shared" si="87"/>
        <v>130.56954425905377</v>
      </c>
    </row>
    <row r="486" spans="1:17" x14ac:dyDescent="0.15">
      <c r="A486" s="10">
        <v>45885.625</v>
      </c>
      <c r="B486">
        <f>COUNT(A486:$A$1158)/(48*252)</f>
        <v>5.5638227513227514E-2</v>
      </c>
      <c r="C486">
        <v>2.1960000000000002</v>
      </c>
      <c r="D486">
        <v>5.3999999999999999E-2</v>
      </c>
      <c r="E486">
        <f t="shared" si="84"/>
        <v>1.3427485406517714</v>
      </c>
      <c r="F486">
        <f t="shared" si="85"/>
        <v>-8.9676705611037355E-2</v>
      </c>
      <c r="G486">
        <f t="shared" si="88"/>
        <v>-9.9999999999988987E-4</v>
      </c>
      <c r="H486">
        <f>IF(MOD(COUNTA($C$7:C486)-1,$J$2),H485,ROUND(F486*P486,-2))</f>
        <v>-900</v>
      </c>
      <c r="I486">
        <f t="shared" si="89"/>
        <v>0</v>
      </c>
      <c r="J486">
        <f t="shared" si="90"/>
        <v>0</v>
      </c>
      <c r="K486">
        <f t="shared" si="91"/>
        <v>2252.937951597869</v>
      </c>
      <c r="L486">
        <f t="shared" si="92"/>
        <v>276.53795159786887</v>
      </c>
      <c r="M486">
        <f t="shared" si="93"/>
        <v>0.89999999999986358</v>
      </c>
      <c r="N486">
        <f t="shared" si="95"/>
        <v>276.53795159786887</v>
      </c>
      <c r="O486" s="5">
        <f t="shared" si="86"/>
        <v>1.3111133588658314E-2</v>
      </c>
      <c r="P486">
        <f t="shared" si="94"/>
        <v>10000</v>
      </c>
      <c r="Q486">
        <f t="shared" si="87"/>
        <v>131.11133588658313</v>
      </c>
    </row>
    <row r="487" spans="1:17" x14ac:dyDescent="0.15">
      <c r="A487" s="10">
        <v>45886.399305555969</v>
      </c>
      <c r="B487">
        <f>COUNT(A487:$A$1158)/(48*252)</f>
        <v>5.5555555555555552E-2</v>
      </c>
      <c r="C487">
        <v>2.2029999999999998</v>
      </c>
      <c r="D487">
        <v>5.7000000000000002E-2</v>
      </c>
      <c r="E487">
        <f t="shared" si="84"/>
        <v>1.3670814376900489</v>
      </c>
      <c r="F487">
        <f t="shared" si="85"/>
        <v>-8.5799890404268053E-2</v>
      </c>
      <c r="G487">
        <f t="shared" si="88"/>
        <v>6.9999999999996732E-3</v>
      </c>
      <c r="H487">
        <f>IF(MOD(COUNTA($C$7:C487)-1,$J$2),H486,ROUND(F487*P487,-2))</f>
        <v>-900</v>
      </c>
      <c r="I487">
        <f t="shared" si="89"/>
        <v>0</v>
      </c>
      <c r="J487">
        <f t="shared" si="90"/>
        <v>0</v>
      </c>
      <c r="K487">
        <f t="shared" si="91"/>
        <v>2252.937951597869</v>
      </c>
      <c r="L487">
        <f t="shared" si="92"/>
        <v>270.23795159786914</v>
      </c>
      <c r="M487">
        <f t="shared" si="93"/>
        <v>-6.2999999999997272</v>
      </c>
      <c r="N487">
        <f t="shared" si="95"/>
        <v>270.23795159786914</v>
      </c>
      <c r="O487" s="5">
        <f t="shared" si="86"/>
        <v>1.2462186196378788E-2</v>
      </c>
      <c r="P487">
        <f t="shared" si="94"/>
        <v>10000</v>
      </c>
      <c r="Q487">
        <f t="shared" si="87"/>
        <v>124.62186196378788</v>
      </c>
    </row>
    <row r="488" spans="1:17" x14ac:dyDescent="0.15">
      <c r="A488" s="10">
        <v>45886.402777777985</v>
      </c>
      <c r="B488">
        <f>COUNT(A488:$A$1158)/(48*252)</f>
        <v>5.5472883597883597E-2</v>
      </c>
      <c r="C488">
        <v>2.2050000000000001</v>
      </c>
      <c r="D488">
        <v>5.8999999999999997E-2</v>
      </c>
      <c r="E488">
        <f t="shared" si="84"/>
        <v>1.3746726950497352</v>
      </c>
      <c r="F488">
        <f t="shared" si="85"/>
        <v>-8.4616470050766002E-2</v>
      </c>
      <c r="G488">
        <f t="shared" si="88"/>
        <v>2.0000000000002238E-3</v>
      </c>
      <c r="H488">
        <f>IF(MOD(COUNTA($C$7:C488)-1,$J$2),H487,ROUND(F488*P488,-2))</f>
        <v>-900</v>
      </c>
      <c r="I488">
        <f t="shared" si="89"/>
        <v>0</v>
      </c>
      <c r="J488">
        <f t="shared" si="90"/>
        <v>0</v>
      </c>
      <c r="K488">
        <f t="shared" si="91"/>
        <v>2252.937951597869</v>
      </c>
      <c r="L488">
        <f t="shared" si="92"/>
        <v>268.43795159786896</v>
      </c>
      <c r="M488">
        <f t="shared" si="93"/>
        <v>-1.8000000000001819</v>
      </c>
      <c r="N488">
        <f t="shared" si="95"/>
        <v>268.43795159786896</v>
      </c>
      <c r="O488" s="5">
        <f t="shared" si="86"/>
        <v>1.2257565164481343E-2</v>
      </c>
      <c r="P488">
        <f t="shared" si="94"/>
        <v>10000</v>
      </c>
      <c r="Q488">
        <f t="shared" si="87"/>
        <v>122.57565164481343</v>
      </c>
    </row>
    <row r="489" spans="1:17" x14ac:dyDescent="0.15">
      <c r="A489" s="10">
        <v>45886.40625</v>
      </c>
      <c r="B489">
        <f>COUNT(A489:$A$1158)/(48*252)</f>
        <v>5.5390211640211642E-2</v>
      </c>
      <c r="C489">
        <v>2.2120000000000002</v>
      </c>
      <c r="D489">
        <v>6.0999999999999999E-2</v>
      </c>
      <c r="E489">
        <f t="shared" si="84"/>
        <v>1.3989714691589958</v>
      </c>
      <c r="F489">
        <f t="shared" si="85"/>
        <v>-8.0910769451110864E-2</v>
      </c>
      <c r="G489">
        <f t="shared" si="88"/>
        <v>7.0000000000001172E-3</v>
      </c>
      <c r="H489">
        <f>IF(MOD(COUNTA($C$7:C489)-1,$J$2),H488,ROUND(F489*P489,-2))</f>
        <v>-800</v>
      </c>
      <c r="I489">
        <f t="shared" si="89"/>
        <v>100</v>
      </c>
      <c r="J489">
        <f t="shared" si="90"/>
        <v>0</v>
      </c>
      <c r="K489">
        <f t="shared" si="91"/>
        <v>2031.7279975978688</v>
      </c>
      <c r="L489">
        <f t="shared" si="92"/>
        <v>262.12799759786867</v>
      </c>
      <c r="M489">
        <f t="shared" si="93"/>
        <v>-6.3099540000002889</v>
      </c>
      <c r="N489">
        <f t="shared" si="95"/>
        <v>262.12799759786867</v>
      </c>
      <c r="O489" s="5">
        <f t="shared" si="86"/>
        <v>1.1644735646020643E-2</v>
      </c>
      <c r="P489">
        <f t="shared" si="94"/>
        <v>10000</v>
      </c>
      <c r="Q489">
        <f t="shared" si="87"/>
        <v>116.44735646020644</v>
      </c>
    </row>
    <row r="490" spans="1:17" x14ac:dyDescent="0.15">
      <c r="A490" s="10">
        <v>45886.409722222015</v>
      </c>
      <c r="B490">
        <f>COUNT(A490:$A$1158)/(48*252)</f>
        <v>5.530753968253968E-2</v>
      </c>
      <c r="C490">
        <v>2.2090000000000001</v>
      </c>
      <c r="D490">
        <v>6.0999999999999999E-2</v>
      </c>
      <c r="E490">
        <f t="shared" si="84"/>
        <v>1.3898732900265671</v>
      </c>
      <c r="F490">
        <f t="shared" si="85"/>
        <v>-8.2283678848612207E-2</v>
      </c>
      <c r="G490">
        <f t="shared" si="88"/>
        <v>-3.0000000000001137E-3</v>
      </c>
      <c r="H490">
        <f>IF(MOD(COUNTA($C$7:C490)-1,$J$2),H489,ROUND(F490*P490,-2))</f>
        <v>-800</v>
      </c>
      <c r="I490">
        <f t="shared" si="89"/>
        <v>0</v>
      </c>
      <c r="J490">
        <f t="shared" si="90"/>
        <v>0</v>
      </c>
      <c r="K490">
        <f t="shared" si="91"/>
        <v>2031.7279975978688</v>
      </c>
      <c r="L490">
        <f t="shared" si="92"/>
        <v>264.52799759786876</v>
      </c>
      <c r="M490">
        <f t="shared" si="93"/>
        <v>2.4000000000000909</v>
      </c>
      <c r="N490">
        <f t="shared" si="95"/>
        <v>264.52799759786876</v>
      </c>
      <c r="O490" s="5">
        <f t="shared" si="86"/>
        <v>1.1856257735883474E-2</v>
      </c>
      <c r="P490">
        <f t="shared" si="94"/>
        <v>10000</v>
      </c>
      <c r="Q490">
        <f t="shared" si="87"/>
        <v>118.56257735883474</v>
      </c>
    </row>
    <row r="491" spans="1:17" x14ac:dyDescent="0.15">
      <c r="A491" s="10">
        <v>45886.413194444962</v>
      </c>
      <c r="B491">
        <f>COUNT(A491:$A$1158)/(48*252)</f>
        <v>5.5224867724867725E-2</v>
      </c>
      <c r="C491">
        <v>2.2090000000000001</v>
      </c>
      <c r="D491">
        <v>5.8999999999999997E-2</v>
      </c>
      <c r="E491">
        <f t="shared" si="84"/>
        <v>1.3907936270573289</v>
      </c>
      <c r="F491">
        <f t="shared" si="85"/>
        <v>-8.2144008097160714E-2</v>
      </c>
      <c r="G491">
        <f t="shared" si="88"/>
        <v>0</v>
      </c>
      <c r="H491">
        <f>IF(MOD(COUNTA($C$7:C491)-1,$J$2),H490,ROUND(F491*P491,-2))</f>
        <v>-800</v>
      </c>
      <c r="I491">
        <f t="shared" si="89"/>
        <v>0</v>
      </c>
      <c r="J491">
        <f t="shared" si="90"/>
        <v>0</v>
      </c>
      <c r="K491">
        <f t="shared" si="91"/>
        <v>2031.7279975978688</v>
      </c>
      <c r="L491">
        <f t="shared" si="92"/>
        <v>264.52799759786876</v>
      </c>
      <c r="M491">
        <f t="shared" si="93"/>
        <v>0</v>
      </c>
      <c r="N491">
        <f t="shared" si="95"/>
        <v>264.52799759786876</v>
      </c>
      <c r="O491" s="5">
        <f t="shared" si="86"/>
        <v>1.1822801814046269E-2</v>
      </c>
      <c r="P491">
        <f t="shared" si="94"/>
        <v>10000</v>
      </c>
      <c r="Q491">
        <f t="shared" si="87"/>
        <v>118.22801814046269</v>
      </c>
    </row>
    <row r="492" spans="1:17" x14ac:dyDescent="0.15">
      <c r="A492" s="10">
        <v>45886.416666666977</v>
      </c>
      <c r="B492">
        <f>COUNT(A492:$A$1158)/(48*252)</f>
        <v>5.514219576719577E-2</v>
      </c>
      <c r="C492">
        <v>2.2120000000000002</v>
      </c>
      <c r="D492">
        <v>6.0999999999999999E-2</v>
      </c>
      <c r="E492">
        <f t="shared" si="84"/>
        <v>1.4017549886637048</v>
      </c>
      <c r="F492">
        <f t="shared" si="85"/>
        <v>-8.0494211910222324E-2</v>
      </c>
      <c r="G492">
        <f t="shared" si="88"/>
        <v>3.0000000000001137E-3</v>
      </c>
      <c r="H492">
        <f>IF(MOD(COUNTA($C$7:C492)-1,$J$2),H491,ROUND(F492*P492,-2))</f>
        <v>-800</v>
      </c>
      <c r="I492">
        <f t="shared" si="89"/>
        <v>0</v>
      </c>
      <c r="J492">
        <f t="shared" si="90"/>
        <v>0</v>
      </c>
      <c r="K492">
        <f t="shared" si="91"/>
        <v>2031.7279975978688</v>
      </c>
      <c r="L492">
        <f t="shared" si="92"/>
        <v>262.12799759786867</v>
      </c>
      <c r="M492">
        <f t="shared" si="93"/>
        <v>-2.4000000000000909</v>
      </c>
      <c r="N492">
        <f t="shared" si="95"/>
        <v>262.12799759786867</v>
      </c>
      <c r="O492" s="5">
        <f t="shared" si="86"/>
        <v>1.1545621330346978E-2</v>
      </c>
      <c r="P492">
        <f t="shared" si="94"/>
        <v>10000</v>
      </c>
      <c r="Q492">
        <f t="shared" si="87"/>
        <v>115.45621330346978</v>
      </c>
    </row>
    <row r="493" spans="1:17" x14ac:dyDescent="0.15">
      <c r="A493" s="10">
        <v>45886.420138888992</v>
      </c>
      <c r="B493">
        <f>COUNT(A493:$A$1158)/(48*252)</f>
        <v>5.5059523809523808E-2</v>
      </c>
      <c r="C493">
        <v>2.2149999999999999</v>
      </c>
      <c r="D493">
        <v>6.2E-2</v>
      </c>
      <c r="E493">
        <f t="shared" si="84"/>
        <v>1.4127199686371428</v>
      </c>
      <c r="F493">
        <f t="shared" si="85"/>
        <v>-7.8869038908748412E-2</v>
      </c>
      <c r="G493">
        <f t="shared" si="88"/>
        <v>2.9999999999996696E-3</v>
      </c>
      <c r="H493">
        <f>IF(MOD(COUNTA($C$7:C493)-1,$J$2),H492,ROUND(F493*P493,-2))</f>
        <v>-800</v>
      </c>
      <c r="I493">
        <f t="shared" si="89"/>
        <v>0</v>
      </c>
      <c r="J493">
        <f t="shared" si="90"/>
        <v>0</v>
      </c>
      <c r="K493">
        <f t="shared" si="91"/>
        <v>2031.7279975978688</v>
      </c>
      <c r="L493">
        <f t="shared" si="92"/>
        <v>259.72799759786881</v>
      </c>
      <c r="M493">
        <f t="shared" si="93"/>
        <v>-2.3999999999998636</v>
      </c>
      <c r="N493">
        <f t="shared" si="95"/>
        <v>259.72799759786881</v>
      </c>
      <c r="O493" s="5">
        <f t="shared" si="86"/>
        <v>1.1273788213988584E-2</v>
      </c>
      <c r="P493">
        <f t="shared" si="94"/>
        <v>10000</v>
      </c>
      <c r="Q493">
        <f t="shared" si="87"/>
        <v>112.73788213988584</v>
      </c>
    </row>
    <row r="494" spans="1:17" x14ac:dyDescent="0.15">
      <c r="A494" s="10">
        <v>45886.423611111008</v>
      </c>
      <c r="B494">
        <f>COUNT(A494:$A$1158)/(48*252)</f>
        <v>5.4976851851851853E-2</v>
      </c>
      <c r="C494">
        <v>2.2189999999999999</v>
      </c>
      <c r="D494">
        <v>6.3E-2</v>
      </c>
      <c r="E494">
        <f t="shared" si="84"/>
        <v>1.4270278637991933</v>
      </c>
      <c r="F494">
        <f t="shared" si="85"/>
        <v>-7.678593163940739E-2</v>
      </c>
      <c r="G494">
        <f t="shared" si="88"/>
        <v>4.0000000000000036E-3</v>
      </c>
      <c r="H494">
        <f>IF(MOD(COUNTA($C$7:C494)-1,$J$2),H493,ROUND(F494*P494,-2))</f>
        <v>-800</v>
      </c>
      <c r="I494">
        <f t="shared" si="89"/>
        <v>0</v>
      </c>
      <c r="J494">
        <f t="shared" si="90"/>
        <v>0</v>
      </c>
      <c r="K494">
        <f t="shared" si="91"/>
        <v>2031.7279975978688</v>
      </c>
      <c r="L494">
        <f t="shared" si="92"/>
        <v>256.52799759786899</v>
      </c>
      <c r="M494">
        <f t="shared" si="93"/>
        <v>-3.1999999999998181</v>
      </c>
      <c r="N494">
        <f t="shared" si="95"/>
        <v>256.52799759786899</v>
      </c>
      <c r="O494" s="5">
        <f t="shared" si="86"/>
        <v>1.0930200358084063E-2</v>
      </c>
      <c r="P494">
        <f t="shared" si="94"/>
        <v>10000</v>
      </c>
      <c r="Q494">
        <f t="shared" si="87"/>
        <v>109.30200358084063</v>
      </c>
    </row>
    <row r="495" spans="1:17" x14ac:dyDescent="0.15">
      <c r="A495" s="10">
        <v>45886.427083333023</v>
      </c>
      <c r="B495">
        <f>COUNT(A495:$A$1158)/(48*252)</f>
        <v>5.4894179894179891E-2</v>
      </c>
      <c r="C495">
        <v>2.2170000000000001</v>
      </c>
      <c r="D495">
        <v>6.2E-2</v>
      </c>
      <c r="E495">
        <f t="shared" si="84"/>
        <v>1.4212970737765744</v>
      </c>
      <c r="F495">
        <f t="shared" si="85"/>
        <v>-7.7615206933806302E-2</v>
      </c>
      <c r="G495">
        <f t="shared" si="88"/>
        <v>-1.9999999999997797E-3</v>
      </c>
      <c r="H495">
        <f>IF(MOD(COUNTA($C$7:C495)-1,$J$2),H494,ROUND(F495*P495,-2))</f>
        <v>-800</v>
      </c>
      <c r="I495">
        <f t="shared" si="89"/>
        <v>0</v>
      </c>
      <c r="J495">
        <f t="shared" si="90"/>
        <v>0</v>
      </c>
      <c r="K495">
        <f t="shared" si="91"/>
        <v>2031.7279975978688</v>
      </c>
      <c r="L495">
        <f t="shared" si="92"/>
        <v>258.12799759786867</v>
      </c>
      <c r="M495">
        <f t="shared" si="93"/>
        <v>1.5999999999996817</v>
      </c>
      <c r="N495">
        <f t="shared" si="95"/>
        <v>258.12799759786867</v>
      </c>
      <c r="O495" s="5">
        <f t="shared" si="86"/>
        <v>1.10524644913359E-2</v>
      </c>
      <c r="P495">
        <f t="shared" si="94"/>
        <v>10000</v>
      </c>
      <c r="Q495">
        <f t="shared" si="87"/>
        <v>110.524644913359</v>
      </c>
    </row>
    <row r="496" spans="1:17" x14ac:dyDescent="0.15">
      <c r="A496" s="10">
        <v>45886.430555555969</v>
      </c>
      <c r="B496">
        <f>COUNT(A496:$A$1158)/(48*252)</f>
        <v>5.4811507936507936E-2</v>
      </c>
      <c r="C496">
        <v>2.2120000000000002</v>
      </c>
      <c r="D496">
        <v>5.8999999999999997E-2</v>
      </c>
      <c r="E496">
        <f t="shared" si="84"/>
        <v>1.4054969583538865</v>
      </c>
      <c r="F496">
        <f t="shared" si="85"/>
        <v>-7.9936776576675639E-2</v>
      </c>
      <c r="G496">
        <f t="shared" si="88"/>
        <v>-4.9999999999998934E-3</v>
      </c>
      <c r="H496">
        <f>IF(MOD(COUNTA($C$7:C496)-1,$J$2),H495,ROUND(F496*P496,-2))</f>
        <v>-800</v>
      </c>
      <c r="I496">
        <f t="shared" si="89"/>
        <v>0</v>
      </c>
      <c r="J496">
        <f t="shared" si="90"/>
        <v>0</v>
      </c>
      <c r="K496">
        <f t="shared" si="91"/>
        <v>2031.7279975978688</v>
      </c>
      <c r="L496">
        <f t="shared" si="92"/>
        <v>262.12799759786867</v>
      </c>
      <c r="M496">
        <f t="shared" si="93"/>
        <v>4</v>
      </c>
      <c r="N496">
        <f t="shared" si="95"/>
        <v>262.12799759786867</v>
      </c>
      <c r="O496" s="5">
        <f t="shared" si="86"/>
        <v>1.1413717886365082E-2</v>
      </c>
      <c r="P496">
        <f t="shared" si="94"/>
        <v>10000</v>
      </c>
      <c r="Q496">
        <f t="shared" si="87"/>
        <v>114.13717886365082</v>
      </c>
    </row>
    <row r="497" spans="1:17" x14ac:dyDescent="0.15">
      <c r="A497" s="10">
        <v>45886.434027777985</v>
      </c>
      <c r="B497">
        <f>COUNT(A497:$A$1158)/(48*252)</f>
        <v>5.4728835978835981E-2</v>
      </c>
      <c r="C497">
        <v>2.214</v>
      </c>
      <c r="D497">
        <v>6.0999999999999999E-2</v>
      </c>
      <c r="E497">
        <f t="shared" si="84"/>
        <v>1.4131481866425841</v>
      </c>
      <c r="F497">
        <f t="shared" si="85"/>
        <v>-7.8806078723593354E-2</v>
      </c>
      <c r="G497">
        <f t="shared" si="88"/>
        <v>1.9999999999997797E-3</v>
      </c>
      <c r="H497">
        <f>IF(MOD(COUNTA($C$7:C497)-1,$J$2),H496,ROUND(F497*P497,-2))</f>
        <v>-800</v>
      </c>
      <c r="I497">
        <f t="shared" si="89"/>
        <v>0</v>
      </c>
      <c r="J497">
        <f t="shared" si="90"/>
        <v>0</v>
      </c>
      <c r="K497">
        <f t="shared" si="91"/>
        <v>2031.7279975978688</v>
      </c>
      <c r="L497">
        <f t="shared" si="92"/>
        <v>260.52799759786876</v>
      </c>
      <c r="M497">
        <f t="shared" si="93"/>
        <v>-1.5999999999999091</v>
      </c>
      <c r="N497">
        <f t="shared" si="95"/>
        <v>260.52799759786876</v>
      </c>
      <c r="O497" s="5">
        <f t="shared" si="86"/>
        <v>1.122218561819574E-2</v>
      </c>
      <c r="P497">
        <f t="shared" si="94"/>
        <v>10000</v>
      </c>
      <c r="Q497">
        <f t="shared" si="87"/>
        <v>112.22185618195741</v>
      </c>
    </row>
    <row r="498" spans="1:17" x14ac:dyDescent="0.15">
      <c r="A498" s="10">
        <v>45886.4375</v>
      </c>
      <c r="B498">
        <f>COUNT(A498:$A$1158)/(48*252)</f>
        <v>5.4646164021164019E-2</v>
      </c>
      <c r="C498">
        <v>2.2160000000000002</v>
      </c>
      <c r="D498">
        <v>6.2E-2</v>
      </c>
      <c r="E498">
        <f t="shared" si="84"/>
        <v>1.4208057247066026</v>
      </c>
      <c r="F498">
        <f t="shared" si="85"/>
        <v>-7.7686622992048537E-2</v>
      </c>
      <c r="G498">
        <f t="shared" si="88"/>
        <v>2.0000000000002238E-3</v>
      </c>
      <c r="H498">
        <f>IF(MOD(COUNTA($C$7:C498)-1,$J$2),H497,ROUND(F498*P498,-2))</f>
        <v>-800</v>
      </c>
      <c r="I498">
        <f t="shared" si="89"/>
        <v>0</v>
      </c>
      <c r="J498">
        <f t="shared" si="90"/>
        <v>0</v>
      </c>
      <c r="K498">
        <f t="shared" si="91"/>
        <v>2031.7279975978688</v>
      </c>
      <c r="L498">
        <f t="shared" si="92"/>
        <v>258.92799759786863</v>
      </c>
      <c r="M498">
        <f t="shared" si="93"/>
        <v>-1.6000000000001364</v>
      </c>
      <c r="N498">
        <f t="shared" si="95"/>
        <v>258.92799759786863</v>
      </c>
      <c r="O498" s="5">
        <f t="shared" si="86"/>
        <v>1.1033200400237392E-2</v>
      </c>
      <c r="P498">
        <f t="shared" si="94"/>
        <v>10000</v>
      </c>
      <c r="Q498">
        <f t="shared" si="87"/>
        <v>110.33200400237392</v>
      </c>
    </row>
    <row r="499" spans="1:17" x14ac:dyDescent="0.15">
      <c r="A499" s="10">
        <v>45886.440972222015</v>
      </c>
      <c r="B499">
        <f>COUNT(A499:$A$1158)/(48*252)</f>
        <v>5.4563492063492064E-2</v>
      </c>
      <c r="C499">
        <v>2.214</v>
      </c>
      <c r="D499">
        <v>6.0999999999999999E-2</v>
      </c>
      <c r="E499">
        <f t="shared" si="84"/>
        <v>1.41504705885909</v>
      </c>
      <c r="F499">
        <f t="shared" si="85"/>
        <v>-7.8527349442439887E-2</v>
      </c>
      <c r="G499">
        <f t="shared" si="88"/>
        <v>-2.0000000000002238E-3</v>
      </c>
      <c r="H499">
        <f>IF(MOD(COUNTA($C$7:C499)-1,$J$2),H498,ROUND(F499*P499,-2))</f>
        <v>-800</v>
      </c>
      <c r="I499">
        <f t="shared" si="89"/>
        <v>0</v>
      </c>
      <c r="J499">
        <f t="shared" si="90"/>
        <v>0</v>
      </c>
      <c r="K499">
        <f t="shared" si="91"/>
        <v>2031.7279975978688</v>
      </c>
      <c r="L499">
        <f t="shared" si="92"/>
        <v>260.52799759786876</v>
      </c>
      <c r="M499">
        <f t="shared" si="93"/>
        <v>1.6000000000001364</v>
      </c>
      <c r="N499">
        <f t="shared" si="95"/>
        <v>260.52799759786876</v>
      </c>
      <c r="O499" s="5">
        <f t="shared" si="86"/>
        <v>1.1156937143254025E-2</v>
      </c>
      <c r="P499">
        <f t="shared" si="94"/>
        <v>10000</v>
      </c>
      <c r="Q499">
        <f t="shared" si="87"/>
        <v>111.56937143254025</v>
      </c>
    </row>
    <row r="500" spans="1:17" x14ac:dyDescent="0.15">
      <c r="A500" s="10">
        <v>45886.444444444962</v>
      </c>
      <c r="B500">
        <f>COUNT(A500:$A$1158)/(48*252)</f>
        <v>5.4480820105820109E-2</v>
      </c>
      <c r="C500">
        <v>2.214</v>
      </c>
      <c r="D500">
        <v>6.0999999999999999E-2</v>
      </c>
      <c r="E500">
        <f t="shared" si="84"/>
        <v>1.4159998717879925</v>
      </c>
      <c r="F500">
        <f t="shared" si="85"/>
        <v>-7.8387771000414941E-2</v>
      </c>
      <c r="G500">
        <f t="shared" si="88"/>
        <v>0</v>
      </c>
      <c r="H500">
        <f>IF(MOD(COUNTA($C$7:C500)-1,$J$2),H499,ROUND(F500*P500,-2))</f>
        <v>-800</v>
      </c>
      <c r="I500">
        <f t="shared" si="89"/>
        <v>0</v>
      </c>
      <c r="J500">
        <f t="shared" si="90"/>
        <v>0</v>
      </c>
      <c r="K500">
        <f t="shared" si="91"/>
        <v>2031.7279975978688</v>
      </c>
      <c r="L500">
        <f t="shared" si="92"/>
        <v>260.52799759786876</v>
      </c>
      <c r="M500">
        <f t="shared" si="93"/>
        <v>0</v>
      </c>
      <c r="N500">
        <f t="shared" si="95"/>
        <v>260.52799759786876</v>
      </c>
      <c r="O500" s="5">
        <f t="shared" si="86"/>
        <v>1.1124340810519606E-2</v>
      </c>
      <c r="P500">
        <f t="shared" si="94"/>
        <v>10000</v>
      </c>
      <c r="Q500">
        <f t="shared" si="87"/>
        <v>111.24340810519607</v>
      </c>
    </row>
    <row r="501" spans="1:17" x14ac:dyDescent="0.15">
      <c r="A501" s="10">
        <v>45886.447916666977</v>
      </c>
      <c r="B501">
        <f>COUNT(A501:$A$1158)/(48*252)</f>
        <v>5.4398148148148147E-2</v>
      </c>
      <c r="C501">
        <v>2.21</v>
      </c>
      <c r="D501">
        <v>5.8999999999999997E-2</v>
      </c>
      <c r="E501">
        <f t="shared" si="84"/>
        <v>1.4034877008221283</v>
      </c>
      <c r="F501">
        <f t="shared" si="85"/>
        <v>-8.0235728516498073E-2</v>
      </c>
      <c r="G501">
        <f t="shared" si="88"/>
        <v>-4.0000000000000036E-3</v>
      </c>
      <c r="H501">
        <f>IF(MOD(COUNTA($C$7:C501)-1,$J$2),H500,ROUND(F501*P501,-2))</f>
        <v>-800</v>
      </c>
      <c r="I501">
        <f t="shared" si="89"/>
        <v>0</v>
      </c>
      <c r="J501">
        <f t="shared" si="90"/>
        <v>0</v>
      </c>
      <c r="K501">
        <f t="shared" si="91"/>
        <v>2031.7279975978688</v>
      </c>
      <c r="L501">
        <f t="shared" si="92"/>
        <v>263.72799759786881</v>
      </c>
      <c r="M501">
        <f t="shared" si="93"/>
        <v>3.2000000000000455</v>
      </c>
      <c r="N501">
        <f t="shared" si="95"/>
        <v>263.72799759786881</v>
      </c>
      <c r="O501" s="5">
        <f t="shared" si="86"/>
        <v>1.1408716970495392E-2</v>
      </c>
      <c r="P501">
        <f t="shared" si="94"/>
        <v>10000</v>
      </c>
      <c r="Q501">
        <f t="shared" si="87"/>
        <v>114.08716970495392</v>
      </c>
    </row>
    <row r="502" spans="1:17" x14ac:dyDescent="0.15">
      <c r="A502" s="10">
        <v>45886.451388888992</v>
      </c>
      <c r="B502">
        <f>COUNT(A502:$A$1158)/(48*252)</f>
        <v>5.4315476190476192E-2</v>
      </c>
      <c r="C502">
        <v>2.2090000000000001</v>
      </c>
      <c r="D502">
        <v>5.8000000000000003E-2</v>
      </c>
      <c r="E502">
        <f t="shared" si="84"/>
        <v>1.4010616182429196</v>
      </c>
      <c r="F502">
        <f t="shared" si="85"/>
        <v>-8.0597823919598355E-2</v>
      </c>
      <c r="G502">
        <f t="shared" si="88"/>
        <v>-9.9999999999988987E-4</v>
      </c>
      <c r="H502">
        <f>IF(MOD(COUNTA($C$7:C502)-1,$J$2),H501,ROUND(F502*P502,-2))</f>
        <v>-800</v>
      </c>
      <c r="I502">
        <f t="shared" si="89"/>
        <v>0</v>
      </c>
      <c r="J502">
        <f t="shared" si="90"/>
        <v>0</v>
      </c>
      <c r="K502">
        <f t="shared" si="91"/>
        <v>2031.7279975978688</v>
      </c>
      <c r="L502">
        <f t="shared" si="92"/>
        <v>264.52799759786876</v>
      </c>
      <c r="M502">
        <f t="shared" si="93"/>
        <v>0.79999999999995453</v>
      </c>
      <c r="N502">
        <f t="shared" si="95"/>
        <v>264.52799759786876</v>
      </c>
      <c r="O502" s="5">
        <f t="shared" si="86"/>
        <v>1.1455942424262067E-2</v>
      </c>
      <c r="P502">
        <f t="shared" si="94"/>
        <v>10000</v>
      </c>
      <c r="Q502">
        <f t="shared" si="87"/>
        <v>114.55942424262066</v>
      </c>
    </row>
    <row r="503" spans="1:17" x14ac:dyDescent="0.15">
      <c r="A503" s="10">
        <v>45886.454861111008</v>
      </c>
      <c r="B503">
        <f>COUNT(A503:$A$1158)/(48*252)</f>
        <v>5.423280423280423E-2</v>
      </c>
      <c r="C503">
        <v>2.2080000000000002</v>
      </c>
      <c r="D503">
        <v>5.8000000000000003E-2</v>
      </c>
      <c r="E503">
        <f t="shared" si="84"/>
        <v>1.3986311237310962</v>
      </c>
      <c r="F503">
        <f t="shared" si="85"/>
        <v>-8.0961814063558291E-2</v>
      </c>
      <c r="G503">
        <f t="shared" si="88"/>
        <v>-9.9999999999988987E-4</v>
      </c>
      <c r="H503">
        <f>IF(MOD(COUNTA($C$7:C503)-1,$J$2),H502,ROUND(F503*P503,-2))</f>
        <v>-800</v>
      </c>
      <c r="I503">
        <f t="shared" si="89"/>
        <v>0</v>
      </c>
      <c r="J503">
        <f t="shared" si="90"/>
        <v>0</v>
      </c>
      <c r="K503">
        <f t="shared" si="91"/>
        <v>2031.7279975978688</v>
      </c>
      <c r="L503">
        <f t="shared" si="92"/>
        <v>265.32799759786872</v>
      </c>
      <c r="M503">
        <f t="shared" si="93"/>
        <v>0.79999999999995453</v>
      </c>
      <c r="N503">
        <f t="shared" si="95"/>
        <v>265.32799759786872</v>
      </c>
      <c r="O503" s="5">
        <f t="shared" si="86"/>
        <v>1.1503407697591173E-2</v>
      </c>
      <c r="P503">
        <f t="shared" si="94"/>
        <v>10000</v>
      </c>
      <c r="Q503">
        <f t="shared" si="87"/>
        <v>115.03407697591173</v>
      </c>
    </row>
    <row r="504" spans="1:17" x14ac:dyDescent="0.15">
      <c r="A504" s="10">
        <v>45886.458333333023</v>
      </c>
      <c r="B504">
        <f>COUNT(A504:$A$1158)/(48*252)</f>
        <v>5.4150132275132275E-2</v>
      </c>
      <c r="C504">
        <v>2.2069999999999999</v>
      </c>
      <c r="D504">
        <v>5.8000000000000003E-2</v>
      </c>
      <c r="E504">
        <f t="shared" si="84"/>
        <v>1.3961962034317066</v>
      </c>
      <c r="F504">
        <f t="shared" si="85"/>
        <v>-8.1327709841198637E-2</v>
      </c>
      <c r="G504">
        <f t="shared" si="88"/>
        <v>-1.000000000000334E-3</v>
      </c>
      <c r="H504">
        <f>IF(MOD(COUNTA($C$7:C504)-1,$J$2),H503,ROUND(F504*P504,-2))</f>
        <v>-800</v>
      </c>
      <c r="I504">
        <f t="shared" si="89"/>
        <v>0</v>
      </c>
      <c r="J504">
        <f t="shared" si="90"/>
        <v>0</v>
      </c>
      <c r="K504">
        <f t="shared" si="91"/>
        <v>2031.7279975978688</v>
      </c>
      <c r="L504">
        <f t="shared" si="92"/>
        <v>266.1279975978689</v>
      </c>
      <c r="M504">
        <f t="shared" si="93"/>
        <v>0.8000000000001819</v>
      </c>
      <c r="N504">
        <f t="shared" si="95"/>
        <v>266.1279975978689</v>
      </c>
      <c r="O504" s="5">
        <f t="shared" si="86"/>
        <v>1.1551114192880269E-2</v>
      </c>
      <c r="P504">
        <f t="shared" si="94"/>
        <v>10000</v>
      </c>
      <c r="Q504">
        <f t="shared" si="87"/>
        <v>115.51114192880269</v>
      </c>
    </row>
    <row r="505" spans="1:17" x14ac:dyDescent="0.15">
      <c r="A505" s="10">
        <v>45886.461805555969</v>
      </c>
      <c r="B505">
        <f>COUNT(A505:$A$1158)/(48*252)</f>
        <v>5.406746031746032E-2</v>
      </c>
      <c r="C505">
        <v>2.2080000000000002</v>
      </c>
      <c r="D505">
        <v>5.8999999999999997E-2</v>
      </c>
      <c r="E505">
        <f t="shared" si="84"/>
        <v>1.4005263278035762</v>
      </c>
      <c r="F505">
        <f t="shared" si="85"/>
        <v>-8.0677882536506318E-2</v>
      </c>
      <c r="G505">
        <f t="shared" si="88"/>
        <v>1.000000000000334E-3</v>
      </c>
      <c r="H505">
        <f>IF(MOD(COUNTA($C$7:C505)-1,$J$2),H504,ROUND(F505*P505,-2))</f>
        <v>-800</v>
      </c>
      <c r="I505">
        <f t="shared" si="89"/>
        <v>0</v>
      </c>
      <c r="J505">
        <f t="shared" si="90"/>
        <v>0</v>
      </c>
      <c r="K505">
        <f t="shared" si="91"/>
        <v>2031.7279975978688</v>
      </c>
      <c r="L505">
        <f t="shared" si="92"/>
        <v>265.32799759786872</v>
      </c>
      <c r="M505">
        <f t="shared" si="93"/>
        <v>-0.8000000000001819</v>
      </c>
      <c r="N505">
        <f t="shared" si="95"/>
        <v>265.32799759786872</v>
      </c>
      <c r="O505" s="5">
        <f t="shared" si="86"/>
        <v>1.1436691674702681E-2</v>
      </c>
      <c r="P505">
        <f t="shared" si="94"/>
        <v>10000</v>
      </c>
      <c r="Q505">
        <f t="shared" si="87"/>
        <v>114.36691674702682</v>
      </c>
    </row>
    <row r="506" spans="1:17" x14ac:dyDescent="0.15">
      <c r="A506" s="10">
        <v>45886.465277777985</v>
      </c>
      <c r="B506">
        <f>COUNT(A506:$A$1158)/(48*252)</f>
        <v>5.3984788359788358E-2</v>
      </c>
      <c r="C506">
        <v>2.2080000000000002</v>
      </c>
      <c r="D506">
        <v>5.8000000000000003E-2</v>
      </c>
      <c r="E506">
        <f t="shared" si="84"/>
        <v>1.4014773319874638</v>
      </c>
      <c r="F506">
        <f t="shared" si="85"/>
        <v>-8.0535690729262699E-2</v>
      </c>
      <c r="G506">
        <f t="shared" si="88"/>
        <v>0</v>
      </c>
      <c r="H506">
        <f>IF(MOD(COUNTA($C$7:C506)-1,$J$2),H505,ROUND(F506*P506,-2))</f>
        <v>-800</v>
      </c>
      <c r="I506">
        <f t="shared" si="89"/>
        <v>0</v>
      </c>
      <c r="J506">
        <f t="shared" si="90"/>
        <v>0</v>
      </c>
      <c r="K506">
        <f t="shared" si="91"/>
        <v>2031.7279975978688</v>
      </c>
      <c r="L506">
        <f t="shared" si="92"/>
        <v>265.32799759786872</v>
      </c>
      <c r="M506">
        <f t="shared" si="93"/>
        <v>0</v>
      </c>
      <c r="N506">
        <f t="shared" si="95"/>
        <v>265.32799759786872</v>
      </c>
      <c r="O506" s="5">
        <f t="shared" si="86"/>
        <v>1.1403361022434527E-2</v>
      </c>
      <c r="P506">
        <f t="shared" si="94"/>
        <v>10000</v>
      </c>
      <c r="Q506">
        <f t="shared" si="87"/>
        <v>114.03361022434527</v>
      </c>
    </row>
    <row r="507" spans="1:17" x14ac:dyDescent="0.15">
      <c r="A507" s="10">
        <v>45886.46875</v>
      </c>
      <c r="B507">
        <f>COUNT(A507:$A$1158)/(48*252)</f>
        <v>5.3902116402116403E-2</v>
      </c>
      <c r="C507">
        <v>2.2120000000000002</v>
      </c>
      <c r="D507">
        <v>0.06</v>
      </c>
      <c r="E507">
        <f t="shared" si="84"/>
        <v>1.4159719300156197</v>
      </c>
      <c r="F507">
        <f t="shared" si="85"/>
        <v>-7.8391861537253527E-2</v>
      </c>
      <c r="G507">
        <f t="shared" si="88"/>
        <v>4.0000000000000036E-3</v>
      </c>
      <c r="H507">
        <f>IF(MOD(COUNTA($C$7:C507)-1,$J$2),H506,ROUND(F507*P507,-2))</f>
        <v>-800</v>
      </c>
      <c r="I507">
        <f t="shared" si="89"/>
        <v>0</v>
      </c>
      <c r="J507">
        <f t="shared" si="90"/>
        <v>0</v>
      </c>
      <c r="K507">
        <f t="shared" si="91"/>
        <v>2031.7279975978688</v>
      </c>
      <c r="L507">
        <f t="shared" si="92"/>
        <v>262.12799759786867</v>
      </c>
      <c r="M507">
        <f t="shared" si="93"/>
        <v>-3.2000000000000455</v>
      </c>
      <c r="N507">
        <f t="shared" si="95"/>
        <v>262.12799759786867</v>
      </c>
      <c r="O507" s="5">
        <f t="shared" si="86"/>
        <v>1.1052492244751189E-2</v>
      </c>
      <c r="P507">
        <f t="shared" si="94"/>
        <v>10000</v>
      </c>
      <c r="Q507">
        <f t="shared" si="87"/>
        <v>110.52492244751188</v>
      </c>
    </row>
    <row r="508" spans="1:17" x14ac:dyDescent="0.15">
      <c r="A508" s="10">
        <v>45886.472222222015</v>
      </c>
      <c r="B508">
        <f>COUNT(A508:$A$1158)/(48*252)</f>
        <v>5.3819444444444448E-2</v>
      </c>
      <c r="C508">
        <v>2.214</v>
      </c>
      <c r="D508">
        <v>6.0999999999999999E-2</v>
      </c>
      <c r="E508">
        <f t="shared" si="84"/>
        <v>1.4237045673140609</v>
      </c>
      <c r="F508">
        <f t="shared" si="85"/>
        <v>-7.7266005517055203E-2</v>
      </c>
      <c r="G508">
        <f t="shared" si="88"/>
        <v>1.9999999999997797E-3</v>
      </c>
      <c r="H508">
        <f>IF(MOD(COUNTA($C$7:C508)-1,$J$2),H507,ROUND(F508*P508,-2))</f>
        <v>-800</v>
      </c>
      <c r="I508">
        <f t="shared" si="89"/>
        <v>0</v>
      </c>
      <c r="J508">
        <f t="shared" si="90"/>
        <v>0</v>
      </c>
      <c r="K508">
        <f t="shared" si="91"/>
        <v>2031.7279975978688</v>
      </c>
      <c r="L508">
        <f t="shared" si="92"/>
        <v>260.52799759786876</v>
      </c>
      <c r="M508">
        <f t="shared" si="93"/>
        <v>-1.5999999999999091</v>
      </c>
      <c r="N508">
        <f t="shared" si="95"/>
        <v>260.52799759786876</v>
      </c>
      <c r="O508" s="5">
        <f t="shared" si="86"/>
        <v>1.0864251203848874E-2</v>
      </c>
      <c r="P508">
        <f t="shared" si="94"/>
        <v>10000</v>
      </c>
      <c r="Q508">
        <f t="shared" si="87"/>
        <v>108.64251203848873</v>
      </c>
    </row>
    <row r="509" spans="1:17" x14ac:dyDescent="0.15">
      <c r="A509" s="10">
        <v>45886.475694444962</v>
      </c>
      <c r="B509">
        <f>COUNT(A509:$A$1158)/(48*252)</f>
        <v>5.3736772486772486E-2</v>
      </c>
      <c r="C509">
        <v>2.2120000000000002</v>
      </c>
      <c r="D509">
        <v>0.06</v>
      </c>
      <c r="E509">
        <f t="shared" si="84"/>
        <v>1.4179061894290959</v>
      </c>
      <c r="F509">
        <f t="shared" si="85"/>
        <v>-7.8109077560097218E-2</v>
      </c>
      <c r="G509">
        <f t="shared" si="88"/>
        <v>-1.9999999999997797E-3</v>
      </c>
      <c r="H509">
        <f>IF(MOD(COUNTA($C$7:C509)-1,$J$2),H508,ROUND(F509*P509,-2))</f>
        <v>-800</v>
      </c>
      <c r="I509">
        <f t="shared" si="89"/>
        <v>0</v>
      </c>
      <c r="J509">
        <f t="shared" si="90"/>
        <v>0</v>
      </c>
      <c r="K509">
        <f t="shared" si="91"/>
        <v>2031.7279975978688</v>
      </c>
      <c r="L509">
        <f t="shared" si="92"/>
        <v>262.12799759786867</v>
      </c>
      <c r="M509">
        <f t="shared" si="93"/>
        <v>1.5999999999999091</v>
      </c>
      <c r="N509">
        <f t="shared" si="95"/>
        <v>262.12799759786867</v>
      </c>
      <c r="O509" s="5">
        <f t="shared" si="86"/>
        <v>1.0987058931902244E-2</v>
      </c>
      <c r="P509">
        <f t="shared" si="94"/>
        <v>10000</v>
      </c>
      <c r="Q509">
        <f t="shared" si="87"/>
        <v>109.87058931902244</v>
      </c>
    </row>
    <row r="510" spans="1:17" x14ac:dyDescent="0.15">
      <c r="A510" s="10">
        <v>45886.479166666977</v>
      </c>
      <c r="B510">
        <f>COUNT(A510:$A$1158)/(48*252)</f>
        <v>5.365410052910053E-2</v>
      </c>
      <c r="C510">
        <v>2.2189999999999999</v>
      </c>
      <c r="D510">
        <v>6.2E-2</v>
      </c>
      <c r="E510">
        <f t="shared" si="84"/>
        <v>1.4425698657892378</v>
      </c>
      <c r="F510">
        <f t="shared" si="85"/>
        <v>-7.4570838625780733E-2</v>
      </c>
      <c r="G510">
        <f t="shared" si="88"/>
        <v>6.9999999999996732E-3</v>
      </c>
      <c r="H510">
        <f>IF(MOD(COUNTA($C$7:C510)-1,$J$2),H509,ROUND(F510*P510,-2))</f>
        <v>-800</v>
      </c>
      <c r="I510">
        <f t="shared" si="89"/>
        <v>0</v>
      </c>
      <c r="J510">
        <f t="shared" si="90"/>
        <v>0</v>
      </c>
      <c r="K510">
        <f t="shared" si="91"/>
        <v>2031.7279975978688</v>
      </c>
      <c r="L510">
        <f t="shared" si="92"/>
        <v>256.52799759786899</v>
      </c>
      <c r="M510">
        <f t="shared" si="93"/>
        <v>-5.5999999999996817</v>
      </c>
      <c r="N510">
        <f t="shared" si="95"/>
        <v>256.52799759786899</v>
      </c>
      <c r="O510" s="5">
        <f t="shared" si="86"/>
        <v>1.0420560402119999E-2</v>
      </c>
      <c r="P510">
        <f t="shared" si="94"/>
        <v>10000</v>
      </c>
      <c r="Q510">
        <f t="shared" si="87"/>
        <v>104.20560402119999</v>
      </c>
    </row>
    <row r="511" spans="1:17" x14ac:dyDescent="0.15">
      <c r="A511" s="10">
        <v>45886.545138888992</v>
      </c>
      <c r="B511">
        <f>COUNT(A511:$A$1158)/(48*252)</f>
        <v>5.3571428571428568E-2</v>
      </c>
      <c r="C511">
        <v>2.2170000000000001</v>
      </c>
      <c r="D511">
        <v>6.2E-2</v>
      </c>
      <c r="E511">
        <f t="shared" si="84"/>
        <v>1.4367940762952447</v>
      </c>
      <c r="F511">
        <f t="shared" si="85"/>
        <v>-7.5388257044275542E-2</v>
      </c>
      <c r="G511">
        <f t="shared" si="88"/>
        <v>-1.9999999999997797E-3</v>
      </c>
      <c r="H511">
        <f>IF(MOD(COUNTA($C$7:C511)-1,$J$2),H510,ROUND(F511*P511,-2))</f>
        <v>-800</v>
      </c>
      <c r="I511">
        <f t="shared" si="89"/>
        <v>0</v>
      </c>
      <c r="J511">
        <f t="shared" si="90"/>
        <v>0</v>
      </c>
      <c r="K511">
        <f t="shared" si="91"/>
        <v>2031.7279975978688</v>
      </c>
      <c r="L511">
        <f t="shared" si="92"/>
        <v>258.12799759786867</v>
      </c>
      <c r="M511">
        <f t="shared" si="93"/>
        <v>1.5999999999996817</v>
      </c>
      <c r="N511">
        <f t="shared" si="95"/>
        <v>258.12799759786867</v>
      </c>
      <c r="O511" s="5">
        <f t="shared" si="86"/>
        <v>1.0538694420875044E-2</v>
      </c>
      <c r="P511">
        <f t="shared" si="94"/>
        <v>10000</v>
      </c>
      <c r="Q511">
        <f t="shared" si="87"/>
        <v>105.38694420875045</v>
      </c>
    </row>
    <row r="512" spans="1:17" x14ac:dyDescent="0.15">
      <c r="A512" s="10">
        <v>45886.548611111008</v>
      </c>
      <c r="B512">
        <f>COUNT(A512:$A$1158)/(48*252)</f>
        <v>5.3488756613756613E-2</v>
      </c>
      <c r="C512">
        <v>2.218</v>
      </c>
      <c r="D512">
        <v>6.0999999999999999E-2</v>
      </c>
      <c r="E512">
        <f t="shared" si="84"/>
        <v>1.4411693641994088</v>
      </c>
      <c r="F512">
        <f t="shared" si="85"/>
        <v>-7.4768420547438041E-2</v>
      </c>
      <c r="G512">
        <f t="shared" si="88"/>
        <v>9.9999999999988987E-4</v>
      </c>
      <c r="H512">
        <f>IF(MOD(COUNTA($C$7:C512)-1,$J$2),H511,ROUND(F512*P512,-2))</f>
        <v>-800</v>
      </c>
      <c r="I512">
        <f t="shared" si="89"/>
        <v>0</v>
      </c>
      <c r="J512">
        <f t="shared" si="90"/>
        <v>0</v>
      </c>
      <c r="K512">
        <f t="shared" si="91"/>
        <v>2031.7279975978688</v>
      </c>
      <c r="L512">
        <f t="shared" si="92"/>
        <v>257.32799759786872</v>
      </c>
      <c r="M512">
        <f t="shared" si="93"/>
        <v>-0.79999999999995453</v>
      </c>
      <c r="N512">
        <f t="shared" si="95"/>
        <v>257.32799759786872</v>
      </c>
      <c r="O512" s="5">
        <f t="shared" si="86"/>
        <v>1.0431742973759428E-2</v>
      </c>
      <c r="P512">
        <f t="shared" si="94"/>
        <v>10000</v>
      </c>
      <c r="Q512">
        <f t="shared" si="87"/>
        <v>104.31742973759428</v>
      </c>
    </row>
    <row r="513" spans="1:17" x14ac:dyDescent="0.15">
      <c r="A513" s="10">
        <v>45886.552083333023</v>
      </c>
      <c r="B513">
        <f>COUNT(A513:$A$1158)/(48*252)</f>
        <v>5.3406084656084658E-2</v>
      </c>
      <c r="C513">
        <v>2.218</v>
      </c>
      <c r="D513">
        <v>6.0999999999999999E-2</v>
      </c>
      <c r="E513">
        <f t="shared" si="84"/>
        <v>1.4421627713300877</v>
      </c>
      <c r="F513">
        <f t="shared" si="85"/>
        <v>-7.4628230137944285E-2</v>
      </c>
      <c r="G513">
        <f t="shared" si="88"/>
        <v>0</v>
      </c>
      <c r="H513">
        <f>IF(MOD(COUNTA($C$7:C513)-1,$J$2),H512,ROUND(F513*P513,-2))</f>
        <v>-700</v>
      </c>
      <c r="I513">
        <f t="shared" si="89"/>
        <v>100</v>
      </c>
      <c r="J513">
        <f t="shared" si="90"/>
        <v>0</v>
      </c>
      <c r="K513">
        <f t="shared" si="91"/>
        <v>1809.9180165978689</v>
      </c>
      <c r="L513">
        <f t="shared" si="92"/>
        <v>257.31801659786902</v>
      </c>
      <c r="M513">
        <f t="shared" si="93"/>
        <v>-9.9809999996978149E-3</v>
      </c>
      <c r="N513">
        <f t="shared" si="95"/>
        <v>257.31801659786902</v>
      </c>
      <c r="O513" s="5">
        <f t="shared" si="86"/>
        <v>1.0399960009389669E-2</v>
      </c>
      <c r="P513">
        <f t="shared" si="94"/>
        <v>10000</v>
      </c>
      <c r="Q513">
        <f t="shared" si="87"/>
        <v>103.99960009389669</v>
      </c>
    </row>
    <row r="514" spans="1:17" x14ac:dyDescent="0.15">
      <c r="A514" s="10">
        <v>45886.555555555969</v>
      </c>
      <c r="B514">
        <f>COUNT(A514:$A$1158)/(48*252)</f>
        <v>5.3323412698412696E-2</v>
      </c>
      <c r="C514">
        <v>2.218</v>
      </c>
      <c r="D514">
        <v>6.0999999999999999E-2</v>
      </c>
      <c r="E514">
        <f t="shared" si="84"/>
        <v>1.4431585820561796</v>
      </c>
      <c r="F514">
        <f t="shared" si="85"/>
        <v>-7.4487901960657577E-2</v>
      </c>
      <c r="G514">
        <f t="shared" si="88"/>
        <v>0</v>
      </c>
      <c r="H514">
        <f>IF(MOD(COUNTA($C$7:C514)-1,$J$2),H513,ROUND(F514*P514,-2))</f>
        <v>-700</v>
      </c>
      <c r="I514">
        <f t="shared" si="89"/>
        <v>0</v>
      </c>
      <c r="J514">
        <f t="shared" si="90"/>
        <v>0</v>
      </c>
      <c r="K514">
        <f t="shared" si="91"/>
        <v>1809.9180165978689</v>
      </c>
      <c r="L514">
        <f t="shared" si="92"/>
        <v>257.31801659786902</v>
      </c>
      <c r="M514">
        <f t="shared" si="93"/>
        <v>0</v>
      </c>
      <c r="N514">
        <f t="shared" si="95"/>
        <v>257.31801659786902</v>
      </c>
      <c r="O514" s="5">
        <f t="shared" si="86"/>
        <v>1.0368197465306067E-2</v>
      </c>
      <c r="P514">
        <f t="shared" si="94"/>
        <v>10000</v>
      </c>
      <c r="Q514">
        <f t="shared" si="87"/>
        <v>103.68197465306068</v>
      </c>
    </row>
    <row r="515" spans="1:17" x14ac:dyDescent="0.15">
      <c r="A515" s="10">
        <v>45886.559027777985</v>
      </c>
      <c r="B515">
        <f>COUNT(A515:$A$1158)/(48*252)</f>
        <v>5.3240740740740741E-2</v>
      </c>
      <c r="C515">
        <v>2.2210000000000001</v>
      </c>
      <c r="D515">
        <v>6.2E-2</v>
      </c>
      <c r="E515">
        <f t="shared" si="84"/>
        <v>1.4543319367990577</v>
      </c>
      <c r="F515">
        <f t="shared" si="85"/>
        <v>-7.2927150091521731E-2</v>
      </c>
      <c r="G515">
        <f t="shared" si="88"/>
        <v>3.0000000000001137E-3</v>
      </c>
      <c r="H515">
        <f>IF(MOD(COUNTA($C$7:C515)-1,$J$2),H514,ROUND(F515*P515,-2))</f>
        <v>-700</v>
      </c>
      <c r="I515">
        <f t="shared" si="89"/>
        <v>0</v>
      </c>
      <c r="J515">
        <f t="shared" si="90"/>
        <v>0</v>
      </c>
      <c r="K515">
        <f t="shared" si="91"/>
        <v>1809.9180165978689</v>
      </c>
      <c r="L515">
        <f t="shared" si="92"/>
        <v>255.21801659786888</v>
      </c>
      <c r="M515">
        <f t="shared" si="93"/>
        <v>-2.1000000000001364</v>
      </c>
      <c r="N515">
        <f t="shared" si="95"/>
        <v>255.21801659786888</v>
      </c>
      <c r="O515" s="5">
        <f t="shared" si="86"/>
        <v>1.0115549268576995E-2</v>
      </c>
      <c r="P515">
        <f t="shared" si="94"/>
        <v>10000</v>
      </c>
      <c r="Q515">
        <f t="shared" si="87"/>
        <v>101.15549268576996</v>
      </c>
    </row>
    <row r="516" spans="1:17" x14ac:dyDescent="0.15">
      <c r="A516" s="10">
        <v>45886.5625</v>
      </c>
      <c r="B516">
        <f>COUNT(A516:$A$1158)/(48*252)</f>
        <v>5.3158068783068786E-2</v>
      </c>
      <c r="C516">
        <v>2.222</v>
      </c>
      <c r="D516">
        <v>6.2E-2</v>
      </c>
      <c r="E516">
        <f t="shared" si="84"/>
        <v>1.4587317824889632</v>
      </c>
      <c r="F516">
        <f t="shared" si="85"/>
        <v>-7.2319472422877062E-2</v>
      </c>
      <c r="G516">
        <f t="shared" si="88"/>
        <v>9.9999999999988987E-4</v>
      </c>
      <c r="H516">
        <f>IF(MOD(COUNTA($C$7:C516)-1,$J$2),H515,ROUND(F516*P516,-2))</f>
        <v>-700</v>
      </c>
      <c r="I516">
        <f t="shared" si="89"/>
        <v>0</v>
      </c>
      <c r="J516">
        <f t="shared" si="90"/>
        <v>0</v>
      </c>
      <c r="K516">
        <f t="shared" si="91"/>
        <v>1809.9180165978689</v>
      </c>
      <c r="L516">
        <f t="shared" si="92"/>
        <v>254.51801659786884</v>
      </c>
      <c r="M516">
        <f t="shared" si="93"/>
        <v>-0.70000000000004547</v>
      </c>
      <c r="N516">
        <f t="shared" si="95"/>
        <v>254.51801659786884</v>
      </c>
      <c r="O516" s="5">
        <f t="shared" si="86"/>
        <v>1.0011694923180492E-2</v>
      </c>
      <c r="P516">
        <f t="shared" si="94"/>
        <v>10000</v>
      </c>
      <c r="Q516">
        <f t="shared" si="87"/>
        <v>100.11694923180492</v>
      </c>
    </row>
    <row r="517" spans="1:17" x14ac:dyDescent="0.15">
      <c r="A517" s="10">
        <v>45886.565972222015</v>
      </c>
      <c r="B517">
        <f>COUNT(A517:$A$1158)/(48*252)</f>
        <v>5.3075396825396824E-2</v>
      </c>
      <c r="C517">
        <v>2.218</v>
      </c>
      <c r="D517">
        <v>6.2E-2</v>
      </c>
      <c r="E517">
        <f t="shared" si="84"/>
        <v>1.4461605300663876</v>
      </c>
      <c r="F517">
        <f t="shared" si="85"/>
        <v>-7.4066090705145915E-2</v>
      </c>
      <c r="G517">
        <f t="shared" si="88"/>
        <v>-4.0000000000000036E-3</v>
      </c>
      <c r="H517">
        <f>IF(MOD(COUNTA($C$7:C517)-1,$J$2),H516,ROUND(F517*P517,-2))</f>
        <v>-700</v>
      </c>
      <c r="I517">
        <f t="shared" si="89"/>
        <v>0</v>
      </c>
      <c r="J517">
        <f t="shared" si="90"/>
        <v>0</v>
      </c>
      <c r="K517">
        <f t="shared" si="91"/>
        <v>1809.9180165978689</v>
      </c>
      <c r="L517">
        <f t="shared" si="92"/>
        <v>257.31801659786902</v>
      </c>
      <c r="M517">
        <f t="shared" si="93"/>
        <v>2.8000000000001819</v>
      </c>
      <c r="N517">
        <f t="shared" si="95"/>
        <v>257.31801659786902</v>
      </c>
      <c r="O517" s="5">
        <f t="shared" si="86"/>
        <v>1.0273033259931758E-2</v>
      </c>
      <c r="P517">
        <f t="shared" si="94"/>
        <v>10000</v>
      </c>
      <c r="Q517">
        <f t="shared" si="87"/>
        <v>102.73033259931758</v>
      </c>
    </row>
    <row r="518" spans="1:17" x14ac:dyDescent="0.15">
      <c r="A518" s="10">
        <v>45886.569444444962</v>
      </c>
      <c r="B518">
        <f>COUNT(A518:$A$1158)/(48*252)</f>
        <v>5.2992724867724869E-2</v>
      </c>
      <c r="C518">
        <v>2.222</v>
      </c>
      <c r="D518">
        <v>6.3E-2</v>
      </c>
      <c r="E518">
        <f t="shared" si="84"/>
        <v>1.4607615405435339</v>
      </c>
      <c r="F518">
        <f t="shared" si="85"/>
        <v>-7.2040446864974683E-2</v>
      </c>
      <c r="G518">
        <f t="shared" si="88"/>
        <v>4.0000000000000036E-3</v>
      </c>
      <c r="H518">
        <f>IF(MOD(COUNTA($C$7:C518)-1,$J$2),H517,ROUND(F518*P518,-2))</f>
        <v>-700</v>
      </c>
      <c r="I518">
        <f t="shared" si="89"/>
        <v>0</v>
      </c>
      <c r="J518">
        <f t="shared" si="90"/>
        <v>0</v>
      </c>
      <c r="K518">
        <f t="shared" si="91"/>
        <v>1809.9180165978689</v>
      </c>
      <c r="L518">
        <f t="shared" si="92"/>
        <v>254.51801659786884</v>
      </c>
      <c r="M518">
        <f t="shared" si="93"/>
        <v>-2.8000000000001819</v>
      </c>
      <c r="N518">
        <f t="shared" si="95"/>
        <v>254.51801659786884</v>
      </c>
      <c r="O518" s="5">
        <f t="shared" si="86"/>
        <v>9.9494355382454269E-3</v>
      </c>
      <c r="P518">
        <f t="shared" si="94"/>
        <v>10000</v>
      </c>
      <c r="Q518">
        <f t="shared" si="87"/>
        <v>99.494355382454273</v>
      </c>
    </row>
    <row r="519" spans="1:17" x14ac:dyDescent="0.15">
      <c r="A519" s="10">
        <v>45886.572916666977</v>
      </c>
      <c r="B519">
        <f>COUNT(A519:$A$1158)/(48*252)</f>
        <v>5.2910052910052907E-2</v>
      </c>
      <c r="C519">
        <v>2.2229999999999999</v>
      </c>
      <c r="D519">
        <v>6.3E-2</v>
      </c>
      <c r="E519">
        <f t="shared" si="84"/>
        <v>1.4651778285579853</v>
      </c>
      <c r="F519">
        <f t="shared" si="85"/>
        <v>-7.1436203492717509E-2</v>
      </c>
      <c r="G519">
        <f t="shared" si="88"/>
        <v>9.9999999999988987E-4</v>
      </c>
      <c r="H519">
        <f>IF(MOD(COUNTA($C$7:C519)-1,$J$2),H518,ROUND(F519*P519,-2))</f>
        <v>-700</v>
      </c>
      <c r="I519">
        <f t="shared" si="89"/>
        <v>0</v>
      </c>
      <c r="J519">
        <f t="shared" si="90"/>
        <v>0</v>
      </c>
      <c r="K519">
        <f t="shared" si="91"/>
        <v>1809.9180165978689</v>
      </c>
      <c r="L519">
        <f t="shared" si="92"/>
        <v>253.81801659786902</v>
      </c>
      <c r="M519">
        <f t="shared" si="93"/>
        <v>-0.6999999999998181</v>
      </c>
      <c r="N519">
        <f t="shared" si="95"/>
        <v>253.81801659786902</v>
      </c>
      <c r="O519" s="5">
        <f t="shared" si="86"/>
        <v>9.8466696639492035E-3</v>
      </c>
      <c r="P519">
        <f t="shared" si="94"/>
        <v>10000</v>
      </c>
      <c r="Q519">
        <f t="shared" si="87"/>
        <v>98.466696639492028</v>
      </c>
    </row>
    <row r="520" spans="1:17" x14ac:dyDescent="0.15">
      <c r="A520" s="10">
        <v>45886.576388888992</v>
      </c>
      <c r="B520">
        <f>COUNT(A520:$A$1158)/(48*252)</f>
        <v>5.2827380952380952E-2</v>
      </c>
      <c r="C520">
        <v>2.2170000000000001</v>
      </c>
      <c r="D520">
        <v>6.0999999999999999E-2</v>
      </c>
      <c r="E520">
        <f t="shared" ref="E520:E583" si="96">(LN(C520/$B$2)+($B$1+0.5*$D$1*$D$1)*B520)/($D$1*SQRT(B520))</f>
        <v>1.4457764273335965</v>
      </c>
      <c r="F520">
        <f t="shared" ref="F520:F583" si="97">NORMSDIST(E520)-1</f>
        <v>-7.4119959916830402E-2</v>
      </c>
      <c r="G520">
        <f t="shared" si="88"/>
        <v>-5.9999999999997833E-3</v>
      </c>
      <c r="H520">
        <f>IF(MOD(COUNTA($C$7:C520)-1,$J$2),H519,ROUND(F520*P520,-2))</f>
        <v>-700</v>
      </c>
      <c r="I520">
        <f t="shared" si="89"/>
        <v>0</v>
      </c>
      <c r="J520">
        <f t="shared" si="90"/>
        <v>0</v>
      </c>
      <c r="K520">
        <f t="shared" si="91"/>
        <v>1809.9180165978689</v>
      </c>
      <c r="L520">
        <f t="shared" si="92"/>
        <v>258.01801659786884</v>
      </c>
      <c r="M520">
        <f t="shared" si="93"/>
        <v>4.1999999999998181</v>
      </c>
      <c r="N520">
        <f t="shared" si="95"/>
        <v>258.01801659786884</v>
      </c>
      <c r="O520" s="5">
        <f t="shared" ref="O520:O583" si="98">put_bs($B$1,$J$1,C520,$B$2,B520)</f>
        <v>1.0251937396049932E-2</v>
      </c>
      <c r="P520">
        <f t="shared" si="94"/>
        <v>10000</v>
      </c>
      <c r="Q520">
        <f t="shared" ref="Q520:Q583" si="99">P520*O520</f>
        <v>102.51937396049932</v>
      </c>
    </row>
    <row r="521" spans="1:17" x14ac:dyDescent="0.15">
      <c r="A521" s="10">
        <v>45886.579861111008</v>
      </c>
      <c r="B521">
        <f>COUNT(A521:$A$1158)/(48*252)</f>
        <v>5.2744708994708997E-2</v>
      </c>
      <c r="C521">
        <v>2.2160000000000002</v>
      </c>
      <c r="D521">
        <v>6.0999999999999999E-2</v>
      </c>
      <c r="E521">
        <f t="shared" si="96"/>
        <v>1.4433744263097019</v>
      </c>
      <c r="F521">
        <f t="shared" si="97"/>
        <v>-7.4457512086471445E-2</v>
      </c>
      <c r="G521">
        <f t="shared" ref="G521:G584" si="100">C521-C520</f>
        <v>-9.9999999999988987E-4</v>
      </c>
      <c r="H521">
        <f>IF(MOD(COUNTA($C$7:C521)-1,$J$2),H520,ROUND(F521*P521,-2))</f>
        <v>-700</v>
      </c>
      <c r="I521">
        <f t="shared" ref="I521:I584" si="101">H521-H520</f>
        <v>0</v>
      </c>
      <c r="J521">
        <f t="shared" ref="J521:J584" si="102">J520</f>
        <v>0</v>
      </c>
      <c r="K521">
        <f t="shared" ref="K521:K584" si="103">K520-I521*C521-ABS(I521*C521*$F$2)</f>
        <v>1809.9180165978689</v>
      </c>
      <c r="L521">
        <f t="shared" ref="L521:L584" si="104">K521+H521*C521</f>
        <v>258.71801659786888</v>
      </c>
      <c r="M521">
        <f t="shared" ref="M521:M584" si="105">L521-L520</f>
        <v>0.70000000000004547</v>
      </c>
      <c r="N521">
        <f t="shared" si="95"/>
        <v>258.71801659786888</v>
      </c>
      <c r="O521" s="5">
        <f t="shared" si="98"/>
        <v>1.029439659995493E-2</v>
      </c>
      <c r="P521">
        <f t="shared" ref="P521:P584" si="106">P520</f>
        <v>10000</v>
      </c>
      <c r="Q521">
        <f t="shared" si="99"/>
        <v>102.94396599954931</v>
      </c>
    </row>
    <row r="522" spans="1:17" x14ac:dyDescent="0.15">
      <c r="A522" s="10">
        <v>45886.583333333023</v>
      </c>
      <c r="B522">
        <f>COUNT(A522:$A$1158)/(48*252)</f>
        <v>5.2662037037037035E-2</v>
      </c>
      <c r="C522">
        <v>2.2170000000000001</v>
      </c>
      <c r="D522">
        <v>6.2E-2</v>
      </c>
      <c r="E522">
        <f t="shared" si="96"/>
        <v>1.4477993656644956</v>
      </c>
      <c r="F522">
        <f t="shared" si="97"/>
        <v>-7.3836585118491227E-2</v>
      </c>
      <c r="G522">
        <f t="shared" si="100"/>
        <v>9.9999999999988987E-4</v>
      </c>
      <c r="H522">
        <f>IF(MOD(COUNTA($C$7:C522)-1,$J$2),H521,ROUND(F522*P522,-2))</f>
        <v>-700</v>
      </c>
      <c r="I522">
        <f t="shared" si="101"/>
        <v>0</v>
      </c>
      <c r="J522">
        <f t="shared" si="102"/>
        <v>0</v>
      </c>
      <c r="K522">
        <f t="shared" si="103"/>
        <v>1809.9180165978689</v>
      </c>
      <c r="L522">
        <f t="shared" si="104"/>
        <v>258.01801659786884</v>
      </c>
      <c r="M522">
        <f t="shared" si="105"/>
        <v>-0.70000000000004547</v>
      </c>
      <c r="N522">
        <f t="shared" ref="N522:N585" si="107">L522-$F$1</f>
        <v>258.01801659786884</v>
      </c>
      <c r="O522" s="5">
        <f t="shared" si="98"/>
        <v>1.0188441393845532E-2</v>
      </c>
      <c r="P522">
        <f t="shared" si="106"/>
        <v>10000</v>
      </c>
      <c r="Q522">
        <f t="shared" si="99"/>
        <v>101.88441393845532</v>
      </c>
    </row>
    <row r="523" spans="1:17" x14ac:dyDescent="0.15">
      <c r="A523" s="10">
        <v>45886.586805555969</v>
      </c>
      <c r="B523">
        <f>COUNT(A523:$A$1158)/(48*252)</f>
        <v>5.257936507936508E-2</v>
      </c>
      <c r="C523">
        <v>2.2170000000000001</v>
      </c>
      <c r="D523">
        <v>6.2E-2</v>
      </c>
      <c r="E523">
        <f t="shared" si="96"/>
        <v>1.4488145555818011</v>
      </c>
      <c r="F523">
        <f t="shared" si="97"/>
        <v>-7.3694688894643146E-2</v>
      </c>
      <c r="G523">
        <f t="shared" si="100"/>
        <v>0</v>
      </c>
      <c r="H523">
        <f>IF(MOD(COUNTA($C$7:C523)-1,$J$2),H522,ROUND(F523*P523,-2))</f>
        <v>-700</v>
      </c>
      <c r="I523">
        <f t="shared" si="101"/>
        <v>0</v>
      </c>
      <c r="J523">
        <f t="shared" si="102"/>
        <v>0</v>
      </c>
      <c r="K523">
        <f t="shared" si="103"/>
        <v>1809.9180165978689</v>
      </c>
      <c r="L523">
        <f t="shared" si="104"/>
        <v>258.01801659786884</v>
      </c>
      <c r="M523">
        <f t="shared" si="105"/>
        <v>0</v>
      </c>
      <c r="N523">
        <f t="shared" si="107"/>
        <v>258.01801659786884</v>
      </c>
      <c r="O523" s="5">
        <f t="shared" si="98"/>
        <v>1.0156725007478468E-2</v>
      </c>
      <c r="P523">
        <f t="shared" si="106"/>
        <v>10000</v>
      </c>
      <c r="Q523">
        <f t="shared" si="99"/>
        <v>101.56725007478468</v>
      </c>
    </row>
    <row r="524" spans="1:17" x14ac:dyDescent="0.15">
      <c r="A524" s="10">
        <v>45886.590277777985</v>
      </c>
      <c r="B524">
        <f>COUNT(A524:$A$1158)/(48*252)</f>
        <v>5.2496693121693125E-2</v>
      </c>
      <c r="C524">
        <v>2.2170000000000001</v>
      </c>
      <c r="D524">
        <v>6.0999999999999999E-2</v>
      </c>
      <c r="E524">
        <f t="shared" si="96"/>
        <v>1.4498322391163192</v>
      </c>
      <c r="F524">
        <f t="shared" si="97"/>
        <v>-7.3552653449776351E-2</v>
      </c>
      <c r="G524">
        <f t="shared" si="100"/>
        <v>0</v>
      </c>
      <c r="H524">
        <f>IF(MOD(COUNTA($C$7:C524)-1,$J$2),H523,ROUND(F524*P524,-2))</f>
        <v>-700</v>
      </c>
      <c r="I524">
        <f t="shared" si="101"/>
        <v>0</v>
      </c>
      <c r="J524">
        <f t="shared" si="102"/>
        <v>0</v>
      </c>
      <c r="K524">
        <f t="shared" si="103"/>
        <v>1809.9180165978689</v>
      </c>
      <c r="L524">
        <f t="shared" si="104"/>
        <v>258.01801659786884</v>
      </c>
      <c r="M524">
        <f t="shared" si="105"/>
        <v>0</v>
      </c>
      <c r="N524">
        <f t="shared" si="107"/>
        <v>258.01801659786884</v>
      </c>
      <c r="O524" s="5">
        <f t="shared" si="98"/>
        <v>1.0125029822201231E-2</v>
      </c>
      <c r="P524">
        <f t="shared" si="106"/>
        <v>10000</v>
      </c>
      <c r="Q524">
        <f t="shared" si="99"/>
        <v>101.25029822201232</v>
      </c>
    </row>
    <row r="525" spans="1:17" x14ac:dyDescent="0.15">
      <c r="A525" s="10">
        <v>45886.59375</v>
      </c>
      <c r="B525">
        <f>COUNT(A525:$A$1158)/(48*252)</f>
        <v>5.2414021164021163E-2</v>
      </c>
      <c r="C525">
        <v>2.2149999999999999</v>
      </c>
      <c r="D525">
        <v>6.0999999999999999E-2</v>
      </c>
      <c r="E525">
        <f t="shared" si="96"/>
        <v>1.44400492031422</v>
      </c>
      <c r="F525">
        <f t="shared" si="97"/>
        <v>-7.4368795648368846E-2</v>
      </c>
      <c r="G525">
        <f t="shared" si="100"/>
        <v>-2.0000000000002238E-3</v>
      </c>
      <c r="H525">
        <f>IF(MOD(COUNTA($C$7:C525)-1,$J$2),H524,ROUND(F525*P525,-2))</f>
        <v>-700</v>
      </c>
      <c r="I525">
        <f t="shared" si="101"/>
        <v>0</v>
      </c>
      <c r="J525">
        <f t="shared" si="102"/>
        <v>0</v>
      </c>
      <c r="K525">
        <f t="shared" si="103"/>
        <v>1809.9180165978689</v>
      </c>
      <c r="L525">
        <f t="shared" si="104"/>
        <v>259.41801659786893</v>
      </c>
      <c r="M525">
        <f t="shared" si="105"/>
        <v>1.4000000000000909</v>
      </c>
      <c r="N525">
        <f t="shared" si="107"/>
        <v>259.41801659786893</v>
      </c>
      <c r="O525" s="5">
        <f t="shared" si="98"/>
        <v>1.0241133479179071E-2</v>
      </c>
      <c r="P525">
        <f t="shared" si="106"/>
        <v>10000</v>
      </c>
      <c r="Q525">
        <f t="shared" si="99"/>
        <v>102.41133479179071</v>
      </c>
    </row>
    <row r="526" spans="1:17" x14ac:dyDescent="0.15">
      <c r="A526" s="10">
        <v>45886.597222222015</v>
      </c>
      <c r="B526">
        <f>COUNT(A526:$A$1158)/(48*252)</f>
        <v>5.2331349206349208E-2</v>
      </c>
      <c r="C526">
        <v>2.2189999999999999</v>
      </c>
      <c r="D526">
        <v>6.0999999999999999E-2</v>
      </c>
      <c r="E526">
        <f t="shared" si="96"/>
        <v>1.4587218598460769</v>
      </c>
      <c r="F526">
        <f t="shared" si="97"/>
        <v>-7.232083849396842E-2</v>
      </c>
      <c r="G526">
        <f t="shared" si="100"/>
        <v>4.0000000000000036E-3</v>
      </c>
      <c r="H526">
        <f>IF(MOD(COUNTA($C$7:C526)-1,$J$2),H525,ROUND(F526*P526,-2))</f>
        <v>-700</v>
      </c>
      <c r="I526">
        <f t="shared" si="101"/>
        <v>0</v>
      </c>
      <c r="J526">
        <f t="shared" si="102"/>
        <v>0</v>
      </c>
      <c r="K526">
        <f t="shared" si="103"/>
        <v>1809.9180165978689</v>
      </c>
      <c r="L526">
        <f t="shared" si="104"/>
        <v>256.61801659786897</v>
      </c>
      <c r="M526">
        <f t="shared" si="105"/>
        <v>-2.7999999999999545</v>
      </c>
      <c r="N526">
        <f t="shared" si="107"/>
        <v>256.61801659786897</v>
      </c>
      <c r="O526" s="5">
        <f t="shared" si="98"/>
        <v>9.9161161430755818E-3</v>
      </c>
      <c r="P526">
        <f t="shared" si="106"/>
        <v>10000</v>
      </c>
      <c r="Q526">
        <f t="shared" si="99"/>
        <v>99.161161430755811</v>
      </c>
    </row>
    <row r="527" spans="1:17" x14ac:dyDescent="0.15">
      <c r="A527" s="10">
        <v>45886.600694444962</v>
      </c>
      <c r="B527">
        <f>COUNT(A527:$A$1158)/(48*252)</f>
        <v>5.2248677248677246E-2</v>
      </c>
      <c r="C527">
        <v>2.2200000000000002</v>
      </c>
      <c r="D527">
        <v>6.2E-2</v>
      </c>
      <c r="E527">
        <f t="shared" si="96"/>
        <v>1.4631762567066879</v>
      </c>
      <c r="F527">
        <f t="shared" si="97"/>
        <v>-7.1709577959407356E-2</v>
      </c>
      <c r="G527">
        <f t="shared" si="100"/>
        <v>1.000000000000334E-3</v>
      </c>
      <c r="H527">
        <f>IF(MOD(COUNTA($C$7:C527)-1,$J$2),H526,ROUND(F527*P527,-2))</f>
        <v>-700</v>
      </c>
      <c r="I527">
        <f t="shared" si="101"/>
        <v>0</v>
      </c>
      <c r="J527">
        <f t="shared" si="102"/>
        <v>0</v>
      </c>
      <c r="K527">
        <f t="shared" si="103"/>
        <v>1809.9180165978689</v>
      </c>
      <c r="L527">
        <f t="shared" si="104"/>
        <v>255.9180165978687</v>
      </c>
      <c r="M527">
        <f t="shared" si="105"/>
        <v>-0.70000000000027285</v>
      </c>
      <c r="N527">
        <f t="shared" si="107"/>
        <v>255.9180165978687</v>
      </c>
      <c r="O527" s="5">
        <f t="shared" si="98"/>
        <v>9.8128252622376455E-3</v>
      </c>
      <c r="P527">
        <f t="shared" si="106"/>
        <v>10000</v>
      </c>
      <c r="Q527">
        <f t="shared" si="99"/>
        <v>98.128252622376451</v>
      </c>
    </row>
    <row r="528" spans="1:17" x14ac:dyDescent="0.15">
      <c r="A528" s="10">
        <v>45886.604166666977</v>
      </c>
      <c r="B528">
        <f>COUNT(A528:$A$1158)/(48*252)</f>
        <v>5.2166005291005291E-2</v>
      </c>
      <c r="C528">
        <v>2.2210000000000001</v>
      </c>
      <c r="D528">
        <v>6.2E-2</v>
      </c>
      <c r="E528">
        <f t="shared" si="96"/>
        <v>1.46763708067096</v>
      </c>
      <c r="F528">
        <f t="shared" si="97"/>
        <v>-7.1101415019623637E-2</v>
      </c>
      <c r="G528">
        <f t="shared" si="100"/>
        <v>9.9999999999988987E-4</v>
      </c>
      <c r="H528">
        <f>IF(MOD(COUNTA($C$7:C528)-1,$J$2),H527,ROUND(F528*P528,-2))</f>
        <v>-700</v>
      </c>
      <c r="I528">
        <f t="shared" si="101"/>
        <v>0</v>
      </c>
      <c r="J528">
        <f t="shared" si="102"/>
        <v>0</v>
      </c>
      <c r="K528">
        <f t="shared" si="103"/>
        <v>1809.9180165978689</v>
      </c>
      <c r="L528">
        <f t="shared" si="104"/>
        <v>255.21801659786888</v>
      </c>
      <c r="M528">
        <f t="shared" si="105"/>
        <v>-0.6999999999998181</v>
      </c>
      <c r="N528">
        <f t="shared" si="107"/>
        <v>255.21801659786888</v>
      </c>
      <c r="O528" s="5">
        <f t="shared" si="98"/>
        <v>9.7103075980045361E-3</v>
      </c>
      <c r="P528">
        <f t="shared" si="106"/>
        <v>10000</v>
      </c>
      <c r="Q528">
        <f t="shared" si="99"/>
        <v>97.103075980045361</v>
      </c>
    </row>
    <row r="529" spans="1:17" x14ac:dyDescent="0.15">
      <c r="A529" s="10">
        <v>45886.607638888992</v>
      </c>
      <c r="B529">
        <f>COUNT(A529:$A$1158)/(48*252)</f>
        <v>5.2083333333333336E-2</v>
      </c>
      <c r="C529">
        <v>2.2240000000000002</v>
      </c>
      <c r="D529">
        <v>6.3E-2</v>
      </c>
      <c r="E529">
        <f t="shared" si="96"/>
        <v>1.4789519381321983</v>
      </c>
      <c r="F529">
        <f t="shared" si="97"/>
        <v>-6.9576580279365863E-2</v>
      </c>
      <c r="G529">
        <f t="shared" si="100"/>
        <v>3.0000000000001137E-3</v>
      </c>
      <c r="H529">
        <f>IF(MOD(COUNTA($C$7:C529)-1,$J$2),H528,ROUND(F529*P529,-2))</f>
        <v>-700</v>
      </c>
      <c r="I529">
        <f t="shared" si="101"/>
        <v>0</v>
      </c>
      <c r="J529">
        <f t="shared" si="102"/>
        <v>0</v>
      </c>
      <c r="K529">
        <f t="shared" si="103"/>
        <v>1809.9180165978689</v>
      </c>
      <c r="L529">
        <f t="shared" si="104"/>
        <v>253.11801659786875</v>
      </c>
      <c r="M529">
        <f t="shared" si="105"/>
        <v>-2.1000000000001364</v>
      </c>
      <c r="N529">
        <f t="shared" si="107"/>
        <v>253.11801659786875</v>
      </c>
      <c r="O529" s="5">
        <f t="shared" si="98"/>
        <v>9.4684888340425266E-3</v>
      </c>
      <c r="P529">
        <f t="shared" si="106"/>
        <v>10000</v>
      </c>
      <c r="Q529">
        <f t="shared" si="99"/>
        <v>94.68488834042526</v>
      </c>
    </row>
    <row r="530" spans="1:17" x14ac:dyDescent="0.15">
      <c r="A530" s="10">
        <v>45886.611111111008</v>
      </c>
      <c r="B530">
        <f>COUNT(A530:$A$1158)/(48*252)</f>
        <v>5.2000661375661374E-2</v>
      </c>
      <c r="C530">
        <v>2.2210000000000001</v>
      </c>
      <c r="D530">
        <v>6.2E-2</v>
      </c>
      <c r="E530">
        <f t="shared" si="96"/>
        <v>1.4697220147229961</v>
      </c>
      <c r="F530">
        <f t="shared" si="97"/>
        <v>-7.0818528911043899E-2</v>
      </c>
      <c r="G530">
        <f t="shared" si="100"/>
        <v>-3.0000000000001137E-3</v>
      </c>
      <c r="H530">
        <f>IF(MOD(COUNTA($C$7:C530)-1,$J$2),H529,ROUND(F530*P530,-2))</f>
        <v>-700</v>
      </c>
      <c r="I530">
        <f t="shared" si="101"/>
        <v>0</v>
      </c>
      <c r="J530">
        <f t="shared" si="102"/>
        <v>0</v>
      </c>
      <c r="K530">
        <f t="shared" si="103"/>
        <v>1809.9180165978689</v>
      </c>
      <c r="L530">
        <f t="shared" si="104"/>
        <v>255.21801659786888</v>
      </c>
      <c r="M530">
        <f t="shared" si="105"/>
        <v>2.1000000000001364</v>
      </c>
      <c r="N530">
        <f t="shared" si="107"/>
        <v>255.21801659786888</v>
      </c>
      <c r="O530" s="5">
        <f t="shared" si="98"/>
        <v>9.6482908349436181E-3</v>
      </c>
      <c r="P530">
        <f t="shared" si="106"/>
        <v>10000</v>
      </c>
      <c r="Q530">
        <f t="shared" si="99"/>
        <v>96.482908349436187</v>
      </c>
    </row>
    <row r="531" spans="1:17" x14ac:dyDescent="0.15">
      <c r="A531" s="10">
        <v>45886.614583333023</v>
      </c>
      <c r="B531">
        <f>COUNT(A531:$A$1158)/(48*252)</f>
        <v>5.1917989417989419E-2</v>
      </c>
      <c r="C531">
        <v>2.218</v>
      </c>
      <c r="D531">
        <v>0.06</v>
      </c>
      <c r="E531">
        <f t="shared" si="96"/>
        <v>1.4604644265249291</v>
      </c>
      <c r="F531">
        <f t="shared" si="97"/>
        <v>-7.2081238714433504E-2</v>
      </c>
      <c r="G531">
        <f t="shared" si="100"/>
        <v>-3.0000000000001137E-3</v>
      </c>
      <c r="H531">
        <f>IF(MOD(COUNTA($C$7:C531)-1,$J$2),H530,ROUND(F531*P531,-2))</f>
        <v>-700</v>
      </c>
      <c r="I531">
        <f t="shared" si="101"/>
        <v>0</v>
      </c>
      <c r="J531">
        <f t="shared" si="102"/>
        <v>0</v>
      </c>
      <c r="K531">
        <f t="shared" si="103"/>
        <v>1809.9180165978689</v>
      </c>
      <c r="L531">
        <f t="shared" si="104"/>
        <v>257.31801659786902</v>
      </c>
      <c r="M531">
        <f t="shared" si="105"/>
        <v>2.1000000000001364</v>
      </c>
      <c r="N531">
        <f t="shared" si="107"/>
        <v>257.31801659786902</v>
      </c>
      <c r="O531" s="5">
        <f t="shared" si="98"/>
        <v>9.8314474325928158E-3</v>
      </c>
      <c r="P531">
        <f t="shared" si="106"/>
        <v>10000</v>
      </c>
      <c r="Q531">
        <f t="shared" si="99"/>
        <v>98.31447432592816</v>
      </c>
    </row>
    <row r="532" spans="1:17" x14ac:dyDescent="0.15">
      <c r="A532" s="10">
        <v>45886.618055555969</v>
      </c>
      <c r="B532">
        <f>COUNT(A532:$A$1158)/(48*252)</f>
        <v>5.1835317460317464E-2</v>
      </c>
      <c r="C532">
        <v>2.2200000000000002</v>
      </c>
      <c r="D532">
        <v>6.2E-2</v>
      </c>
      <c r="E532">
        <f t="shared" si="96"/>
        <v>1.4683814749629565</v>
      </c>
      <c r="F532">
        <f t="shared" si="97"/>
        <v>-7.1000315362921063E-2</v>
      </c>
      <c r="G532">
        <f t="shared" si="100"/>
        <v>2.0000000000002238E-3</v>
      </c>
      <c r="H532">
        <f>IF(MOD(COUNTA($C$7:C532)-1,$J$2),H531,ROUND(F532*P532,-2))</f>
        <v>-700</v>
      </c>
      <c r="I532">
        <f t="shared" si="101"/>
        <v>0</v>
      </c>
      <c r="J532">
        <f t="shared" si="102"/>
        <v>0</v>
      </c>
      <c r="K532">
        <f t="shared" si="103"/>
        <v>1809.9180165978689</v>
      </c>
      <c r="L532">
        <f t="shared" si="104"/>
        <v>255.9180165978687</v>
      </c>
      <c r="M532">
        <f t="shared" si="105"/>
        <v>-1.4000000000003183</v>
      </c>
      <c r="N532">
        <f t="shared" si="107"/>
        <v>255.9180165978687</v>
      </c>
      <c r="O532" s="5">
        <f t="shared" si="98"/>
        <v>9.6571312168387269E-3</v>
      </c>
      <c r="P532">
        <f t="shared" si="106"/>
        <v>10000</v>
      </c>
      <c r="Q532">
        <f t="shared" si="99"/>
        <v>96.571312168387266</v>
      </c>
    </row>
    <row r="533" spans="1:17" x14ac:dyDescent="0.15">
      <c r="A533" s="10">
        <v>45886.621527777985</v>
      </c>
      <c r="B533">
        <f>COUNT(A533:$A$1158)/(48*252)</f>
        <v>5.1752645502645502E-2</v>
      </c>
      <c r="C533">
        <v>2.2170000000000001</v>
      </c>
      <c r="D533">
        <v>0.06</v>
      </c>
      <c r="E533">
        <f t="shared" si="96"/>
        <v>1.4591052563439695</v>
      </c>
      <c r="F533">
        <f t="shared" si="97"/>
        <v>-7.2268069869267593E-2</v>
      </c>
      <c r="G533">
        <f t="shared" si="100"/>
        <v>-3.0000000000001137E-3</v>
      </c>
      <c r="H533">
        <f>IF(MOD(COUNTA($C$7:C533)-1,$J$2),H532,ROUND(F533*P533,-2))</f>
        <v>-700</v>
      </c>
      <c r="I533">
        <f t="shared" si="101"/>
        <v>0</v>
      </c>
      <c r="J533">
        <f t="shared" si="102"/>
        <v>0</v>
      </c>
      <c r="K533">
        <f t="shared" si="103"/>
        <v>1809.9180165978689</v>
      </c>
      <c r="L533">
        <f t="shared" si="104"/>
        <v>258.01801659786884</v>
      </c>
      <c r="M533">
        <f t="shared" si="105"/>
        <v>2.1000000000001364</v>
      </c>
      <c r="N533">
        <f t="shared" si="107"/>
        <v>258.01801659786884</v>
      </c>
      <c r="O533" s="5">
        <f t="shared" si="98"/>
        <v>9.8407428193523494E-3</v>
      </c>
      <c r="P533">
        <f t="shared" si="106"/>
        <v>10000</v>
      </c>
      <c r="Q533">
        <f t="shared" si="99"/>
        <v>98.407428193523501</v>
      </c>
    </row>
    <row r="534" spans="1:17" x14ac:dyDescent="0.15">
      <c r="A534" s="10">
        <v>45886.625</v>
      </c>
      <c r="B534">
        <f>COUNT(A534:$A$1158)/(48*252)</f>
        <v>5.1669973544973546E-2</v>
      </c>
      <c r="C534">
        <v>2.2210000000000001</v>
      </c>
      <c r="D534">
        <v>6.0999999999999999E-2</v>
      </c>
      <c r="E534">
        <f t="shared" si="96"/>
        <v>1.4739230482327019</v>
      </c>
      <c r="F534">
        <f t="shared" si="97"/>
        <v>-7.025115565328055E-2</v>
      </c>
      <c r="G534">
        <f t="shared" si="100"/>
        <v>4.0000000000000036E-3</v>
      </c>
      <c r="H534">
        <f>IF(MOD(COUNTA($C$7:C534)-1,$J$2),H533,ROUND(F534*P534,-2))</f>
        <v>-700</v>
      </c>
      <c r="I534">
        <f t="shared" si="101"/>
        <v>0</v>
      </c>
      <c r="J534">
        <f t="shared" si="102"/>
        <v>0</v>
      </c>
      <c r="K534">
        <f t="shared" si="103"/>
        <v>1809.9180165978689</v>
      </c>
      <c r="L534">
        <f t="shared" si="104"/>
        <v>255.21801659786888</v>
      </c>
      <c r="M534">
        <f t="shared" si="105"/>
        <v>-2.7999999999999545</v>
      </c>
      <c r="N534">
        <f t="shared" si="107"/>
        <v>255.21801659786888</v>
      </c>
      <c r="O534" s="5">
        <f t="shared" si="98"/>
        <v>9.524527019641571E-3</v>
      </c>
      <c r="P534">
        <f t="shared" si="106"/>
        <v>10000</v>
      </c>
      <c r="Q534">
        <f t="shared" si="99"/>
        <v>95.245270196415703</v>
      </c>
    </row>
    <row r="535" spans="1:17" x14ac:dyDescent="0.15">
      <c r="A535" s="10">
        <v>45889.399305555969</v>
      </c>
      <c r="B535">
        <f>COUNT(A535:$A$1158)/(48*252)</f>
        <v>5.1587301587301584E-2</v>
      </c>
      <c r="C535">
        <v>2.2280000000000002</v>
      </c>
      <c r="D535">
        <v>6.7000000000000004E-2</v>
      </c>
      <c r="E535">
        <f t="shared" si="96"/>
        <v>1.4990451153917159</v>
      </c>
      <c r="F535">
        <f t="shared" si="97"/>
        <v>-6.6930964222005507E-2</v>
      </c>
      <c r="G535">
        <f t="shared" si="100"/>
        <v>7.0000000000001172E-3</v>
      </c>
      <c r="H535">
        <f>IF(MOD(COUNTA($C$7:C535)-1,$J$2),H534,ROUND(F535*P535,-2))</f>
        <v>-700</v>
      </c>
      <c r="I535">
        <f t="shared" si="101"/>
        <v>0</v>
      </c>
      <c r="J535">
        <f t="shared" si="102"/>
        <v>0</v>
      </c>
      <c r="K535">
        <f t="shared" si="103"/>
        <v>1809.9180165978689</v>
      </c>
      <c r="L535">
        <f t="shared" si="104"/>
        <v>250.31801659786879</v>
      </c>
      <c r="M535">
        <f t="shared" si="105"/>
        <v>-4.9000000000000909</v>
      </c>
      <c r="N535">
        <f t="shared" si="107"/>
        <v>250.31801659786879</v>
      </c>
      <c r="O535" s="5">
        <f t="shared" si="98"/>
        <v>9.0140751905709304E-3</v>
      </c>
      <c r="P535">
        <f t="shared" si="106"/>
        <v>10000</v>
      </c>
      <c r="Q535">
        <f t="shared" si="99"/>
        <v>90.140751905709308</v>
      </c>
    </row>
    <row r="536" spans="1:17" x14ac:dyDescent="0.15">
      <c r="A536" s="10">
        <v>45889.402777777985</v>
      </c>
      <c r="B536">
        <f>COUNT(A536:$A$1158)/(48*252)</f>
        <v>5.1504629629629629E-2</v>
      </c>
      <c r="C536">
        <v>2.2290000000000001</v>
      </c>
      <c r="D536">
        <v>6.8000000000000005E-2</v>
      </c>
      <c r="E536">
        <f t="shared" si="96"/>
        <v>1.5035583497642444</v>
      </c>
      <c r="F536">
        <f t="shared" si="97"/>
        <v>-6.6347561095737473E-2</v>
      </c>
      <c r="G536">
        <f t="shared" si="100"/>
        <v>9.9999999999988987E-4</v>
      </c>
      <c r="H536">
        <f>IF(MOD(COUNTA($C$7:C536)-1,$J$2),H535,ROUND(F536*P536,-2))</f>
        <v>-700</v>
      </c>
      <c r="I536">
        <f t="shared" si="101"/>
        <v>0</v>
      </c>
      <c r="J536">
        <f t="shared" si="102"/>
        <v>0</v>
      </c>
      <c r="K536">
        <f t="shared" si="103"/>
        <v>1809.9180165978689</v>
      </c>
      <c r="L536">
        <f t="shared" si="104"/>
        <v>249.61801659786897</v>
      </c>
      <c r="M536">
        <f t="shared" si="105"/>
        <v>-0.6999999999998181</v>
      </c>
      <c r="N536">
        <f t="shared" si="107"/>
        <v>249.61801659786897</v>
      </c>
      <c r="O536" s="5">
        <f t="shared" si="98"/>
        <v>8.9176321846885509E-3</v>
      </c>
      <c r="P536">
        <f t="shared" si="106"/>
        <v>10000</v>
      </c>
      <c r="Q536">
        <f t="shared" si="99"/>
        <v>89.176321846885514</v>
      </c>
    </row>
    <row r="537" spans="1:17" x14ac:dyDescent="0.15">
      <c r="A537" s="10">
        <v>45889.40625</v>
      </c>
      <c r="B537">
        <f>COUNT(A537:$A$1158)/(48*252)</f>
        <v>5.1421957671957674E-2</v>
      </c>
      <c r="C537">
        <v>2.234</v>
      </c>
      <c r="D537">
        <v>7.0000000000000007E-2</v>
      </c>
      <c r="E537">
        <f t="shared" si="96"/>
        <v>1.5218056368421873</v>
      </c>
      <c r="F537">
        <f t="shared" si="97"/>
        <v>-6.4028894337049058E-2</v>
      </c>
      <c r="G537">
        <f t="shared" si="100"/>
        <v>4.9999999999998934E-3</v>
      </c>
      <c r="H537">
        <f>IF(MOD(COUNTA($C$7:C537)-1,$J$2),H536,ROUND(F537*P537,-2))</f>
        <v>-600</v>
      </c>
      <c r="I537">
        <f t="shared" si="101"/>
        <v>100</v>
      </c>
      <c r="J537">
        <f t="shared" si="102"/>
        <v>0</v>
      </c>
      <c r="K537">
        <f t="shared" si="103"/>
        <v>1586.5079635978689</v>
      </c>
      <c r="L537">
        <f t="shared" si="104"/>
        <v>246.10796359786877</v>
      </c>
      <c r="M537">
        <f t="shared" si="105"/>
        <v>-3.5100530000001982</v>
      </c>
      <c r="N537">
        <f t="shared" si="107"/>
        <v>246.10796359786877</v>
      </c>
      <c r="O537" s="5">
        <f t="shared" si="98"/>
        <v>8.5623553547791442E-3</v>
      </c>
      <c r="P537">
        <f t="shared" si="106"/>
        <v>10000</v>
      </c>
      <c r="Q537">
        <f t="shared" si="99"/>
        <v>85.623553547791445</v>
      </c>
    </row>
    <row r="538" spans="1:17" x14ac:dyDescent="0.15">
      <c r="A538" s="10">
        <v>45889.409722222015</v>
      </c>
      <c r="B538">
        <f>COUNT(A538:$A$1158)/(48*252)</f>
        <v>5.1339285714285712E-2</v>
      </c>
      <c r="C538">
        <v>2.2349999999999999</v>
      </c>
      <c r="D538">
        <v>7.0000000000000007E-2</v>
      </c>
      <c r="E538">
        <f t="shared" si="96"/>
        <v>1.5263371509859687</v>
      </c>
      <c r="F538">
        <f t="shared" si="97"/>
        <v>-6.3462960484877762E-2</v>
      </c>
      <c r="G538">
        <f t="shared" si="100"/>
        <v>9.9999999999988987E-4</v>
      </c>
      <c r="H538">
        <f>IF(MOD(COUNTA($C$7:C538)-1,$J$2),H537,ROUND(F538*P538,-2))</f>
        <v>-600</v>
      </c>
      <c r="I538">
        <f t="shared" si="101"/>
        <v>0</v>
      </c>
      <c r="J538">
        <f t="shared" si="102"/>
        <v>0</v>
      </c>
      <c r="K538">
        <f t="shared" si="103"/>
        <v>1586.5079635978689</v>
      </c>
      <c r="L538">
        <f t="shared" si="104"/>
        <v>245.50796359786887</v>
      </c>
      <c r="M538">
        <f t="shared" si="105"/>
        <v>-0.59999999999990905</v>
      </c>
      <c r="N538">
        <f t="shared" si="107"/>
        <v>245.50796359786887</v>
      </c>
      <c r="O538" s="5">
        <f t="shared" si="98"/>
        <v>8.4696862461356992E-3</v>
      </c>
      <c r="P538">
        <f t="shared" si="106"/>
        <v>10000</v>
      </c>
      <c r="Q538">
        <f t="shared" si="99"/>
        <v>84.696862461356986</v>
      </c>
    </row>
    <row r="539" spans="1:17" x14ac:dyDescent="0.15">
      <c r="A539" s="10">
        <v>45889.413194444962</v>
      </c>
      <c r="B539">
        <f>COUNT(A539:$A$1158)/(48*252)</f>
        <v>5.1256613756613757E-2</v>
      </c>
      <c r="C539">
        <v>2.2349999999999999</v>
      </c>
      <c r="D539">
        <v>7.0000000000000007E-2</v>
      </c>
      <c r="E539">
        <f t="shared" si="96"/>
        <v>1.5274434305560567</v>
      </c>
      <c r="F539">
        <f t="shared" si="97"/>
        <v>-6.3325391915298623E-2</v>
      </c>
      <c r="G539">
        <f t="shared" si="100"/>
        <v>0</v>
      </c>
      <c r="H539">
        <f>IF(MOD(COUNTA($C$7:C539)-1,$J$2),H538,ROUND(F539*P539,-2))</f>
        <v>-600</v>
      </c>
      <c r="I539">
        <f t="shared" si="101"/>
        <v>0</v>
      </c>
      <c r="J539">
        <f t="shared" si="102"/>
        <v>0</v>
      </c>
      <c r="K539">
        <f t="shared" si="103"/>
        <v>1586.5079635978689</v>
      </c>
      <c r="L539">
        <f t="shared" si="104"/>
        <v>245.50796359786887</v>
      </c>
      <c r="M539">
        <f t="shared" si="105"/>
        <v>0</v>
      </c>
      <c r="N539">
        <f t="shared" si="107"/>
        <v>245.50796359786887</v>
      </c>
      <c r="O539" s="5">
        <f t="shared" si="98"/>
        <v>8.4408565034306826E-3</v>
      </c>
      <c r="P539">
        <f t="shared" si="106"/>
        <v>10000</v>
      </c>
      <c r="Q539">
        <f t="shared" si="99"/>
        <v>84.408565034306832</v>
      </c>
    </row>
    <row r="540" spans="1:17" x14ac:dyDescent="0.15">
      <c r="A540" s="10">
        <v>45889.416666666977</v>
      </c>
      <c r="B540">
        <f>COUNT(A540:$A$1158)/(48*252)</f>
        <v>5.1173941798941802E-2</v>
      </c>
      <c r="C540">
        <v>2.2360000000000002</v>
      </c>
      <c r="D540">
        <v>7.0999999999999994E-2</v>
      </c>
      <c r="E540">
        <f t="shared" si="96"/>
        <v>1.5319872531259957</v>
      </c>
      <c r="F540">
        <f t="shared" si="97"/>
        <v>-6.2762790158569559E-2</v>
      </c>
      <c r="G540">
        <f t="shared" si="100"/>
        <v>1.000000000000334E-3</v>
      </c>
      <c r="H540">
        <f>IF(MOD(COUNTA($C$7:C540)-1,$J$2),H539,ROUND(F540*P540,-2))</f>
        <v>-600</v>
      </c>
      <c r="I540">
        <f t="shared" si="101"/>
        <v>0</v>
      </c>
      <c r="J540">
        <f t="shared" si="102"/>
        <v>0</v>
      </c>
      <c r="K540">
        <f t="shared" si="103"/>
        <v>1586.5079635978689</v>
      </c>
      <c r="L540">
        <f t="shared" si="104"/>
        <v>244.90796359786873</v>
      </c>
      <c r="M540">
        <f t="shared" si="105"/>
        <v>-0.60000000000013642</v>
      </c>
      <c r="N540">
        <f t="shared" si="107"/>
        <v>244.90796359786873</v>
      </c>
      <c r="O540" s="5">
        <f t="shared" si="98"/>
        <v>8.3490767234222496E-3</v>
      </c>
      <c r="P540">
        <f t="shared" si="106"/>
        <v>10000</v>
      </c>
      <c r="Q540">
        <f t="shared" si="99"/>
        <v>83.490767234222503</v>
      </c>
    </row>
    <row r="541" spans="1:17" x14ac:dyDescent="0.15">
      <c r="A541" s="10">
        <v>45889.420138888992</v>
      </c>
      <c r="B541">
        <f>COUNT(A541:$A$1158)/(48*252)</f>
        <v>5.109126984126984E-2</v>
      </c>
      <c r="C541">
        <v>2.238</v>
      </c>
      <c r="D541">
        <v>7.1999999999999995E-2</v>
      </c>
      <c r="E541">
        <f t="shared" si="96"/>
        <v>1.5399723537714141</v>
      </c>
      <c r="F541">
        <f t="shared" si="97"/>
        <v>-6.1783546237788367E-2</v>
      </c>
      <c r="G541">
        <f t="shared" si="100"/>
        <v>1.9999999999997797E-3</v>
      </c>
      <c r="H541">
        <f>IF(MOD(COUNTA($C$7:C541)-1,$J$2),H540,ROUND(F541*P541,-2))</f>
        <v>-600</v>
      </c>
      <c r="I541">
        <f t="shared" si="101"/>
        <v>0</v>
      </c>
      <c r="J541">
        <f t="shared" si="102"/>
        <v>0</v>
      </c>
      <c r="K541">
        <f t="shared" si="103"/>
        <v>1586.5079635978689</v>
      </c>
      <c r="L541">
        <f t="shared" si="104"/>
        <v>243.70796359786891</v>
      </c>
      <c r="M541">
        <f t="shared" si="105"/>
        <v>-1.1999999999998181</v>
      </c>
      <c r="N541">
        <f t="shared" si="107"/>
        <v>243.70796359786891</v>
      </c>
      <c r="O541" s="5">
        <f t="shared" si="98"/>
        <v>8.1960273883834867E-3</v>
      </c>
      <c r="P541">
        <f t="shared" si="106"/>
        <v>10000</v>
      </c>
      <c r="Q541">
        <f t="shared" si="99"/>
        <v>81.960273883834873</v>
      </c>
    </row>
    <row r="542" spans="1:17" x14ac:dyDescent="0.15">
      <c r="A542" s="10">
        <v>45889.423611111008</v>
      </c>
      <c r="B542">
        <f>COUNT(A542:$A$1158)/(48*252)</f>
        <v>5.1008597883597885E-2</v>
      </c>
      <c r="C542">
        <v>2.2490000000000001</v>
      </c>
      <c r="D542">
        <v>7.8E-2</v>
      </c>
      <c r="E542">
        <f t="shared" si="96"/>
        <v>1.5788040668639058</v>
      </c>
      <c r="F542">
        <f t="shared" si="97"/>
        <v>-5.7190502750701921E-2</v>
      </c>
      <c r="G542">
        <f t="shared" si="100"/>
        <v>1.1000000000000121E-2</v>
      </c>
      <c r="H542">
        <f>IF(MOD(COUNTA($C$7:C542)-1,$J$2),H541,ROUND(F542*P542,-2))</f>
        <v>-600</v>
      </c>
      <c r="I542">
        <f t="shared" si="101"/>
        <v>0</v>
      </c>
      <c r="J542">
        <f t="shared" si="102"/>
        <v>0</v>
      </c>
      <c r="K542">
        <f t="shared" si="103"/>
        <v>1586.5079635978689</v>
      </c>
      <c r="L542">
        <f t="shared" si="104"/>
        <v>237.10796359786877</v>
      </c>
      <c r="M542">
        <f t="shared" si="105"/>
        <v>-6.6000000000001364</v>
      </c>
      <c r="N542">
        <f t="shared" si="107"/>
        <v>237.10796359786877</v>
      </c>
      <c r="O542" s="5">
        <f t="shared" si="98"/>
        <v>7.5143401554497447E-3</v>
      </c>
      <c r="P542">
        <f t="shared" si="106"/>
        <v>10000</v>
      </c>
      <c r="Q542">
        <f t="shared" si="99"/>
        <v>75.143401554497444</v>
      </c>
    </row>
    <row r="543" spans="1:17" x14ac:dyDescent="0.15">
      <c r="A543" s="10">
        <v>45889.427083333023</v>
      </c>
      <c r="B543">
        <f>COUNT(A543:$A$1158)/(48*252)</f>
        <v>5.0925925925925923E-2</v>
      </c>
      <c r="C543">
        <v>2.2530000000000001</v>
      </c>
      <c r="D543">
        <v>7.9000000000000001E-2</v>
      </c>
      <c r="E543">
        <f t="shared" si="96"/>
        <v>1.5936381355826563</v>
      </c>
      <c r="F543">
        <f t="shared" si="97"/>
        <v>-5.5508553898649393E-2</v>
      </c>
      <c r="G543">
        <f t="shared" si="100"/>
        <v>4.0000000000000036E-3</v>
      </c>
      <c r="H543">
        <f>IF(MOD(COUNTA($C$7:C543)-1,$J$2),H542,ROUND(F543*P543,-2))</f>
        <v>-600</v>
      </c>
      <c r="I543">
        <f t="shared" si="101"/>
        <v>0</v>
      </c>
      <c r="J543">
        <f t="shared" si="102"/>
        <v>0</v>
      </c>
      <c r="K543">
        <f t="shared" si="103"/>
        <v>1586.5079635978689</v>
      </c>
      <c r="L543">
        <f t="shared" si="104"/>
        <v>234.70796359786868</v>
      </c>
      <c r="M543">
        <f t="shared" si="105"/>
        <v>-2.4000000000000909</v>
      </c>
      <c r="N543">
        <f t="shared" si="107"/>
        <v>234.70796359786868</v>
      </c>
      <c r="O543" s="5">
        <f t="shared" si="98"/>
        <v>7.262384359369406E-3</v>
      </c>
      <c r="P543">
        <f t="shared" si="106"/>
        <v>10000</v>
      </c>
      <c r="Q543">
        <f t="shared" si="99"/>
        <v>72.623843593694062</v>
      </c>
    </row>
    <row r="544" spans="1:17" x14ac:dyDescent="0.15">
      <c r="A544" s="10">
        <v>45889.430555555969</v>
      </c>
      <c r="B544">
        <f>COUNT(A544:$A$1158)/(48*252)</f>
        <v>5.0843253968253968E-2</v>
      </c>
      <c r="C544">
        <v>2.254</v>
      </c>
      <c r="D544">
        <v>0.08</v>
      </c>
      <c r="E544">
        <f t="shared" si="96"/>
        <v>1.5982269953118533</v>
      </c>
      <c r="F544">
        <f t="shared" si="97"/>
        <v>-5.49962339679263E-2</v>
      </c>
      <c r="G544">
        <f t="shared" si="100"/>
        <v>9.9999999999988987E-4</v>
      </c>
      <c r="H544">
        <f>IF(MOD(COUNTA($C$7:C544)-1,$J$2),H543,ROUND(F544*P544,-2))</f>
        <v>-600</v>
      </c>
      <c r="I544">
        <f t="shared" si="101"/>
        <v>0</v>
      </c>
      <c r="J544">
        <f t="shared" si="102"/>
        <v>0</v>
      </c>
      <c r="K544">
        <f t="shared" si="103"/>
        <v>1586.5079635978689</v>
      </c>
      <c r="L544">
        <f t="shared" si="104"/>
        <v>234.10796359786877</v>
      </c>
      <c r="M544">
        <f t="shared" si="105"/>
        <v>-0.59999999999990905</v>
      </c>
      <c r="N544">
        <f t="shared" si="107"/>
        <v>234.10796359786877</v>
      </c>
      <c r="O544" s="5">
        <f t="shared" si="98"/>
        <v>7.1809169477114465E-3</v>
      </c>
      <c r="P544">
        <f t="shared" si="106"/>
        <v>10000</v>
      </c>
      <c r="Q544">
        <f t="shared" si="99"/>
        <v>71.809169477114466</v>
      </c>
    </row>
    <row r="545" spans="1:17" x14ac:dyDescent="0.15">
      <c r="A545" s="10">
        <v>45889.434027777985</v>
      </c>
      <c r="B545">
        <f>COUNT(A545:$A$1158)/(48*252)</f>
        <v>5.0760582010582013E-2</v>
      </c>
      <c r="C545">
        <v>2.2559999999999998</v>
      </c>
      <c r="D545">
        <v>8.2000000000000003E-2</v>
      </c>
      <c r="E545">
        <f t="shared" si="96"/>
        <v>1.6062410017900448</v>
      </c>
      <c r="F545">
        <f t="shared" si="97"/>
        <v>-5.4110483858757163E-2</v>
      </c>
      <c r="G545">
        <f t="shared" si="100"/>
        <v>1.9999999999997797E-3</v>
      </c>
      <c r="H545">
        <f>IF(MOD(COUNTA($C$7:C545)-1,$J$2),H544,ROUND(F545*P545,-2))</f>
        <v>-500</v>
      </c>
      <c r="I545">
        <f t="shared" si="101"/>
        <v>100</v>
      </c>
      <c r="J545">
        <f t="shared" si="102"/>
        <v>0</v>
      </c>
      <c r="K545">
        <f t="shared" si="103"/>
        <v>1360.8978115978689</v>
      </c>
      <c r="L545">
        <f t="shared" si="104"/>
        <v>232.89781159786889</v>
      </c>
      <c r="M545">
        <f t="shared" si="105"/>
        <v>-1.21015199999988</v>
      </c>
      <c r="N545">
        <f t="shared" si="107"/>
        <v>232.89781159786889</v>
      </c>
      <c r="O545" s="5">
        <f t="shared" si="98"/>
        <v>7.0458199161807233E-3</v>
      </c>
      <c r="P545">
        <f t="shared" si="106"/>
        <v>10000</v>
      </c>
      <c r="Q545">
        <f t="shared" si="99"/>
        <v>70.458199161807229</v>
      </c>
    </row>
    <row r="546" spans="1:17" x14ac:dyDescent="0.15">
      <c r="A546" s="10">
        <v>45889.4375</v>
      </c>
      <c r="B546">
        <f>COUNT(A546:$A$1158)/(48*252)</f>
        <v>5.0677910052910051E-2</v>
      </c>
      <c r="C546">
        <v>2.258</v>
      </c>
      <c r="D546">
        <v>8.3000000000000004E-2</v>
      </c>
      <c r="E546">
        <f t="shared" si="96"/>
        <v>1.6142630729392962</v>
      </c>
      <c r="F546">
        <f t="shared" si="97"/>
        <v>-5.3235188097905173E-2</v>
      </c>
      <c r="G546">
        <f t="shared" si="100"/>
        <v>2.0000000000002238E-3</v>
      </c>
      <c r="H546">
        <f>IF(MOD(COUNTA($C$7:C546)-1,$J$2),H545,ROUND(F546*P546,-2))</f>
        <v>-500</v>
      </c>
      <c r="I546">
        <f t="shared" si="101"/>
        <v>0</v>
      </c>
      <c r="J546">
        <f t="shared" si="102"/>
        <v>0</v>
      </c>
      <c r="K546">
        <f t="shared" si="103"/>
        <v>1360.8978115978689</v>
      </c>
      <c r="L546">
        <f t="shared" si="104"/>
        <v>231.89781159786889</v>
      </c>
      <c r="M546">
        <f t="shared" si="105"/>
        <v>-1</v>
      </c>
      <c r="N546">
        <f t="shared" si="107"/>
        <v>231.89781159786889</v>
      </c>
      <c r="O546" s="5">
        <f t="shared" si="98"/>
        <v>6.9127714381514854E-3</v>
      </c>
      <c r="P546">
        <f t="shared" si="106"/>
        <v>10000</v>
      </c>
      <c r="Q546">
        <f t="shared" si="99"/>
        <v>69.127714381514849</v>
      </c>
    </row>
    <row r="547" spans="1:17" x14ac:dyDescent="0.15">
      <c r="A547" s="10">
        <v>45889.440972222015</v>
      </c>
      <c r="B547">
        <f>COUNT(A547:$A$1158)/(48*252)</f>
        <v>5.0595238095238096E-2</v>
      </c>
      <c r="C547">
        <v>2.266</v>
      </c>
      <c r="D547">
        <v>8.7999999999999995E-2</v>
      </c>
      <c r="E547">
        <f t="shared" si="96"/>
        <v>1.6427675083532649</v>
      </c>
      <c r="F547">
        <f t="shared" si="97"/>
        <v>-5.0215522577618077E-2</v>
      </c>
      <c r="G547">
        <f t="shared" si="100"/>
        <v>8.0000000000000071E-3</v>
      </c>
      <c r="H547">
        <f>IF(MOD(COUNTA($C$7:C547)-1,$J$2),H546,ROUND(F547*P547,-2))</f>
        <v>-500</v>
      </c>
      <c r="I547">
        <f t="shared" si="101"/>
        <v>0</v>
      </c>
      <c r="J547">
        <f t="shared" si="102"/>
        <v>0</v>
      </c>
      <c r="K547">
        <f t="shared" si="103"/>
        <v>1360.8978115978689</v>
      </c>
      <c r="L547">
        <f t="shared" si="104"/>
        <v>227.89781159786889</v>
      </c>
      <c r="M547">
        <f t="shared" si="105"/>
        <v>-4</v>
      </c>
      <c r="N547">
        <f t="shared" si="107"/>
        <v>227.89781159786889</v>
      </c>
      <c r="O547" s="5">
        <f t="shared" si="98"/>
        <v>6.4740308875756436E-3</v>
      </c>
      <c r="P547">
        <f t="shared" si="106"/>
        <v>10000</v>
      </c>
      <c r="Q547">
        <f t="shared" si="99"/>
        <v>64.74030887575644</v>
      </c>
    </row>
    <row r="548" spans="1:17" x14ac:dyDescent="0.15">
      <c r="A548" s="10">
        <v>45889.444444444962</v>
      </c>
      <c r="B548">
        <f>COUNT(A548:$A$1158)/(48*252)</f>
        <v>5.0512566137566141E-2</v>
      </c>
      <c r="C548">
        <v>2.2719999999999998</v>
      </c>
      <c r="D548">
        <v>9.4E-2</v>
      </c>
      <c r="E548">
        <f t="shared" si="96"/>
        <v>1.6644230463496905</v>
      </c>
      <c r="F548">
        <f t="shared" si="97"/>
        <v>-4.801395882801418E-2</v>
      </c>
      <c r="G548">
        <f t="shared" si="100"/>
        <v>5.9999999999997833E-3</v>
      </c>
      <c r="H548">
        <f>IF(MOD(COUNTA($C$7:C548)-1,$J$2),H547,ROUND(F548*P548,-2))</f>
        <v>-500</v>
      </c>
      <c r="I548">
        <f t="shared" si="101"/>
        <v>0</v>
      </c>
      <c r="J548">
        <f t="shared" si="102"/>
        <v>0</v>
      </c>
      <c r="K548">
        <f t="shared" si="103"/>
        <v>1360.8978115978689</v>
      </c>
      <c r="L548">
        <f t="shared" si="104"/>
        <v>224.89781159786889</v>
      </c>
      <c r="M548">
        <f t="shared" si="105"/>
        <v>-3</v>
      </c>
      <c r="N548">
        <f t="shared" si="107"/>
        <v>224.89781159786889</v>
      </c>
      <c r="O548" s="5">
        <f t="shared" si="98"/>
        <v>6.155260342594282E-3</v>
      </c>
      <c r="P548">
        <f t="shared" si="106"/>
        <v>10000</v>
      </c>
      <c r="Q548">
        <f t="shared" si="99"/>
        <v>61.55260342594282</v>
      </c>
    </row>
    <row r="549" spans="1:17" x14ac:dyDescent="0.15">
      <c r="A549" s="10">
        <v>45889.447916666977</v>
      </c>
      <c r="B549">
        <f>COUNT(A549:$A$1158)/(48*252)</f>
        <v>5.0429894179894179E-2</v>
      </c>
      <c r="C549">
        <v>2.27</v>
      </c>
      <c r="D549">
        <v>9.1999999999999998E-2</v>
      </c>
      <c r="E549">
        <f t="shared" si="96"/>
        <v>1.6588497690966779</v>
      </c>
      <c r="F549">
        <f t="shared" si="97"/>
        <v>-4.8573034316411356E-2</v>
      </c>
      <c r="G549">
        <f t="shared" si="100"/>
        <v>-1.9999999999997797E-3</v>
      </c>
      <c r="H549">
        <f>IF(MOD(COUNTA($C$7:C549)-1,$J$2),H548,ROUND(F549*P549,-2))</f>
        <v>-500</v>
      </c>
      <c r="I549">
        <f t="shared" si="101"/>
        <v>0</v>
      </c>
      <c r="J549">
        <f t="shared" si="102"/>
        <v>0</v>
      </c>
      <c r="K549">
        <f t="shared" si="103"/>
        <v>1360.8978115978689</v>
      </c>
      <c r="L549">
        <f t="shared" si="104"/>
        <v>225.89781159786889</v>
      </c>
      <c r="M549">
        <f t="shared" si="105"/>
        <v>1</v>
      </c>
      <c r="N549">
        <f t="shared" si="107"/>
        <v>225.89781159786889</v>
      </c>
      <c r="O549" s="5">
        <f t="shared" si="98"/>
        <v>6.2280019812854248E-3</v>
      </c>
      <c r="P549">
        <f t="shared" si="106"/>
        <v>10000</v>
      </c>
      <c r="Q549">
        <f t="shared" si="99"/>
        <v>62.280019812854249</v>
      </c>
    </row>
    <row r="550" spans="1:17" x14ac:dyDescent="0.15">
      <c r="A550" s="10">
        <v>45889.451388888992</v>
      </c>
      <c r="B550">
        <f>COUNT(A550:$A$1158)/(48*252)</f>
        <v>5.0347222222222224E-2</v>
      </c>
      <c r="C550">
        <v>2.2690000000000001</v>
      </c>
      <c r="D550">
        <v>9.0999999999999998E-2</v>
      </c>
      <c r="E550">
        <f t="shared" si="96"/>
        <v>1.6566749280450508</v>
      </c>
      <c r="F550">
        <f t="shared" si="97"/>
        <v>-4.8792607298634993E-2</v>
      </c>
      <c r="G550">
        <f t="shared" si="100"/>
        <v>-9.9999999999988987E-4</v>
      </c>
      <c r="H550">
        <f>IF(MOD(COUNTA($C$7:C550)-1,$J$2),H549,ROUND(F550*P550,-2))</f>
        <v>-500</v>
      </c>
      <c r="I550">
        <f t="shared" si="101"/>
        <v>0</v>
      </c>
      <c r="J550">
        <f t="shared" si="102"/>
        <v>0</v>
      </c>
      <c r="K550">
        <f t="shared" si="103"/>
        <v>1360.8978115978689</v>
      </c>
      <c r="L550">
        <f t="shared" si="104"/>
        <v>226.39781159786889</v>
      </c>
      <c r="M550">
        <f t="shared" si="105"/>
        <v>0.5</v>
      </c>
      <c r="N550">
        <f t="shared" si="107"/>
        <v>226.39781159786889</v>
      </c>
      <c r="O550" s="5">
        <f t="shared" si="98"/>
        <v>6.2526830678813899E-3</v>
      </c>
      <c r="P550">
        <f t="shared" si="106"/>
        <v>10000</v>
      </c>
      <c r="Q550">
        <f t="shared" si="99"/>
        <v>62.526830678813901</v>
      </c>
    </row>
    <row r="551" spans="1:17" x14ac:dyDescent="0.15">
      <c r="A551" s="10">
        <v>45889.454861111008</v>
      </c>
      <c r="B551">
        <f>COUNT(A551:$A$1158)/(48*252)</f>
        <v>5.0264550264550262E-2</v>
      </c>
      <c r="C551">
        <v>2.2690000000000001</v>
      </c>
      <c r="D551">
        <v>9.1999999999999998E-2</v>
      </c>
      <c r="E551">
        <f t="shared" si="96"/>
        <v>1.6579114048091401</v>
      </c>
      <c r="F551">
        <f t="shared" si="97"/>
        <v>-4.8667674928318028E-2</v>
      </c>
      <c r="G551">
        <f t="shared" si="100"/>
        <v>0</v>
      </c>
      <c r="H551">
        <f>IF(MOD(COUNTA($C$7:C551)-1,$J$2),H550,ROUND(F551*P551,-2))</f>
        <v>-500</v>
      </c>
      <c r="I551">
        <f t="shared" si="101"/>
        <v>0</v>
      </c>
      <c r="J551">
        <f t="shared" si="102"/>
        <v>0</v>
      </c>
      <c r="K551">
        <f t="shared" si="103"/>
        <v>1360.8978115978689</v>
      </c>
      <c r="L551">
        <f t="shared" si="104"/>
        <v>226.39781159786889</v>
      </c>
      <c r="M551">
        <f t="shared" si="105"/>
        <v>0</v>
      </c>
      <c r="N551">
        <f t="shared" si="107"/>
        <v>226.39781159786889</v>
      </c>
      <c r="O551" s="5">
        <f t="shared" si="98"/>
        <v>6.228648122440672E-3</v>
      </c>
      <c r="P551">
        <f t="shared" si="106"/>
        <v>10000</v>
      </c>
      <c r="Q551">
        <f t="shared" si="99"/>
        <v>62.286481224406721</v>
      </c>
    </row>
    <row r="552" spans="1:17" x14ac:dyDescent="0.15">
      <c r="A552" s="10">
        <v>45889.458333333023</v>
      </c>
      <c r="B552">
        <f>COUNT(A552:$A$1158)/(48*252)</f>
        <v>5.0181878306878307E-2</v>
      </c>
      <c r="C552">
        <v>2.278</v>
      </c>
      <c r="D552">
        <v>9.8000000000000004E-2</v>
      </c>
      <c r="E552">
        <f t="shared" si="96"/>
        <v>1.6898462445531073</v>
      </c>
      <c r="F552">
        <f t="shared" si="97"/>
        <v>-4.5528686985980449E-2</v>
      </c>
      <c r="G552">
        <f t="shared" si="100"/>
        <v>8.999999999999897E-3</v>
      </c>
      <c r="H552">
        <f>IF(MOD(COUNTA($C$7:C552)-1,$J$2),H551,ROUND(F552*P552,-2))</f>
        <v>-500</v>
      </c>
      <c r="I552">
        <f t="shared" si="101"/>
        <v>0</v>
      </c>
      <c r="J552">
        <f t="shared" si="102"/>
        <v>0</v>
      </c>
      <c r="K552">
        <f t="shared" si="103"/>
        <v>1360.8978115978689</v>
      </c>
      <c r="L552">
        <f t="shared" si="104"/>
        <v>221.89781159786889</v>
      </c>
      <c r="M552">
        <f t="shared" si="105"/>
        <v>-4.5</v>
      </c>
      <c r="N552">
        <f t="shared" si="107"/>
        <v>221.89781159786889</v>
      </c>
      <c r="O552" s="5">
        <f t="shared" si="98"/>
        <v>5.7814462941975231E-3</v>
      </c>
      <c r="P552">
        <f t="shared" si="106"/>
        <v>10000</v>
      </c>
      <c r="Q552">
        <f t="shared" si="99"/>
        <v>57.814462941975229</v>
      </c>
    </row>
    <row r="553" spans="1:17" x14ac:dyDescent="0.15">
      <c r="A553" s="10">
        <v>45889.461805555969</v>
      </c>
      <c r="B553">
        <f>COUNT(A553:$A$1158)/(48*252)</f>
        <v>5.0099206349206352E-2</v>
      </c>
      <c r="C553">
        <v>2.2839999999999998</v>
      </c>
      <c r="D553">
        <v>0.10100000000000001</v>
      </c>
      <c r="E553">
        <f t="shared" si="96"/>
        <v>1.7115273575651522</v>
      </c>
      <c r="F553">
        <f t="shared" si="97"/>
        <v>-4.349190267700398E-2</v>
      </c>
      <c r="G553">
        <f t="shared" si="100"/>
        <v>5.9999999999997833E-3</v>
      </c>
      <c r="H553">
        <f>IF(MOD(COUNTA($C$7:C553)-1,$J$2),H552,ROUND(F553*P553,-2))</f>
        <v>-400</v>
      </c>
      <c r="I553">
        <f t="shared" si="101"/>
        <v>100</v>
      </c>
      <c r="J553">
        <f t="shared" si="102"/>
        <v>0</v>
      </c>
      <c r="K553">
        <f t="shared" si="103"/>
        <v>1132.4875335978688</v>
      </c>
      <c r="L553">
        <f t="shared" si="104"/>
        <v>218.88753359786892</v>
      </c>
      <c r="M553">
        <f t="shared" si="105"/>
        <v>-3.0102779999999711</v>
      </c>
      <c r="N553">
        <f t="shared" si="107"/>
        <v>218.88753359786892</v>
      </c>
      <c r="O553" s="5">
        <f t="shared" si="98"/>
        <v>5.4919155639813477E-3</v>
      </c>
      <c r="P553">
        <f t="shared" si="106"/>
        <v>10000</v>
      </c>
      <c r="Q553">
        <f t="shared" si="99"/>
        <v>54.919155639813475</v>
      </c>
    </row>
    <row r="554" spans="1:17" x14ac:dyDescent="0.15">
      <c r="A554" s="10">
        <v>45889.465277777985</v>
      </c>
      <c r="B554">
        <f>COUNT(A554:$A$1158)/(48*252)</f>
        <v>5.001653439153439E-2</v>
      </c>
      <c r="C554">
        <v>2.298</v>
      </c>
      <c r="D554">
        <v>0.11</v>
      </c>
      <c r="E554">
        <f t="shared" si="96"/>
        <v>1.7602772980764687</v>
      </c>
      <c r="F554">
        <f t="shared" si="97"/>
        <v>-3.9180400701484874E-2</v>
      </c>
      <c r="G554">
        <f t="shared" si="100"/>
        <v>1.4000000000000234E-2</v>
      </c>
      <c r="H554">
        <f>IF(MOD(COUNTA($C$7:C554)-1,$J$2),H553,ROUND(F554*P554,-2))</f>
        <v>-400</v>
      </c>
      <c r="I554">
        <f t="shared" si="101"/>
        <v>0</v>
      </c>
      <c r="J554">
        <f t="shared" si="102"/>
        <v>0</v>
      </c>
      <c r="K554">
        <f t="shared" si="103"/>
        <v>1132.4875335978688</v>
      </c>
      <c r="L554">
        <f t="shared" si="104"/>
        <v>213.28753359786879</v>
      </c>
      <c r="M554">
        <f t="shared" si="105"/>
        <v>-5.6000000000001364</v>
      </c>
      <c r="N554">
        <f t="shared" si="107"/>
        <v>213.28753359786879</v>
      </c>
      <c r="O554" s="5">
        <f t="shared" si="98"/>
        <v>4.8923543337088815E-3</v>
      </c>
      <c r="P554">
        <f t="shared" si="106"/>
        <v>10000</v>
      </c>
      <c r="Q554">
        <f t="shared" si="99"/>
        <v>48.923543337088816</v>
      </c>
    </row>
    <row r="555" spans="1:17" x14ac:dyDescent="0.15">
      <c r="A555" s="10">
        <v>45889.46875</v>
      </c>
      <c r="B555">
        <f>COUNT(A555:$A$1158)/(48*252)</f>
        <v>4.9933862433862435E-2</v>
      </c>
      <c r="C555">
        <v>2.2949999999999999</v>
      </c>
      <c r="D555">
        <v>0.11</v>
      </c>
      <c r="E555">
        <f t="shared" si="96"/>
        <v>1.7514537292243721</v>
      </c>
      <c r="F555">
        <f t="shared" si="97"/>
        <v>-3.993389245371437E-2</v>
      </c>
      <c r="G555">
        <f t="shared" si="100"/>
        <v>-3.0000000000001137E-3</v>
      </c>
      <c r="H555">
        <f>IF(MOD(COUNTA($C$7:C555)-1,$J$2),H554,ROUND(F555*P555,-2))</f>
        <v>-400</v>
      </c>
      <c r="I555">
        <f t="shared" si="101"/>
        <v>0</v>
      </c>
      <c r="J555">
        <f t="shared" si="102"/>
        <v>0</v>
      </c>
      <c r="K555">
        <f t="shared" si="103"/>
        <v>1132.4875335978688</v>
      </c>
      <c r="L555">
        <f t="shared" si="104"/>
        <v>214.48753359786883</v>
      </c>
      <c r="M555">
        <f t="shared" si="105"/>
        <v>1.2000000000000455</v>
      </c>
      <c r="N555">
        <f t="shared" si="107"/>
        <v>214.48753359786883</v>
      </c>
      <c r="O555" s="5">
        <f t="shared" si="98"/>
        <v>4.9903835264001883E-3</v>
      </c>
      <c r="P555">
        <f t="shared" si="106"/>
        <v>10000</v>
      </c>
      <c r="Q555">
        <f t="shared" si="99"/>
        <v>49.903835264001884</v>
      </c>
    </row>
    <row r="556" spans="1:17" x14ac:dyDescent="0.15">
      <c r="A556" s="10">
        <v>45889.472222222015</v>
      </c>
      <c r="B556">
        <f>COUNT(A556:$A$1158)/(48*252)</f>
        <v>4.9851190476190479E-2</v>
      </c>
      <c r="C556">
        <v>2.294</v>
      </c>
      <c r="D556">
        <v>0.109</v>
      </c>
      <c r="E556">
        <f t="shared" si="96"/>
        <v>1.7493889823830895</v>
      </c>
      <c r="F556">
        <f t="shared" si="97"/>
        <v>-4.0111902016943701E-2</v>
      </c>
      <c r="G556">
        <f t="shared" si="100"/>
        <v>-9.9999999999988987E-4</v>
      </c>
      <c r="H556">
        <f>IF(MOD(COUNTA($C$7:C556)-1,$J$2),H555,ROUND(F556*P556,-2))</f>
        <v>-400</v>
      </c>
      <c r="I556">
        <f t="shared" si="101"/>
        <v>0</v>
      </c>
      <c r="J556">
        <f t="shared" si="102"/>
        <v>0</v>
      </c>
      <c r="K556">
        <f t="shared" si="103"/>
        <v>1132.4875335978688</v>
      </c>
      <c r="L556">
        <f t="shared" si="104"/>
        <v>214.88753359786881</v>
      </c>
      <c r="M556">
        <f t="shared" si="105"/>
        <v>0.39999999999997726</v>
      </c>
      <c r="N556">
        <f t="shared" si="107"/>
        <v>214.88753359786881</v>
      </c>
      <c r="O556" s="5">
        <f t="shared" si="98"/>
        <v>5.0095709478474859E-3</v>
      </c>
      <c r="P556">
        <f t="shared" si="106"/>
        <v>10000</v>
      </c>
      <c r="Q556">
        <f t="shared" si="99"/>
        <v>50.095709478474859</v>
      </c>
    </row>
    <row r="557" spans="1:17" x14ac:dyDescent="0.15">
      <c r="A557" s="10">
        <v>45889.475694444962</v>
      </c>
      <c r="B557">
        <f>COUNT(A557:$A$1158)/(48*252)</f>
        <v>4.9768518518518517E-2</v>
      </c>
      <c r="C557">
        <v>2.2930000000000001</v>
      </c>
      <c r="D557">
        <v>0.109</v>
      </c>
      <c r="E557">
        <f t="shared" si="96"/>
        <v>1.7473205328116566</v>
      </c>
      <c r="F557">
        <f t="shared" si="97"/>
        <v>-4.0290876682130827E-2</v>
      </c>
      <c r="G557">
        <f t="shared" si="100"/>
        <v>-9.9999999999988987E-4</v>
      </c>
      <c r="H557">
        <f>IF(MOD(COUNTA($C$7:C557)-1,$J$2),H556,ROUND(F557*P557,-2))</f>
        <v>-400</v>
      </c>
      <c r="I557">
        <f t="shared" si="101"/>
        <v>0</v>
      </c>
      <c r="J557">
        <f t="shared" si="102"/>
        <v>0</v>
      </c>
      <c r="K557">
        <f t="shared" si="103"/>
        <v>1132.4875335978688</v>
      </c>
      <c r="L557">
        <f t="shared" si="104"/>
        <v>215.28753359786879</v>
      </c>
      <c r="M557">
        <f t="shared" si="105"/>
        <v>0.39999999999997726</v>
      </c>
      <c r="N557">
        <f t="shared" si="107"/>
        <v>215.28753359786879</v>
      </c>
      <c r="O557" s="5">
        <f t="shared" si="98"/>
        <v>5.0288531726896679E-3</v>
      </c>
      <c r="P557">
        <f t="shared" si="106"/>
        <v>10000</v>
      </c>
      <c r="Q557">
        <f t="shared" si="99"/>
        <v>50.288531726896679</v>
      </c>
    </row>
    <row r="558" spans="1:17" x14ac:dyDescent="0.15">
      <c r="A558" s="10">
        <v>45889.479166666977</v>
      </c>
      <c r="B558">
        <f>COUNT(A558:$A$1158)/(48*252)</f>
        <v>4.9685846560846562E-2</v>
      </c>
      <c r="C558">
        <v>2.2989999999999999</v>
      </c>
      <c r="D558">
        <v>0.112</v>
      </c>
      <c r="E558">
        <f t="shared" si="96"/>
        <v>1.7690113330259636</v>
      </c>
      <c r="F558">
        <f t="shared" si="97"/>
        <v>-3.8445991666823165E-2</v>
      </c>
      <c r="G558">
        <f t="shared" si="100"/>
        <v>5.9999999999997833E-3</v>
      </c>
      <c r="H558">
        <f>IF(MOD(COUNTA($C$7:C558)-1,$J$2),H557,ROUND(F558*P558,-2))</f>
        <v>-400</v>
      </c>
      <c r="I558">
        <f t="shared" si="101"/>
        <v>0</v>
      </c>
      <c r="J558">
        <f t="shared" si="102"/>
        <v>0</v>
      </c>
      <c r="K558">
        <f t="shared" si="103"/>
        <v>1132.4875335978688</v>
      </c>
      <c r="L558">
        <f t="shared" si="104"/>
        <v>212.88753359786881</v>
      </c>
      <c r="M558">
        <f t="shared" si="105"/>
        <v>-2.3999999999999773</v>
      </c>
      <c r="N558">
        <f t="shared" si="107"/>
        <v>212.88753359786881</v>
      </c>
      <c r="O558" s="5">
        <f t="shared" si="98"/>
        <v>4.772074830084988E-3</v>
      </c>
      <c r="P558">
        <f t="shared" si="106"/>
        <v>10000</v>
      </c>
      <c r="Q558">
        <f t="shared" si="99"/>
        <v>47.720748300849877</v>
      </c>
    </row>
    <row r="559" spans="1:17" x14ac:dyDescent="0.15">
      <c r="A559" s="10">
        <v>45889.545138888992</v>
      </c>
      <c r="B559">
        <f>COUNT(A559:$A$1158)/(48*252)</f>
        <v>4.96031746031746E-2</v>
      </c>
      <c r="C559">
        <v>2.3010000000000002</v>
      </c>
      <c r="D559">
        <v>0.114</v>
      </c>
      <c r="E559">
        <f t="shared" si="96"/>
        <v>1.7771404761242759</v>
      </c>
      <c r="F559">
        <f t="shared" si="97"/>
        <v>-3.7772565014318138E-2</v>
      </c>
      <c r="G559">
        <f t="shared" si="100"/>
        <v>2.0000000000002238E-3</v>
      </c>
      <c r="H559">
        <f>IF(MOD(COUNTA($C$7:C559)-1,$J$2),H558,ROUND(F559*P559,-2))</f>
        <v>-400</v>
      </c>
      <c r="I559">
        <f t="shared" si="101"/>
        <v>0</v>
      </c>
      <c r="J559">
        <f t="shared" si="102"/>
        <v>0</v>
      </c>
      <c r="K559">
        <f t="shared" si="103"/>
        <v>1132.4875335978688</v>
      </c>
      <c r="L559">
        <f t="shared" si="104"/>
        <v>212.08753359786874</v>
      </c>
      <c r="M559">
        <f t="shared" si="105"/>
        <v>-0.80000000000006821</v>
      </c>
      <c r="N559">
        <f t="shared" si="107"/>
        <v>212.08753359786874</v>
      </c>
      <c r="O559" s="5">
        <f t="shared" si="98"/>
        <v>4.6757366148072327E-3</v>
      </c>
      <c r="P559">
        <f t="shared" si="106"/>
        <v>10000</v>
      </c>
      <c r="Q559">
        <f t="shared" si="99"/>
        <v>46.757366148072329</v>
      </c>
    </row>
    <row r="560" spans="1:17" x14ac:dyDescent="0.15">
      <c r="A560" s="10">
        <v>45889.548611111008</v>
      </c>
      <c r="B560">
        <f>COUNT(A560:$A$1158)/(48*252)</f>
        <v>4.9520502645502645E-2</v>
      </c>
      <c r="C560">
        <v>2.2999999999999998</v>
      </c>
      <c r="D560">
        <v>0.11600000000000001</v>
      </c>
      <c r="E560">
        <f t="shared" si="96"/>
        <v>1.7751040026984573</v>
      </c>
      <c r="F560">
        <f t="shared" si="97"/>
        <v>-3.7940358104199823E-2</v>
      </c>
      <c r="G560">
        <f t="shared" si="100"/>
        <v>-1.000000000000334E-3</v>
      </c>
      <c r="H560">
        <f>IF(MOD(COUNTA($C$7:C560)-1,$J$2),H559,ROUND(F560*P560,-2))</f>
        <v>-400</v>
      </c>
      <c r="I560">
        <f t="shared" si="101"/>
        <v>0</v>
      </c>
      <c r="J560">
        <f t="shared" si="102"/>
        <v>0</v>
      </c>
      <c r="K560">
        <f t="shared" si="103"/>
        <v>1132.4875335978688</v>
      </c>
      <c r="L560">
        <f t="shared" si="104"/>
        <v>212.48753359786895</v>
      </c>
      <c r="M560">
        <f t="shared" si="105"/>
        <v>0.40000000000020464</v>
      </c>
      <c r="N560">
        <f t="shared" si="107"/>
        <v>212.48753359786895</v>
      </c>
      <c r="O560" s="5">
        <f t="shared" si="98"/>
        <v>4.6935589054519083E-3</v>
      </c>
      <c r="P560">
        <f t="shared" si="106"/>
        <v>10000</v>
      </c>
      <c r="Q560">
        <f t="shared" si="99"/>
        <v>46.935589054519085</v>
      </c>
    </row>
    <row r="561" spans="1:17" x14ac:dyDescent="0.15">
      <c r="A561" s="10">
        <v>45889.552083333023</v>
      </c>
      <c r="B561">
        <f>COUNT(A561:$A$1158)/(48*252)</f>
        <v>4.943783068783069E-2</v>
      </c>
      <c r="C561">
        <v>2.3079999999999998</v>
      </c>
      <c r="D561">
        <v>0.122</v>
      </c>
      <c r="E561">
        <f t="shared" si="96"/>
        <v>1.8035864526343663</v>
      </c>
      <c r="F561">
        <f t="shared" si="97"/>
        <v>-3.5648080707130436E-2</v>
      </c>
      <c r="G561">
        <f t="shared" si="100"/>
        <v>8.0000000000000071E-3</v>
      </c>
      <c r="H561">
        <f>IF(MOD(COUNTA($C$7:C561)-1,$J$2),H560,ROUND(F561*P561,-2))</f>
        <v>-400</v>
      </c>
      <c r="I561">
        <f t="shared" si="101"/>
        <v>0</v>
      </c>
      <c r="J561">
        <f t="shared" si="102"/>
        <v>0</v>
      </c>
      <c r="K561">
        <f t="shared" si="103"/>
        <v>1132.4875335978688</v>
      </c>
      <c r="L561">
        <f t="shared" si="104"/>
        <v>209.2875335978689</v>
      </c>
      <c r="M561">
        <f t="shared" si="105"/>
        <v>-3.2000000000000455</v>
      </c>
      <c r="N561">
        <f t="shared" si="107"/>
        <v>209.2875335978689</v>
      </c>
      <c r="O561" s="5">
        <f t="shared" si="98"/>
        <v>4.3796695911009487E-3</v>
      </c>
      <c r="P561">
        <f t="shared" si="106"/>
        <v>10000</v>
      </c>
      <c r="Q561">
        <f t="shared" si="99"/>
        <v>43.796695911009486</v>
      </c>
    </row>
    <row r="562" spans="1:17" x14ac:dyDescent="0.15">
      <c r="A562" s="10">
        <v>45889.555555555969</v>
      </c>
      <c r="B562">
        <f>COUNT(A562:$A$1158)/(48*252)</f>
        <v>4.9355158730158728E-2</v>
      </c>
      <c r="C562">
        <v>2.3109999999999999</v>
      </c>
      <c r="D562">
        <v>0.123</v>
      </c>
      <c r="E562">
        <f t="shared" si="96"/>
        <v>1.8151260917617558</v>
      </c>
      <c r="F562">
        <f t="shared" si="97"/>
        <v>-3.4752267165150119E-2</v>
      </c>
      <c r="G562">
        <f t="shared" si="100"/>
        <v>3.0000000000001137E-3</v>
      </c>
      <c r="H562">
        <f>IF(MOD(COUNTA($C$7:C562)-1,$J$2),H561,ROUND(F562*P562,-2))</f>
        <v>-400</v>
      </c>
      <c r="I562">
        <f t="shared" si="101"/>
        <v>0</v>
      </c>
      <c r="J562">
        <f t="shared" si="102"/>
        <v>0</v>
      </c>
      <c r="K562">
        <f t="shared" si="103"/>
        <v>1132.4875335978688</v>
      </c>
      <c r="L562">
        <f t="shared" si="104"/>
        <v>208.08753359786886</v>
      </c>
      <c r="M562">
        <f t="shared" si="105"/>
        <v>-1.2000000000000455</v>
      </c>
      <c r="N562">
        <f t="shared" si="107"/>
        <v>208.08753359786886</v>
      </c>
      <c r="O562" s="5">
        <f t="shared" si="98"/>
        <v>4.2550892233103876E-3</v>
      </c>
      <c r="P562">
        <f t="shared" si="106"/>
        <v>10000</v>
      </c>
      <c r="Q562">
        <f t="shared" si="99"/>
        <v>42.550892233103873</v>
      </c>
    </row>
    <row r="563" spans="1:17" x14ac:dyDescent="0.15">
      <c r="A563" s="10">
        <v>45889.559027777985</v>
      </c>
      <c r="B563">
        <f>COUNT(A563:$A$1158)/(48*252)</f>
        <v>4.9272486772486773E-2</v>
      </c>
      <c r="C563">
        <v>2.306</v>
      </c>
      <c r="D563">
        <v>0.12</v>
      </c>
      <c r="E563">
        <f t="shared" si="96"/>
        <v>1.7995729897705908</v>
      </c>
      <c r="F563">
        <f t="shared" si="97"/>
        <v>-3.5964044596462519E-2</v>
      </c>
      <c r="G563">
        <f t="shared" si="100"/>
        <v>-4.9999999999998934E-3</v>
      </c>
      <c r="H563">
        <f>IF(MOD(COUNTA($C$7:C563)-1,$J$2),H562,ROUND(F563*P563,-2))</f>
        <v>-400</v>
      </c>
      <c r="I563">
        <f t="shared" si="101"/>
        <v>0</v>
      </c>
      <c r="J563">
        <f t="shared" si="102"/>
        <v>0</v>
      </c>
      <c r="K563">
        <f t="shared" si="103"/>
        <v>1132.4875335978688</v>
      </c>
      <c r="L563">
        <f t="shared" si="104"/>
        <v>210.08753359786886</v>
      </c>
      <c r="M563">
        <f t="shared" si="105"/>
        <v>2</v>
      </c>
      <c r="N563">
        <f t="shared" si="107"/>
        <v>210.08753359786886</v>
      </c>
      <c r="O563" s="5">
        <f t="shared" si="98"/>
        <v>4.4128026956880145E-3</v>
      </c>
      <c r="P563">
        <f t="shared" si="106"/>
        <v>10000</v>
      </c>
      <c r="Q563">
        <f t="shared" si="99"/>
        <v>44.128026956880149</v>
      </c>
    </row>
    <row r="564" spans="1:17" x14ac:dyDescent="0.15">
      <c r="A564" s="10">
        <v>45889.5625</v>
      </c>
      <c r="B564">
        <f>COUNT(A564:$A$1158)/(48*252)</f>
        <v>4.9189814814814818E-2</v>
      </c>
      <c r="C564">
        <v>2.302</v>
      </c>
      <c r="D564">
        <v>0.11799999999999999</v>
      </c>
      <c r="E564">
        <f t="shared" si="96"/>
        <v>1.7873611032512511</v>
      </c>
      <c r="F564">
        <f t="shared" si="97"/>
        <v>-3.6939572025282641E-2</v>
      </c>
      <c r="G564">
        <f t="shared" si="100"/>
        <v>-4.0000000000000036E-3</v>
      </c>
      <c r="H564">
        <f>IF(MOD(COUNTA($C$7:C564)-1,$J$2),H563,ROUND(F564*P564,-2))</f>
        <v>-400</v>
      </c>
      <c r="I564">
        <f t="shared" si="101"/>
        <v>0</v>
      </c>
      <c r="J564">
        <f t="shared" si="102"/>
        <v>0</v>
      </c>
      <c r="K564">
        <f t="shared" si="103"/>
        <v>1132.4875335978688</v>
      </c>
      <c r="L564">
        <f t="shared" si="104"/>
        <v>211.68753359786876</v>
      </c>
      <c r="M564">
        <f t="shared" si="105"/>
        <v>1.5999999999999091</v>
      </c>
      <c r="N564">
        <f t="shared" si="107"/>
        <v>211.68753359786876</v>
      </c>
      <c r="O564" s="5">
        <f t="shared" si="98"/>
        <v>4.5390810095541217E-3</v>
      </c>
      <c r="P564">
        <f t="shared" si="106"/>
        <v>10000</v>
      </c>
      <c r="Q564">
        <f t="shared" si="99"/>
        <v>45.390810095541219</v>
      </c>
    </row>
    <row r="565" spans="1:17" x14ac:dyDescent="0.15">
      <c r="A565" s="10">
        <v>45889.565972222015</v>
      </c>
      <c r="B565">
        <f>COUNT(A565:$A$1158)/(48*252)</f>
        <v>4.9107142857142856E-2</v>
      </c>
      <c r="C565">
        <v>2.2919999999999998</v>
      </c>
      <c r="D565">
        <v>0.113</v>
      </c>
      <c r="E565">
        <f t="shared" si="96"/>
        <v>1.7546138940597131</v>
      </c>
      <c r="F565">
        <f t="shared" si="97"/>
        <v>-3.9662686631177557E-2</v>
      </c>
      <c r="G565">
        <f t="shared" si="100"/>
        <v>-1.0000000000000231E-2</v>
      </c>
      <c r="H565">
        <f>IF(MOD(COUNTA($C$7:C565)-1,$J$2),H564,ROUND(F565*P565,-2))</f>
        <v>-400</v>
      </c>
      <c r="I565">
        <f t="shared" si="101"/>
        <v>0</v>
      </c>
      <c r="J565">
        <f t="shared" si="102"/>
        <v>0</v>
      </c>
      <c r="K565">
        <f t="shared" si="103"/>
        <v>1132.4875335978688</v>
      </c>
      <c r="L565">
        <f t="shared" si="104"/>
        <v>215.68753359786888</v>
      </c>
      <c r="M565">
        <f t="shared" si="105"/>
        <v>4.0000000000001137</v>
      </c>
      <c r="N565">
        <f t="shared" si="107"/>
        <v>215.68753359786888</v>
      </c>
      <c r="O565" s="5">
        <f t="shared" si="98"/>
        <v>4.9016738752239303E-3</v>
      </c>
      <c r="P565">
        <f t="shared" si="106"/>
        <v>10000</v>
      </c>
      <c r="Q565">
        <f t="shared" si="99"/>
        <v>49.016738752239306</v>
      </c>
    </row>
    <row r="566" spans="1:17" x14ac:dyDescent="0.15">
      <c r="A566" s="10">
        <v>45889.569444444962</v>
      </c>
      <c r="B566">
        <f>COUNT(A566:$A$1158)/(48*252)</f>
        <v>4.9024470899470901E-2</v>
      </c>
      <c r="C566">
        <v>2.2959999999999998</v>
      </c>
      <c r="D566">
        <v>0.115</v>
      </c>
      <c r="E566">
        <f t="shared" si="96"/>
        <v>1.7696448285452309</v>
      </c>
      <c r="F566">
        <f t="shared" si="97"/>
        <v>-3.8393163025103316E-2</v>
      </c>
      <c r="G566">
        <f t="shared" si="100"/>
        <v>4.0000000000000036E-3</v>
      </c>
      <c r="H566">
        <f>IF(MOD(COUNTA($C$7:C566)-1,$J$2),H565,ROUND(F566*P566,-2))</f>
        <v>-400</v>
      </c>
      <c r="I566">
        <f t="shared" si="101"/>
        <v>0</v>
      </c>
      <c r="J566">
        <f t="shared" si="102"/>
        <v>0</v>
      </c>
      <c r="K566">
        <f t="shared" si="103"/>
        <v>1132.4875335978688</v>
      </c>
      <c r="L566">
        <f t="shared" si="104"/>
        <v>214.08753359786886</v>
      </c>
      <c r="M566">
        <f t="shared" si="105"/>
        <v>-1.6000000000000227</v>
      </c>
      <c r="N566">
        <f t="shared" si="107"/>
        <v>214.08753359786886</v>
      </c>
      <c r="O566" s="5">
        <f t="shared" si="98"/>
        <v>4.7249916787126672E-3</v>
      </c>
      <c r="P566">
        <f t="shared" si="106"/>
        <v>10000</v>
      </c>
      <c r="Q566">
        <f t="shared" si="99"/>
        <v>47.249916787126672</v>
      </c>
    </row>
    <row r="567" spans="1:17" x14ac:dyDescent="0.15">
      <c r="A567" s="10">
        <v>45889.572916666977</v>
      </c>
      <c r="B567">
        <f>COUNT(A567:$A$1158)/(48*252)</f>
        <v>4.8941798941798939E-2</v>
      </c>
      <c r="C567">
        <v>2.2919999999999998</v>
      </c>
      <c r="D567">
        <v>0.115</v>
      </c>
      <c r="E567">
        <f t="shared" si="96"/>
        <v>1.7573211830012669</v>
      </c>
      <c r="F567">
        <f t="shared" si="97"/>
        <v>-3.9431539572077123E-2</v>
      </c>
      <c r="G567">
        <f t="shared" si="100"/>
        <v>-4.0000000000000036E-3</v>
      </c>
      <c r="H567">
        <f>IF(MOD(COUNTA($C$7:C567)-1,$J$2),H566,ROUND(F567*P567,-2))</f>
        <v>-400</v>
      </c>
      <c r="I567">
        <f t="shared" si="101"/>
        <v>0</v>
      </c>
      <c r="J567">
        <f t="shared" si="102"/>
        <v>0</v>
      </c>
      <c r="K567">
        <f t="shared" si="103"/>
        <v>1132.4875335978688</v>
      </c>
      <c r="L567">
        <f t="shared" si="104"/>
        <v>215.68753359786888</v>
      </c>
      <c r="M567">
        <f t="shared" si="105"/>
        <v>1.6000000000000227</v>
      </c>
      <c r="N567">
        <f t="shared" si="107"/>
        <v>215.68753359786888</v>
      </c>
      <c r="O567" s="5">
        <f t="shared" si="98"/>
        <v>4.8600822993715986E-3</v>
      </c>
      <c r="P567">
        <f t="shared" si="106"/>
        <v>10000</v>
      </c>
      <c r="Q567">
        <f t="shared" si="99"/>
        <v>48.600822993715987</v>
      </c>
    </row>
    <row r="568" spans="1:17" x14ac:dyDescent="0.15">
      <c r="A568" s="10">
        <v>45889.576388888992</v>
      </c>
      <c r="B568">
        <f>COUNT(A568:$A$1158)/(48*252)</f>
        <v>4.8859126984126984E-2</v>
      </c>
      <c r="C568">
        <v>2.294</v>
      </c>
      <c r="D568">
        <v>0.113</v>
      </c>
      <c r="E568">
        <f t="shared" si="96"/>
        <v>1.7655342164626426</v>
      </c>
      <c r="F568">
        <f t="shared" si="97"/>
        <v>-3.8737012443398777E-2</v>
      </c>
      <c r="G568">
        <f t="shared" si="100"/>
        <v>2.0000000000002238E-3</v>
      </c>
      <c r="H568">
        <f>IF(MOD(COUNTA($C$7:C568)-1,$J$2),H567,ROUND(F568*P568,-2))</f>
        <v>-400</v>
      </c>
      <c r="I568">
        <f t="shared" si="101"/>
        <v>0</v>
      </c>
      <c r="J568">
        <f t="shared" si="102"/>
        <v>0</v>
      </c>
      <c r="K568">
        <f t="shared" si="103"/>
        <v>1132.4875335978688</v>
      </c>
      <c r="L568">
        <f t="shared" si="104"/>
        <v>214.88753359786881</v>
      </c>
      <c r="M568">
        <f t="shared" si="105"/>
        <v>-0.80000000000006821</v>
      </c>
      <c r="N568">
        <f t="shared" si="107"/>
        <v>214.88753359786881</v>
      </c>
      <c r="O568" s="5">
        <f t="shared" si="98"/>
        <v>4.7612822382216702E-3</v>
      </c>
      <c r="P568">
        <f t="shared" si="106"/>
        <v>10000</v>
      </c>
      <c r="Q568">
        <f t="shared" si="99"/>
        <v>47.612822382216699</v>
      </c>
    </row>
    <row r="569" spans="1:17" x14ac:dyDescent="0.15">
      <c r="A569" s="10">
        <v>45889.579861111008</v>
      </c>
      <c r="B569">
        <f>COUNT(A569:$A$1158)/(48*252)</f>
        <v>4.8776455026455029E-2</v>
      </c>
      <c r="C569">
        <v>2.29</v>
      </c>
      <c r="D569">
        <v>0.113</v>
      </c>
      <c r="E569">
        <f t="shared" si="96"/>
        <v>1.7531767845031494</v>
      </c>
      <c r="F569">
        <f t="shared" si="97"/>
        <v>-3.9785833332435239E-2</v>
      </c>
      <c r="G569">
        <f t="shared" si="100"/>
        <v>-4.0000000000000036E-3</v>
      </c>
      <c r="H569">
        <f>IF(MOD(COUNTA($C$7:C569)-1,$J$2),H568,ROUND(F569*P569,-2))</f>
        <v>-400</v>
      </c>
      <c r="I569">
        <f t="shared" si="101"/>
        <v>0</v>
      </c>
      <c r="J569">
        <f t="shared" si="102"/>
        <v>0</v>
      </c>
      <c r="K569">
        <f t="shared" si="103"/>
        <v>1132.4875335978688</v>
      </c>
      <c r="L569">
        <f t="shared" si="104"/>
        <v>216.48753359786883</v>
      </c>
      <c r="M569">
        <f t="shared" si="105"/>
        <v>1.6000000000000227</v>
      </c>
      <c r="N569">
        <f t="shared" si="107"/>
        <v>216.48753359786883</v>
      </c>
      <c r="O569" s="5">
        <f t="shared" si="98"/>
        <v>4.8976021443104117E-3</v>
      </c>
      <c r="P569">
        <f t="shared" si="106"/>
        <v>10000</v>
      </c>
      <c r="Q569">
        <f t="shared" si="99"/>
        <v>48.976021443104116</v>
      </c>
    </row>
    <row r="570" spans="1:17" x14ac:dyDescent="0.15">
      <c r="A570" s="10">
        <v>45889.583333333023</v>
      </c>
      <c r="B570">
        <f>COUNT(A570:$A$1158)/(48*252)</f>
        <v>4.8693783068783067E-2</v>
      </c>
      <c r="C570">
        <v>2.2919999999999998</v>
      </c>
      <c r="D570">
        <v>0.115</v>
      </c>
      <c r="E570">
        <f t="shared" si="96"/>
        <v>1.7614087502367375</v>
      </c>
      <c r="F570">
        <f t="shared" si="97"/>
        <v>-3.9084622541369907E-2</v>
      </c>
      <c r="G570">
        <f t="shared" si="100"/>
        <v>1.9999999999997797E-3</v>
      </c>
      <c r="H570">
        <f>IF(MOD(COUNTA($C$7:C570)-1,$J$2),H569,ROUND(F570*P570,-2))</f>
        <v>-400</v>
      </c>
      <c r="I570">
        <f t="shared" si="101"/>
        <v>0</v>
      </c>
      <c r="J570">
        <f t="shared" si="102"/>
        <v>0</v>
      </c>
      <c r="K570">
        <f t="shared" si="103"/>
        <v>1132.4875335978688</v>
      </c>
      <c r="L570">
        <f t="shared" si="104"/>
        <v>215.68753359786888</v>
      </c>
      <c r="M570">
        <f t="shared" si="105"/>
        <v>-0.79999999999995453</v>
      </c>
      <c r="N570">
        <f t="shared" si="107"/>
        <v>215.68753359786888</v>
      </c>
      <c r="O570" s="5">
        <f t="shared" si="98"/>
        <v>4.797932464850857E-3</v>
      </c>
      <c r="P570">
        <f t="shared" si="106"/>
        <v>10000</v>
      </c>
      <c r="Q570">
        <f t="shared" si="99"/>
        <v>47.979324648508573</v>
      </c>
    </row>
    <row r="571" spans="1:17" x14ac:dyDescent="0.15">
      <c r="A571" s="10">
        <v>45889.586805555969</v>
      </c>
      <c r="B571">
        <f>COUNT(A571:$A$1158)/(48*252)</f>
        <v>4.8611111111111112E-2</v>
      </c>
      <c r="C571">
        <v>2.2909999999999999</v>
      </c>
      <c r="D571">
        <v>0.114</v>
      </c>
      <c r="E571">
        <f t="shared" si="96"/>
        <v>1.7593404168554958</v>
      </c>
      <c r="F571">
        <f t="shared" si="97"/>
        <v>-3.9259852811074136E-2</v>
      </c>
      <c r="G571">
        <f t="shared" si="100"/>
        <v>-9.9999999999988987E-4</v>
      </c>
      <c r="H571">
        <f>IF(MOD(COUNTA($C$7:C571)-1,$J$2),H570,ROUND(F571*P571,-2))</f>
        <v>-400</v>
      </c>
      <c r="I571">
        <f t="shared" si="101"/>
        <v>0</v>
      </c>
      <c r="J571">
        <f t="shared" si="102"/>
        <v>0</v>
      </c>
      <c r="K571">
        <f t="shared" si="103"/>
        <v>1132.4875335978688</v>
      </c>
      <c r="L571">
        <f t="shared" si="104"/>
        <v>216.08753359786886</v>
      </c>
      <c r="M571">
        <f t="shared" si="105"/>
        <v>0.39999999999997726</v>
      </c>
      <c r="N571">
        <f t="shared" si="107"/>
        <v>216.08753359786886</v>
      </c>
      <c r="O571" s="5">
        <f t="shared" si="98"/>
        <v>4.8163937896728848E-3</v>
      </c>
      <c r="P571">
        <f t="shared" si="106"/>
        <v>10000</v>
      </c>
      <c r="Q571">
        <f t="shared" si="99"/>
        <v>48.163937896728847</v>
      </c>
    </row>
    <row r="572" spans="1:17" x14ac:dyDescent="0.15">
      <c r="A572" s="10">
        <v>45889.590277777985</v>
      </c>
      <c r="B572">
        <f>COUNT(A572:$A$1158)/(48*252)</f>
        <v>4.8528439153439157E-2</v>
      </c>
      <c r="C572">
        <v>2.2879999999999998</v>
      </c>
      <c r="D572">
        <v>0.115</v>
      </c>
      <c r="E572">
        <f t="shared" si="96"/>
        <v>1.7503789251097652</v>
      </c>
      <c r="F572">
        <f t="shared" si="97"/>
        <v>-4.0026475059252165E-2</v>
      </c>
      <c r="G572">
        <f t="shared" si="100"/>
        <v>-3.0000000000001137E-3</v>
      </c>
      <c r="H572">
        <f>IF(MOD(COUNTA($C$7:C572)-1,$J$2),H571,ROUND(F572*P572,-2))</f>
        <v>-400</v>
      </c>
      <c r="I572">
        <f t="shared" si="101"/>
        <v>0</v>
      </c>
      <c r="J572">
        <f t="shared" si="102"/>
        <v>0</v>
      </c>
      <c r="K572">
        <f t="shared" si="103"/>
        <v>1132.4875335978688</v>
      </c>
      <c r="L572">
        <f t="shared" si="104"/>
        <v>217.2875335978689</v>
      </c>
      <c r="M572">
        <f t="shared" si="105"/>
        <v>1.2000000000000455</v>
      </c>
      <c r="N572">
        <f t="shared" si="107"/>
        <v>217.2875335978689</v>
      </c>
      <c r="O572" s="5">
        <f t="shared" si="98"/>
        <v>4.9144078836350774E-3</v>
      </c>
      <c r="P572">
        <f t="shared" si="106"/>
        <v>10000</v>
      </c>
      <c r="Q572">
        <f t="shared" si="99"/>
        <v>49.144078836350772</v>
      </c>
    </row>
    <row r="573" spans="1:17" x14ac:dyDescent="0.15">
      <c r="A573" s="10">
        <v>45889.59375</v>
      </c>
      <c r="B573">
        <f>COUNT(A573:$A$1158)/(48*252)</f>
        <v>4.8445767195767195E-2</v>
      </c>
      <c r="C573">
        <v>2.294</v>
      </c>
      <c r="D573">
        <v>0.11899999999999999</v>
      </c>
      <c r="E573">
        <f t="shared" si="96"/>
        <v>1.7724118995998024</v>
      </c>
      <c r="F573">
        <f t="shared" si="97"/>
        <v>-3.8163103961558753E-2</v>
      </c>
      <c r="G573">
        <f t="shared" si="100"/>
        <v>6.0000000000002274E-3</v>
      </c>
      <c r="H573">
        <f>IF(MOD(COUNTA($C$7:C573)-1,$J$2),H572,ROUND(F573*P573,-2))</f>
        <v>-400</v>
      </c>
      <c r="I573">
        <f t="shared" si="101"/>
        <v>0</v>
      </c>
      <c r="J573">
        <f t="shared" si="102"/>
        <v>0</v>
      </c>
      <c r="K573">
        <f t="shared" si="103"/>
        <v>1132.4875335978688</v>
      </c>
      <c r="L573">
        <f t="shared" si="104"/>
        <v>214.88753359786881</v>
      </c>
      <c r="M573">
        <f t="shared" si="105"/>
        <v>-2.4000000000000909</v>
      </c>
      <c r="N573">
        <f t="shared" si="107"/>
        <v>214.88753359786881</v>
      </c>
      <c r="O573" s="5">
        <f t="shared" si="98"/>
        <v>4.6591704907891357E-3</v>
      </c>
      <c r="P573">
        <f t="shared" si="106"/>
        <v>10000</v>
      </c>
      <c r="Q573">
        <f t="shared" si="99"/>
        <v>46.591704907891355</v>
      </c>
    </row>
    <row r="574" spans="1:17" x14ac:dyDescent="0.15">
      <c r="A574" s="10">
        <v>45889.597222222015</v>
      </c>
      <c r="B574">
        <f>COUNT(A574:$A$1158)/(48*252)</f>
        <v>4.836309523809524E-2</v>
      </c>
      <c r="C574">
        <v>2.2930000000000001</v>
      </c>
      <c r="D574">
        <v>0.11899999999999999</v>
      </c>
      <c r="E574">
        <f t="shared" si="96"/>
        <v>1.7703545162037619</v>
      </c>
      <c r="F574">
        <f t="shared" si="97"/>
        <v>-3.8334050841994927E-2</v>
      </c>
      <c r="G574">
        <f t="shared" si="100"/>
        <v>-9.9999999999988987E-4</v>
      </c>
      <c r="H574">
        <f>IF(MOD(COUNTA($C$7:C574)-1,$J$2),H573,ROUND(F574*P574,-2))</f>
        <v>-400</v>
      </c>
      <c r="I574">
        <f t="shared" si="101"/>
        <v>0</v>
      </c>
      <c r="J574">
        <f t="shared" si="102"/>
        <v>0</v>
      </c>
      <c r="K574">
        <f t="shared" si="103"/>
        <v>1132.4875335978688</v>
      </c>
      <c r="L574">
        <f t="shared" si="104"/>
        <v>215.28753359786879</v>
      </c>
      <c r="M574">
        <f t="shared" si="105"/>
        <v>0.39999999999997726</v>
      </c>
      <c r="N574">
        <f t="shared" si="107"/>
        <v>215.28753359786879</v>
      </c>
      <c r="O574" s="5">
        <f t="shared" si="98"/>
        <v>4.6770354616445381E-3</v>
      </c>
      <c r="P574">
        <f t="shared" si="106"/>
        <v>10000</v>
      </c>
      <c r="Q574">
        <f t="shared" si="99"/>
        <v>46.770354616445381</v>
      </c>
    </row>
    <row r="575" spans="1:17" x14ac:dyDescent="0.15">
      <c r="A575" s="10">
        <v>45889.600694444962</v>
      </c>
      <c r="B575">
        <f>COUNT(A575:$A$1158)/(48*252)</f>
        <v>4.8280423280423278E-2</v>
      </c>
      <c r="C575">
        <v>2.286</v>
      </c>
      <c r="D575">
        <v>0.113</v>
      </c>
      <c r="E575">
        <f t="shared" si="96"/>
        <v>1.7475721487859812</v>
      </c>
      <c r="F575">
        <f t="shared" si="97"/>
        <v>-4.0269070770058812E-2</v>
      </c>
      <c r="G575">
        <f t="shared" si="100"/>
        <v>-7.0000000000001172E-3</v>
      </c>
      <c r="H575">
        <f>IF(MOD(COUNTA($C$7:C575)-1,$J$2),H574,ROUND(F575*P575,-2))</f>
        <v>-400</v>
      </c>
      <c r="I575">
        <f t="shared" si="101"/>
        <v>0</v>
      </c>
      <c r="J575">
        <f t="shared" si="102"/>
        <v>0</v>
      </c>
      <c r="K575">
        <f t="shared" si="103"/>
        <v>1132.4875335978688</v>
      </c>
      <c r="L575">
        <f t="shared" si="104"/>
        <v>218.08753359786886</v>
      </c>
      <c r="M575">
        <f t="shared" si="105"/>
        <v>2.8000000000000682</v>
      </c>
      <c r="N575">
        <f t="shared" si="107"/>
        <v>218.08753359786886</v>
      </c>
      <c r="O575" s="5">
        <f t="shared" si="98"/>
        <v>4.9312794157766182E-3</v>
      </c>
      <c r="P575">
        <f t="shared" si="106"/>
        <v>10000</v>
      </c>
      <c r="Q575">
        <f t="shared" si="99"/>
        <v>49.312794157766184</v>
      </c>
    </row>
    <row r="576" spans="1:17" x14ac:dyDescent="0.15">
      <c r="A576" s="10">
        <v>45889.604166666977</v>
      </c>
      <c r="B576">
        <f>COUNT(A576:$A$1158)/(48*252)</f>
        <v>4.8197751322751323E-2</v>
      </c>
      <c r="C576">
        <v>2.286</v>
      </c>
      <c r="D576">
        <v>0.114</v>
      </c>
      <c r="E576">
        <f t="shared" si="96"/>
        <v>1.7489422617976111</v>
      </c>
      <c r="F576">
        <f t="shared" si="97"/>
        <v>-4.0150500176981518E-2</v>
      </c>
      <c r="G576">
        <f t="shared" si="100"/>
        <v>0</v>
      </c>
      <c r="H576">
        <f>IF(MOD(COUNTA($C$7:C576)-1,$J$2),H575,ROUND(F576*P576,-2))</f>
        <v>-400</v>
      </c>
      <c r="I576">
        <f t="shared" si="101"/>
        <v>0</v>
      </c>
      <c r="J576">
        <f t="shared" si="102"/>
        <v>0</v>
      </c>
      <c r="K576">
        <f t="shared" si="103"/>
        <v>1132.4875335978688</v>
      </c>
      <c r="L576">
        <f t="shared" si="104"/>
        <v>218.08753359786886</v>
      </c>
      <c r="M576">
        <f t="shared" si="105"/>
        <v>0</v>
      </c>
      <c r="N576">
        <f t="shared" si="107"/>
        <v>218.08753359786886</v>
      </c>
      <c r="O576" s="5">
        <f t="shared" si="98"/>
        <v>4.910084282219257E-3</v>
      </c>
      <c r="P576">
        <f t="shared" si="106"/>
        <v>10000</v>
      </c>
      <c r="Q576">
        <f t="shared" si="99"/>
        <v>49.100842822192568</v>
      </c>
    </row>
    <row r="577" spans="1:17" x14ac:dyDescent="0.15">
      <c r="A577" s="10">
        <v>45889.607638888992</v>
      </c>
      <c r="B577">
        <f>COUNT(A577:$A$1158)/(48*252)</f>
        <v>4.8115079365079368E-2</v>
      </c>
      <c r="C577">
        <v>2.2879999999999998</v>
      </c>
      <c r="D577">
        <v>0.11600000000000001</v>
      </c>
      <c r="E577">
        <f t="shared" si="96"/>
        <v>1.7572410042607394</v>
      </c>
      <c r="F577">
        <f t="shared" si="97"/>
        <v>-3.9438369413430263E-2</v>
      </c>
      <c r="G577">
        <f t="shared" si="100"/>
        <v>1.9999999999997797E-3</v>
      </c>
      <c r="H577">
        <f>IF(MOD(COUNTA($C$7:C577)-1,$J$2),H576,ROUND(F577*P577,-2))</f>
        <v>-400</v>
      </c>
      <c r="I577">
        <f t="shared" si="101"/>
        <v>0</v>
      </c>
      <c r="J577">
        <f t="shared" si="102"/>
        <v>0</v>
      </c>
      <c r="K577">
        <f t="shared" si="103"/>
        <v>1132.4875335978688</v>
      </c>
      <c r="L577">
        <f t="shared" si="104"/>
        <v>217.2875335978689</v>
      </c>
      <c r="M577">
        <f t="shared" si="105"/>
        <v>-0.79999999999995453</v>
      </c>
      <c r="N577">
        <f t="shared" si="107"/>
        <v>217.2875335978689</v>
      </c>
      <c r="O577" s="5">
        <f t="shared" si="98"/>
        <v>4.8094524661731614E-3</v>
      </c>
      <c r="P577">
        <f t="shared" si="106"/>
        <v>10000</v>
      </c>
      <c r="Q577">
        <f t="shared" si="99"/>
        <v>48.094524661731612</v>
      </c>
    </row>
    <row r="578" spans="1:17" x14ac:dyDescent="0.15">
      <c r="A578" s="10">
        <v>45889.611111111008</v>
      </c>
      <c r="B578">
        <f>COUNT(A578:$A$1158)/(48*252)</f>
        <v>4.8032407407407406E-2</v>
      </c>
      <c r="C578">
        <v>2.2909999999999999</v>
      </c>
      <c r="D578">
        <v>0.11799999999999999</v>
      </c>
      <c r="E578">
        <f t="shared" si="96"/>
        <v>1.7690094380141494</v>
      </c>
      <c r="F578">
        <f t="shared" si="97"/>
        <v>-3.8446149785037687E-2</v>
      </c>
      <c r="G578">
        <f t="shared" si="100"/>
        <v>3.0000000000001137E-3</v>
      </c>
      <c r="H578">
        <f>IF(MOD(COUNTA($C$7:C578)-1,$J$2),H577,ROUND(F578*P578,-2))</f>
        <v>-400</v>
      </c>
      <c r="I578">
        <f t="shared" si="101"/>
        <v>0</v>
      </c>
      <c r="J578">
        <f t="shared" si="102"/>
        <v>0</v>
      </c>
      <c r="K578">
        <f t="shared" si="103"/>
        <v>1132.4875335978688</v>
      </c>
      <c r="L578">
        <f t="shared" si="104"/>
        <v>216.08753359786886</v>
      </c>
      <c r="M578">
        <f t="shared" si="105"/>
        <v>-1.2000000000000455</v>
      </c>
      <c r="N578">
        <f t="shared" si="107"/>
        <v>216.08753359786886</v>
      </c>
      <c r="O578" s="5">
        <f t="shared" si="98"/>
        <v>4.6719124263068373E-3</v>
      </c>
      <c r="P578">
        <f t="shared" si="106"/>
        <v>10000</v>
      </c>
      <c r="Q578">
        <f t="shared" si="99"/>
        <v>46.719124263068373</v>
      </c>
    </row>
    <row r="579" spans="1:17" x14ac:dyDescent="0.15">
      <c r="A579" s="10">
        <v>45889.614583333023</v>
      </c>
      <c r="B579">
        <f>COUNT(A579:$A$1158)/(48*252)</f>
        <v>4.7949735449735451E-2</v>
      </c>
      <c r="C579">
        <v>2.29</v>
      </c>
      <c r="D579">
        <v>0.11799999999999999</v>
      </c>
      <c r="E579">
        <f t="shared" si="96"/>
        <v>1.7669422790188181</v>
      </c>
      <c r="F579">
        <f t="shared" si="97"/>
        <v>-3.8618947737076303E-2</v>
      </c>
      <c r="G579">
        <f t="shared" si="100"/>
        <v>-9.9999999999988987E-4</v>
      </c>
      <c r="H579">
        <f>IF(MOD(COUNTA($C$7:C579)-1,$J$2),H578,ROUND(F579*P579,-2))</f>
        <v>-400</v>
      </c>
      <c r="I579">
        <f t="shared" si="101"/>
        <v>0</v>
      </c>
      <c r="J579">
        <f t="shared" si="102"/>
        <v>0</v>
      </c>
      <c r="K579">
        <f t="shared" si="103"/>
        <v>1132.4875335978688</v>
      </c>
      <c r="L579">
        <f t="shared" si="104"/>
        <v>216.48753359786883</v>
      </c>
      <c r="M579">
        <f t="shared" si="105"/>
        <v>0.39999999999997726</v>
      </c>
      <c r="N579">
        <f t="shared" si="107"/>
        <v>216.48753359786883</v>
      </c>
      <c r="O579" s="5">
        <f t="shared" si="98"/>
        <v>4.6898761848218479E-3</v>
      </c>
      <c r="P579">
        <f t="shared" si="106"/>
        <v>10000</v>
      </c>
      <c r="Q579">
        <f t="shared" si="99"/>
        <v>46.898761848218477</v>
      </c>
    </row>
    <row r="580" spans="1:17" x14ac:dyDescent="0.15">
      <c r="A580" s="10">
        <v>45889.618055555969</v>
      </c>
      <c r="B580">
        <f>COUNT(A580:$A$1158)/(48*252)</f>
        <v>4.7867063492063495E-2</v>
      </c>
      <c r="C580">
        <v>2.29</v>
      </c>
      <c r="D580">
        <v>0.11799999999999999</v>
      </c>
      <c r="E580">
        <f t="shared" si="96"/>
        <v>1.7683390159269559</v>
      </c>
      <c r="F580">
        <f t="shared" si="97"/>
        <v>-3.8502122522490412E-2</v>
      </c>
      <c r="G580">
        <f t="shared" si="100"/>
        <v>0</v>
      </c>
      <c r="H580">
        <f>IF(MOD(COUNTA($C$7:C580)-1,$J$2),H579,ROUND(F580*P580,-2))</f>
        <v>-400</v>
      </c>
      <c r="I580">
        <f t="shared" si="101"/>
        <v>0</v>
      </c>
      <c r="J580">
        <f t="shared" si="102"/>
        <v>0</v>
      </c>
      <c r="K580">
        <f t="shared" si="103"/>
        <v>1132.4875335978688</v>
      </c>
      <c r="L580">
        <f t="shared" si="104"/>
        <v>216.48753359786883</v>
      </c>
      <c r="M580">
        <f t="shared" si="105"/>
        <v>0</v>
      </c>
      <c r="N580">
        <f t="shared" si="107"/>
        <v>216.48753359786883</v>
      </c>
      <c r="O580" s="5">
        <f t="shared" si="98"/>
        <v>4.6692818380268258E-3</v>
      </c>
      <c r="P580">
        <f t="shared" si="106"/>
        <v>10000</v>
      </c>
      <c r="Q580">
        <f t="shared" si="99"/>
        <v>46.692818380268257</v>
      </c>
    </row>
    <row r="581" spans="1:17" x14ac:dyDescent="0.15">
      <c r="A581" s="10">
        <v>45889.621527777985</v>
      </c>
      <c r="B581">
        <f>COUNT(A581:$A$1158)/(48*252)</f>
        <v>4.7784391534391533E-2</v>
      </c>
      <c r="C581">
        <v>2.2890000000000001</v>
      </c>
      <c r="D581">
        <v>0.113</v>
      </c>
      <c r="E581">
        <f t="shared" si="96"/>
        <v>1.7662688259645003</v>
      </c>
      <c r="F581">
        <f t="shared" si="97"/>
        <v>-3.867537950196398E-2</v>
      </c>
      <c r="G581">
        <f t="shared" si="100"/>
        <v>-9.9999999999988987E-4</v>
      </c>
      <c r="H581">
        <f>IF(MOD(COUNTA($C$7:C581)-1,$J$2),H580,ROUND(F581*P581,-2))</f>
        <v>-400</v>
      </c>
      <c r="I581">
        <f t="shared" si="101"/>
        <v>0</v>
      </c>
      <c r="J581">
        <f t="shared" si="102"/>
        <v>0</v>
      </c>
      <c r="K581">
        <f t="shared" si="103"/>
        <v>1132.4875335978688</v>
      </c>
      <c r="L581">
        <f t="shared" si="104"/>
        <v>216.88753359786881</v>
      </c>
      <c r="M581">
        <f t="shared" si="105"/>
        <v>0.39999999999997726</v>
      </c>
      <c r="N581">
        <f t="shared" si="107"/>
        <v>216.88753359786881</v>
      </c>
      <c r="O581" s="5">
        <f t="shared" si="98"/>
        <v>4.6872504384642272E-3</v>
      </c>
      <c r="P581">
        <f t="shared" si="106"/>
        <v>10000</v>
      </c>
      <c r="Q581">
        <f t="shared" si="99"/>
        <v>46.872504384642269</v>
      </c>
    </row>
    <row r="582" spans="1:17" x14ac:dyDescent="0.15">
      <c r="A582" s="10">
        <v>45889.625</v>
      </c>
      <c r="B582">
        <f>COUNT(A582:$A$1158)/(48*252)</f>
        <v>4.7701719576719578E-2</v>
      </c>
      <c r="C582">
        <v>2.2879999999999998</v>
      </c>
      <c r="D582">
        <v>0.112</v>
      </c>
      <c r="E582">
        <f t="shared" si="96"/>
        <v>1.7641948562464211</v>
      </c>
      <c r="F582">
        <f t="shared" si="97"/>
        <v>-3.8849589230111281E-2</v>
      </c>
      <c r="G582">
        <f t="shared" si="100"/>
        <v>-1.000000000000334E-3</v>
      </c>
      <c r="H582">
        <f>IF(MOD(COUNTA($C$7:C582)-1,$J$2),H581,ROUND(F582*P582,-2))</f>
        <v>-400</v>
      </c>
      <c r="I582">
        <f t="shared" si="101"/>
        <v>0</v>
      </c>
      <c r="J582">
        <f t="shared" si="102"/>
        <v>0</v>
      </c>
      <c r="K582">
        <f t="shared" si="103"/>
        <v>1132.4875335978688</v>
      </c>
      <c r="L582">
        <f t="shared" si="104"/>
        <v>217.2875335978689</v>
      </c>
      <c r="M582">
        <f t="shared" si="105"/>
        <v>0.40000000000009095</v>
      </c>
      <c r="N582">
        <f t="shared" si="107"/>
        <v>217.2875335978689</v>
      </c>
      <c r="O582" s="5">
        <f t="shared" si="98"/>
        <v>4.7053082937076884E-3</v>
      </c>
      <c r="P582">
        <f t="shared" si="106"/>
        <v>10000</v>
      </c>
      <c r="Q582">
        <f t="shared" si="99"/>
        <v>47.053082937076887</v>
      </c>
    </row>
    <row r="583" spans="1:17" x14ac:dyDescent="0.15">
      <c r="A583" s="10">
        <v>45890.399305555969</v>
      </c>
      <c r="B583">
        <f>COUNT(A583:$A$1158)/(48*252)</f>
        <v>4.7619047619047616E-2</v>
      </c>
      <c r="C583">
        <v>2.278</v>
      </c>
      <c r="D583">
        <v>0.105</v>
      </c>
      <c r="E583">
        <f t="shared" si="96"/>
        <v>1.7307309609644856</v>
      </c>
      <c r="F583">
        <f t="shared" si="97"/>
        <v>-4.174988022849957E-2</v>
      </c>
      <c r="G583">
        <f t="shared" si="100"/>
        <v>-9.9999999999997868E-3</v>
      </c>
      <c r="H583">
        <f>IF(MOD(COUNTA($C$7:C583)-1,$J$2),H582,ROUND(F583*P583,-2))</f>
        <v>-400</v>
      </c>
      <c r="I583">
        <f t="shared" si="101"/>
        <v>0</v>
      </c>
      <c r="J583">
        <f t="shared" si="102"/>
        <v>0</v>
      </c>
      <c r="K583">
        <f t="shared" si="103"/>
        <v>1132.4875335978688</v>
      </c>
      <c r="L583">
        <f t="shared" si="104"/>
        <v>221.28753359786879</v>
      </c>
      <c r="M583">
        <f t="shared" si="105"/>
        <v>3.9999999999998863</v>
      </c>
      <c r="N583">
        <f t="shared" si="107"/>
        <v>221.28753359786879</v>
      </c>
      <c r="O583" s="5">
        <f t="shared" si="98"/>
        <v>5.0868217286341166E-3</v>
      </c>
      <c r="P583">
        <f t="shared" si="106"/>
        <v>10000</v>
      </c>
      <c r="Q583">
        <f t="shared" si="99"/>
        <v>50.868217286341164</v>
      </c>
    </row>
    <row r="584" spans="1:17" x14ac:dyDescent="0.15">
      <c r="A584" s="10">
        <v>45890.402777777985</v>
      </c>
      <c r="B584">
        <f>COUNT(A584:$A$1158)/(48*252)</f>
        <v>4.7536375661375661E-2</v>
      </c>
      <c r="C584">
        <v>2.282</v>
      </c>
      <c r="D584">
        <v>0.109</v>
      </c>
      <c r="E584">
        <f t="shared" ref="E584:E647" si="108">(LN(C584/$B$2)+($B$1+0.5*$D$1*$D$1)*B584)/($D$1*SQRT(B584))</f>
        <v>1.7460831942960597</v>
      </c>
      <c r="F584">
        <f t="shared" ref="F584:F647" si="109">NORMSDIST(E584)-1</f>
        <v>-4.0398248301024342E-2</v>
      </c>
      <c r="G584">
        <f t="shared" si="100"/>
        <v>4.0000000000000036E-3</v>
      </c>
      <c r="H584">
        <f>IF(MOD(COUNTA($C$7:C584)-1,$J$2),H583,ROUND(F584*P584,-2))</f>
        <v>-400</v>
      </c>
      <c r="I584">
        <f t="shared" si="101"/>
        <v>0</v>
      </c>
      <c r="J584">
        <f t="shared" si="102"/>
        <v>0</v>
      </c>
      <c r="K584">
        <f t="shared" si="103"/>
        <v>1132.4875335978688</v>
      </c>
      <c r="L584">
        <f t="shared" si="104"/>
        <v>219.68753359786888</v>
      </c>
      <c r="M584">
        <f t="shared" si="105"/>
        <v>-1.5999999999999091</v>
      </c>
      <c r="N584">
        <f t="shared" si="107"/>
        <v>219.68753359786888</v>
      </c>
      <c r="O584" s="5">
        <f t="shared" ref="O584:O647" si="110">put_bs($B$1,$J$1,C584,$B$2,B584)</f>
        <v>4.9008817233807955E-3</v>
      </c>
      <c r="P584">
        <f t="shared" si="106"/>
        <v>10000</v>
      </c>
      <c r="Q584">
        <f t="shared" ref="Q584:Q647" si="111">P584*O584</f>
        <v>49.008817233807953</v>
      </c>
    </row>
    <row r="585" spans="1:17" x14ac:dyDescent="0.15">
      <c r="A585" s="10">
        <v>45890.40625</v>
      </c>
      <c r="B585">
        <f>COUNT(A585:$A$1158)/(48*252)</f>
        <v>4.7453703703703706E-2</v>
      </c>
      <c r="C585">
        <v>2.2810000000000001</v>
      </c>
      <c r="D585">
        <v>0.11</v>
      </c>
      <c r="E585">
        <f t="shared" si="108"/>
        <v>1.7439795456951777</v>
      </c>
      <c r="F585">
        <f t="shared" si="109"/>
        <v>-4.0581328288592289E-2</v>
      </c>
      <c r="G585">
        <f t="shared" ref="G585:G648" si="112">C585-C584</f>
        <v>-9.9999999999988987E-4</v>
      </c>
      <c r="H585">
        <f>IF(MOD(COUNTA($C$7:C585)-1,$J$2),H584,ROUND(F585*P585,-2))</f>
        <v>-400</v>
      </c>
      <c r="I585">
        <f t="shared" ref="I585:I648" si="113">H585-H584</f>
        <v>0</v>
      </c>
      <c r="J585">
        <f t="shared" ref="J585:J648" si="114">J584</f>
        <v>0</v>
      </c>
      <c r="K585">
        <f t="shared" ref="K585:K648" si="115">K584-I585*C585-ABS(I585*C585*$F$2)</f>
        <v>1132.4875335978688</v>
      </c>
      <c r="L585">
        <f t="shared" ref="L585:L648" si="116">K585+H585*C585</f>
        <v>220.08753359786874</v>
      </c>
      <c r="M585">
        <f t="shared" ref="M585:M648" si="117">L585-L584</f>
        <v>0.39999999999986358</v>
      </c>
      <c r="N585">
        <f t="shared" si="107"/>
        <v>220.08753359786874</v>
      </c>
      <c r="O585" s="5">
        <f t="shared" si="110"/>
        <v>4.9199308727980451E-3</v>
      </c>
      <c r="P585">
        <f t="shared" ref="P585:P648" si="118">P584</f>
        <v>10000</v>
      </c>
      <c r="Q585">
        <f t="shared" si="111"/>
        <v>49.199308727980451</v>
      </c>
    </row>
    <row r="586" spans="1:17" x14ac:dyDescent="0.15">
      <c r="A586" s="10">
        <v>45890.409722222015</v>
      </c>
      <c r="B586">
        <f>COUNT(A586:$A$1158)/(48*252)</f>
        <v>4.7371031746031744E-2</v>
      </c>
      <c r="C586">
        <v>2.2770000000000001</v>
      </c>
      <c r="D586">
        <v>0.107</v>
      </c>
      <c r="E586">
        <f t="shared" si="108"/>
        <v>1.7313642208464903</v>
      </c>
      <c r="F586">
        <f t="shared" si="109"/>
        <v>-4.1693411923169332E-2</v>
      </c>
      <c r="G586">
        <f t="shared" si="112"/>
        <v>-4.0000000000000036E-3</v>
      </c>
      <c r="H586">
        <f>IF(MOD(COUNTA($C$7:C586)-1,$J$2),H585,ROUND(F586*P586,-2))</f>
        <v>-400</v>
      </c>
      <c r="I586">
        <f t="shared" si="113"/>
        <v>0</v>
      </c>
      <c r="J586">
        <f t="shared" si="114"/>
        <v>0</v>
      </c>
      <c r="K586">
        <f t="shared" si="115"/>
        <v>1132.4875335978688</v>
      </c>
      <c r="L586">
        <f t="shared" si="116"/>
        <v>221.68753359786876</v>
      </c>
      <c r="M586">
        <f t="shared" si="117"/>
        <v>1.6000000000000227</v>
      </c>
      <c r="N586">
        <f t="shared" ref="N586:N649" si="119">L586-$F$1</f>
        <v>221.68753359786876</v>
      </c>
      <c r="O586" s="5">
        <f t="shared" si="110"/>
        <v>5.0627591207841882E-3</v>
      </c>
      <c r="P586">
        <f t="shared" si="118"/>
        <v>10000</v>
      </c>
      <c r="Q586">
        <f t="shared" si="111"/>
        <v>50.627591207841881</v>
      </c>
    </row>
    <row r="587" spans="1:17" x14ac:dyDescent="0.15">
      <c r="A587" s="10">
        <v>45890.413194444962</v>
      </c>
      <c r="B587">
        <f>COUNT(A587:$A$1158)/(48*252)</f>
        <v>4.7288359788359789E-2</v>
      </c>
      <c r="C587">
        <v>2.2789999999999999</v>
      </c>
      <c r="D587">
        <v>0.107</v>
      </c>
      <c r="E587">
        <f t="shared" si="108"/>
        <v>1.7397606031218273</v>
      </c>
      <c r="F587">
        <f t="shared" si="109"/>
        <v>-4.095053146198635E-2</v>
      </c>
      <c r="G587">
        <f t="shared" si="112"/>
        <v>1.9999999999997797E-3</v>
      </c>
      <c r="H587">
        <f>IF(MOD(COUNTA($C$7:C587)-1,$J$2),H586,ROUND(F587*P587,-2))</f>
        <v>-400</v>
      </c>
      <c r="I587">
        <f t="shared" si="113"/>
        <v>0</v>
      </c>
      <c r="J587">
        <f t="shared" si="114"/>
        <v>0</v>
      </c>
      <c r="K587">
        <f t="shared" si="115"/>
        <v>1132.4875335978688</v>
      </c>
      <c r="L587">
        <f t="shared" si="116"/>
        <v>220.88753359786892</v>
      </c>
      <c r="M587">
        <f t="shared" si="117"/>
        <v>-0.79999999999984084</v>
      </c>
      <c r="N587">
        <f t="shared" si="119"/>
        <v>220.88753359786892</v>
      </c>
      <c r="O587" s="5">
        <f t="shared" si="110"/>
        <v>4.958315912023975E-3</v>
      </c>
      <c r="P587">
        <f t="shared" si="118"/>
        <v>10000</v>
      </c>
      <c r="Q587">
        <f t="shared" si="111"/>
        <v>49.583159120239749</v>
      </c>
    </row>
    <row r="588" spans="1:17" x14ac:dyDescent="0.15">
      <c r="A588" s="10">
        <v>45890.416666666977</v>
      </c>
      <c r="B588">
        <f>COUNT(A588:$A$1158)/(48*252)</f>
        <v>4.7205687830687834E-2</v>
      </c>
      <c r="C588">
        <v>2.2810000000000001</v>
      </c>
      <c r="D588">
        <v>0.107</v>
      </c>
      <c r="E588">
        <f t="shared" si="108"/>
        <v>1.7481668507347019</v>
      </c>
      <c r="F588">
        <f t="shared" si="109"/>
        <v>-4.0217569938387099E-2</v>
      </c>
      <c r="G588">
        <f t="shared" si="112"/>
        <v>2.0000000000002238E-3</v>
      </c>
      <c r="H588">
        <f>IF(MOD(COUNTA($C$7:C588)-1,$J$2),H587,ROUND(F588*P588,-2))</f>
        <v>-400</v>
      </c>
      <c r="I588">
        <f t="shared" si="113"/>
        <v>0</v>
      </c>
      <c r="J588">
        <f t="shared" si="114"/>
        <v>0</v>
      </c>
      <c r="K588">
        <f t="shared" si="115"/>
        <v>1132.4875335978688</v>
      </c>
      <c r="L588">
        <f t="shared" si="116"/>
        <v>220.08753359786874</v>
      </c>
      <c r="M588">
        <f t="shared" si="117"/>
        <v>-0.8000000000001819</v>
      </c>
      <c r="N588">
        <f t="shared" si="119"/>
        <v>220.08753359786874</v>
      </c>
      <c r="O588" s="5">
        <f t="shared" si="110"/>
        <v>4.8556261129343165E-3</v>
      </c>
      <c r="P588">
        <f t="shared" si="118"/>
        <v>10000</v>
      </c>
      <c r="Q588">
        <f t="shared" si="111"/>
        <v>48.556261129343163</v>
      </c>
    </row>
    <row r="589" spans="1:17" x14ac:dyDescent="0.15">
      <c r="A589" s="10">
        <v>45890.420138888992</v>
      </c>
      <c r="B589">
        <f>COUNT(A589:$A$1158)/(48*252)</f>
        <v>4.7123015873015872E-2</v>
      </c>
      <c r="C589">
        <v>2.282</v>
      </c>
      <c r="D589">
        <v>0.109</v>
      </c>
      <c r="E589">
        <f t="shared" si="108"/>
        <v>1.7530773731639553</v>
      </c>
      <c r="F589">
        <f t="shared" si="109"/>
        <v>-3.9794363426371882E-2</v>
      </c>
      <c r="G589">
        <f t="shared" si="112"/>
        <v>9.9999999999988987E-4</v>
      </c>
      <c r="H589">
        <f>IF(MOD(COUNTA($C$7:C589)-1,$J$2),H588,ROUND(F589*P589,-2))</f>
        <v>-400</v>
      </c>
      <c r="I589">
        <f t="shared" si="113"/>
        <v>0</v>
      </c>
      <c r="J589">
        <f t="shared" si="114"/>
        <v>0</v>
      </c>
      <c r="K589">
        <f t="shared" si="115"/>
        <v>1132.4875335978688</v>
      </c>
      <c r="L589">
        <f t="shared" si="116"/>
        <v>219.68753359786888</v>
      </c>
      <c r="M589">
        <f t="shared" si="117"/>
        <v>-0.39999999999986358</v>
      </c>
      <c r="N589">
        <f t="shared" si="119"/>
        <v>219.68753359786888</v>
      </c>
      <c r="O589" s="5">
        <f t="shared" si="110"/>
        <v>4.7943125263347208E-3</v>
      </c>
      <c r="P589">
        <f t="shared" si="118"/>
        <v>10000</v>
      </c>
      <c r="Q589">
        <f t="shared" si="111"/>
        <v>47.943125263347206</v>
      </c>
    </row>
    <row r="590" spans="1:17" x14ac:dyDescent="0.15">
      <c r="A590" s="10">
        <v>45890.423611111008</v>
      </c>
      <c r="B590">
        <f>COUNT(A590:$A$1158)/(48*252)</f>
        <v>4.7040343915343917E-2</v>
      </c>
      <c r="C590">
        <v>2.2799999999999998</v>
      </c>
      <c r="D590">
        <v>0.107</v>
      </c>
      <c r="E590">
        <f t="shared" si="108"/>
        <v>1.7474655274569837</v>
      </c>
      <c r="F590">
        <f t="shared" si="109"/>
        <v>-4.0278309773240761E-2</v>
      </c>
      <c r="G590">
        <f t="shared" si="112"/>
        <v>-2.0000000000002238E-3</v>
      </c>
      <c r="H590">
        <f>IF(MOD(COUNTA($C$7:C590)-1,$J$2),H589,ROUND(F590*P590,-2))</f>
        <v>-400</v>
      </c>
      <c r="I590">
        <f t="shared" si="113"/>
        <v>0</v>
      </c>
      <c r="J590">
        <f t="shared" si="114"/>
        <v>0</v>
      </c>
      <c r="K590">
        <f t="shared" si="115"/>
        <v>1132.4875335978688</v>
      </c>
      <c r="L590">
        <f t="shared" si="116"/>
        <v>220.48753359786895</v>
      </c>
      <c r="M590">
        <f t="shared" si="117"/>
        <v>0.80000000000006821</v>
      </c>
      <c r="N590">
        <f t="shared" si="119"/>
        <v>220.48753359786895</v>
      </c>
      <c r="O590" s="5">
        <f t="shared" si="110"/>
        <v>4.8530490714929347E-3</v>
      </c>
      <c r="P590">
        <f t="shared" si="118"/>
        <v>10000</v>
      </c>
      <c r="Q590">
        <f t="shared" si="111"/>
        <v>48.53049071492935</v>
      </c>
    </row>
    <row r="591" spans="1:17" x14ac:dyDescent="0.15">
      <c r="A591" s="10">
        <v>45890.427083333023</v>
      </c>
      <c r="B591">
        <f>COUNT(A591:$A$1158)/(48*252)</f>
        <v>4.6957671957671955E-2</v>
      </c>
      <c r="C591">
        <v>2.2810000000000001</v>
      </c>
      <c r="D591">
        <v>0.108</v>
      </c>
      <c r="E591">
        <f t="shared" si="108"/>
        <v>1.7523883096965442</v>
      </c>
      <c r="F591">
        <f t="shared" si="109"/>
        <v>-3.9853530114507429E-2</v>
      </c>
      <c r="G591">
        <f t="shared" si="112"/>
        <v>1.000000000000334E-3</v>
      </c>
      <c r="H591">
        <f>IF(MOD(COUNTA($C$7:C591)-1,$J$2),H590,ROUND(F591*P591,-2))</f>
        <v>-400</v>
      </c>
      <c r="I591">
        <f t="shared" si="113"/>
        <v>0</v>
      </c>
      <c r="J591">
        <f t="shared" si="114"/>
        <v>0</v>
      </c>
      <c r="K591">
        <f t="shared" si="115"/>
        <v>1132.4875335978688</v>
      </c>
      <c r="L591">
        <f t="shared" si="116"/>
        <v>220.08753359786874</v>
      </c>
      <c r="M591">
        <f t="shared" si="117"/>
        <v>-0.40000000000020464</v>
      </c>
      <c r="N591">
        <f t="shared" si="119"/>
        <v>220.08753359786874</v>
      </c>
      <c r="O591" s="5">
        <f t="shared" si="110"/>
        <v>4.791621092132714E-3</v>
      </c>
      <c r="P591">
        <f t="shared" si="118"/>
        <v>10000</v>
      </c>
      <c r="Q591">
        <f t="shared" si="111"/>
        <v>47.916210921327142</v>
      </c>
    </row>
    <row r="592" spans="1:17" x14ac:dyDescent="0.15">
      <c r="A592" s="10">
        <v>45890.430555555969</v>
      </c>
      <c r="B592">
        <f>COUNT(A592:$A$1158)/(48*252)</f>
        <v>4.6875E-2</v>
      </c>
      <c r="C592">
        <v>2.2799999999999998</v>
      </c>
      <c r="D592">
        <v>0.106</v>
      </c>
      <c r="E592">
        <f t="shared" si="108"/>
        <v>1.7502851362876914</v>
      </c>
      <c r="F592">
        <f t="shared" si="109"/>
        <v>-4.0034562206484159E-2</v>
      </c>
      <c r="G592">
        <f t="shared" si="112"/>
        <v>-1.000000000000334E-3</v>
      </c>
      <c r="H592">
        <f>IF(MOD(COUNTA($C$7:C592)-1,$J$2),H591,ROUND(F592*P592,-2))</f>
        <v>-400</v>
      </c>
      <c r="I592">
        <f t="shared" si="113"/>
        <v>0</v>
      </c>
      <c r="J592">
        <f t="shared" si="114"/>
        <v>0</v>
      </c>
      <c r="K592">
        <f t="shared" si="115"/>
        <v>1132.4875335978688</v>
      </c>
      <c r="L592">
        <f t="shared" si="116"/>
        <v>220.48753359786895</v>
      </c>
      <c r="M592">
        <f t="shared" si="117"/>
        <v>0.40000000000020464</v>
      </c>
      <c r="N592">
        <f t="shared" si="119"/>
        <v>220.48753359786895</v>
      </c>
      <c r="O592" s="5">
        <f t="shared" si="110"/>
        <v>4.8102363336048615E-3</v>
      </c>
      <c r="P592">
        <f t="shared" si="118"/>
        <v>10000</v>
      </c>
      <c r="Q592">
        <f t="shared" si="111"/>
        <v>48.102363336048612</v>
      </c>
    </row>
    <row r="593" spans="1:17" x14ac:dyDescent="0.15">
      <c r="A593" s="10">
        <v>45890.434027777985</v>
      </c>
      <c r="B593">
        <f>COUNT(A593:$A$1158)/(48*252)</f>
        <v>4.6792328042328045E-2</v>
      </c>
      <c r="C593">
        <v>2.2799999999999998</v>
      </c>
      <c r="D593">
        <v>0.107</v>
      </c>
      <c r="E593">
        <f t="shared" si="108"/>
        <v>1.7517007136183131</v>
      </c>
      <c r="F593">
        <f t="shared" si="109"/>
        <v>-3.991264206382461E-2</v>
      </c>
      <c r="G593">
        <f t="shared" si="112"/>
        <v>0</v>
      </c>
      <c r="H593">
        <f>IF(MOD(COUNTA($C$7:C593)-1,$J$2),H592,ROUND(F593*P593,-2))</f>
        <v>-400</v>
      </c>
      <c r="I593">
        <f t="shared" si="113"/>
        <v>0</v>
      </c>
      <c r="J593">
        <f t="shared" si="114"/>
        <v>0</v>
      </c>
      <c r="K593">
        <f t="shared" si="115"/>
        <v>1132.4875335978688</v>
      </c>
      <c r="L593">
        <f t="shared" si="116"/>
        <v>220.48753359786895</v>
      </c>
      <c r="M593">
        <f t="shared" si="117"/>
        <v>0</v>
      </c>
      <c r="N593">
        <f t="shared" si="119"/>
        <v>220.48753359786895</v>
      </c>
      <c r="O593" s="5">
        <f t="shared" si="110"/>
        <v>4.788880422885014E-3</v>
      </c>
      <c r="P593">
        <f t="shared" si="118"/>
        <v>10000</v>
      </c>
      <c r="Q593">
        <f t="shared" si="111"/>
        <v>47.888804228850141</v>
      </c>
    </row>
    <row r="594" spans="1:17" x14ac:dyDescent="0.15">
      <c r="A594" s="10">
        <v>45890.4375</v>
      </c>
      <c r="B594">
        <f>COUNT(A594:$A$1158)/(48*252)</f>
        <v>4.6709656084656083E-2</v>
      </c>
      <c r="C594">
        <v>2.2810000000000001</v>
      </c>
      <c r="D594">
        <v>0.108</v>
      </c>
      <c r="E594">
        <f t="shared" si="108"/>
        <v>1.7566443780658652</v>
      </c>
      <c r="F594">
        <f t="shared" si="109"/>
        <v>-3.9489221871745639E-2</v>
      </c>
      <c r="G594">
        <f t="shared" si="112"/>
        <v>1.000000000000334E-3</v>
      </c>
      <c r="H594">
        <f>IF(MOD(COUNTA($C$7:C594)-1,$J$2),H593,ROUND(F594*P594,-2))</f>
        <v>-400</v>
      </c>
      <c r="I594">
        <f t="shared" si="113"/>
        <v>0</v>
      </c>
      <c r="J594">
        <f t="shared" si="114"/>
        <v>0</v>
      </c>
      <c r="K594">
        <f t="shared" si="115"/>
        <v>1132.4875335978688</v>
      </c>
      <c r="L594">
        <f t="shared" si="116"/>
        <v>220.08753359786874</v>
      </c>
      <c r="M594">
        <f t="shared" si="117"/>
        <v>-0.40000000000020464</v>
      </c>
      <c r="N594">
        <f t="shared" si="119"/>
        <v>220.08753359786874</v>
      </c>
      <c r="O594" s="5">
        <f t="shared" si="110"/>
        <v>4.727918494639341E-3</v>
      </c>
      <c r="P594">
        <f t="shared" si="118"/>
        <v>10000</v>
      </c>
      <c r="Q594">
        <f t="shared" si="111"/>
        <v>47.279184946393407</v>
      </c>
    </row>
    <row r="595" spans="1:17" x14ac:dyDescent="0.15">
      <c r="A595" s="10">
        <v>45890.440972222015</v>
      </c>
      <c r="B595">
        <f>COUNT(A595:$A$1158)/(48*252)</f>
        <v>4.6626984126984128E-2</v>
      </c>
      <c r="C595">
        <v>2.2810000000000001</v>
      </c>
      <c r="D595">
        <v>0.105</v>
      </c>
      <c r="E595">
        <f t="shared" si="108"/>
        <v>1.758070838450867</v>
      </c>
      <c r="F595">
        <f t="shared" si="109"/>
        <v>-3.936772844484937E-2</v>
      </c>
      <c r="G595">
        <f t="shared" si="112"/>
        <v>0</v>
      </c>
      <c r="H595">
        <f>IF(MOD(COUNTA($C$7:C595)-1,$J$2),H594,ROUND(F595*P595,-2))</f>
        <v>-400</v>
      </c>
      <c r="I595">
        <f t="shared" si="113"/>
        <v>0</v>
      </c>
      <c r="J595">
        <f t="shared" si="114"/>
        <v>0</v>
      </c>
      <c r="K595">
        <f t="shared" si="115"/>
        <v>1132.4875335978688</v>
      </c>
      <c r="L595">
        <f t="shared" si="116"/>
        <v>220.08753359786874</v>
      </c>
      <c r="M595">
        <f t="shared" si="117"/>
        <v>0</v>
      </c>
      <c r="N595">
        <f t="shared" si="119"/>
        <v>220.08753359786874</v>
      </c>
      <c r="O595" s="5">
        <f t="shared" si="110"/>
        <v>4.7067519672324837E-3</v>
      </c>
      <c r="P595">
        <f t="shared" si="118"/>
        <v>10000</v>
      </c>
      <c r="Q595">
        <f t="shared" si="111"/>
        <v>47.067519672324835</v>
      </c>
    </row>
    <row r="596" spans="1:17" x14ac:dyDescent="0.15">
      <c r="A596" s="10">
        <v>45890.444444444962</v>
      </c>
      <c r="B596">
        <f>COUNT(A596:$A$1158)/(48*252)</f>
        <v>4.6544312169312166E-2</v>
      </c>
      <c r="C596">
        <v>2.2770000000000001</v>
      </c>
      <c r="D596">
        <v>0.104</v>
      </c>
      <c r="E596">
        <f t="shared" si="108"/>
        <v>1.7453700356753545</v>
      </c>
      <c r="F596">
        <f t="shared" si="109"/>
        <v>-4.0460239019271982E-2</v>
      </c>
      <c r="G596">
        <f t="shared" si="112"/>
        <v>-4.0000000000000036E-3</v>
      </c>
      <c r="H596">
        <f>IF(MOD(COUNTA($C$7:C596)-1,$J$2),H595,ROUND(F596*P596,-2))</f>
        <v>-400</v>
      </c>
      <c r="I596">
        <f t="shared" si="113"/>
        <v>0</v>
      </c>
      <c r="J596">
        <f t="shared" si="114"/>
        <v>0</v>
      </c>
      <c r="K596">
        <f t="shared" si="115"/>
        <v>1132.4875335978688</v>
      </c>
      <c r="L596">
        <f t="shared" si="116"/>
        <v>221.68753359786876</v>
      </c>
      <c r="M596">
        <f t="shared" si="117"/>
        <v>1.6000000000000227</v>
      </c>
      <c r="N596">
        <f t="shared" si="119"/>
        <v>221.68753359786876</v>
      </c>
      <c r="O596" s="5">
        <f t="shared" si="110"/>
        <v>4.8450216039729183E-3</v>
      </c>
      <c r="P596">
        <f t="shared" si="118"/>
        <v>10000</v>
      </c>
      <c r="Q596">
        <f t="shared" si="111"/>
        <v>48.450216039729185</v>
      </c>
    </row>
    <row r="597" spans="1:17" x14ac:dyDescent="0.15">
      <c r="A597" s="10">
        <v>45890.447916666977</v>
      </c>
      <c r="B597">
        <f>COUNT(A597:$A$1158)/(48*252)</f>
        <v>4.6461640211640211E-2</v>
      </c>
      <c r="C597">
        <v>2.2759999999999998</v>
      </c>
      <c r="D597">
        <v>0.104</v>
      </c>
      <c r="E597">
        <f t="shared" si="108"/>
        <v>1.7432519574061736</v>
      </c>
      <c r="F597">
        <f t="shared" si="109"/>
        <v>-4.0644806639577813E-2</v>
      </c>
      <c r="G597">
        <f t="shared" si="112"/>
        <v>-1.000000000000334E-3</v>
      </c>
      <c r="H597">
        <f>IF(MOD(COUNTA($C$7:C597)-1,$J$2),H596,ROUND(F597*P597,-2))</f>
        <v>-400</v>
      </c>
      <c r="I597">
        <f t="shared" si="113"/>
        <v>0</v>
      </c>
      <c r="J597">
        <f t="shared" si="114"/>
        <v>0</v>
      </c>
      <c r="K597">
        <f t="shared" si="115"/>
        <v>1132.4875335978688</v>
      </c>
      <c r="L597">
        <f t="shared" si="116"/>
        <v>222.08753359786897</v>
      </c>
      <c r="M597">
        <f t="shared" si="117"/>
        <v>0.40000000000020464</v>
      </c>
      <c r="N597">
        <f t="shared" si="119"/>
        <v>222.08753359786897</v>
      </c>
      <c r="O597" s="5">
        <f t="shared" si="110"/>
        <v>4.8639236719995177E-3</v>
      </c>
      <c r="P597">
        <f t="shared" si="118"/>
        <v>10000</v>
      </c>
      <c r="Q597">
        <f t="shared" si="111"/>
        <v>48.639236719995175</v>
      </c>
    </row>
    <row r="598" spans="1:17" x14ac:dyDescent="0.15">
      <c r="A598" s="10">
        <v>45890.451388888992</v>
      </c>
      <c r="B598">
        <f>COUNT(A598:$A$1158)/(48*252)</f>
        <v>4.6378968253968256E-2</v>
      </c>
      <c r="C598">
        <v>2.27</v>
      </c>
      <c r="D598">
        <v>0.10100000000000001</v>
      </c>
      <c r="E598">
        <f t="shared" si="108"/>
        <v>1.7233838839331435</v>
      </c>
      <c r="F598">
        <f t="shared" si="109"/>
        <v>-4.2409563670287254E-2</v>
      </c>
      <c r="G598">
        <f t="shared" si="112"/>
        <v>-5.9999999999997833E-3</v>
      </c>
      <c r="H598">
        <f>IF(MOD(COUNTA($C$7:C598)-1,$J$2),H597,ROUND(F598*P598,-2))</f>
        <v>-400</v>
      </c>
      <c r="I598">
        <f t="shared" si="113"/>
        <v>0</v>
      </c>
      <c r="J598">
        <f t="shared" si="114"/>
        <v>0</v>
      </c>
      <c r="K598">
        <f t="shared" si="115"/>
        <v>1132.4875335978688</v>
      </c>
      <c r="L598">
        <f t="shared" si="116"/>
        <v>224.48753359786883</v>
      </c>
      <c r="M598">
        <f t="shared" si="117"/>
        <v>2.3999999999998636</v>
      </c>
      <c r="N598">
        <f t="shared" si="119"/>
        <v>224.48753359786883</v>
      </c>
      <c r="O598" s="5">
        <f t="shared" si="110"/>
        <v>5.0909991027622697E-3</v>
      </c>
      <c r="P598">
        <f t="shared" si="118"/>
        <v>10000</v>
      </c>
      <c r="Q598">
        <f t="shared" si="111"/>
        <v>50.909991027622695</v>
      </c>
    </row>
    <row r="599" spans="1:17" x14ac:dyDescent="0.15">
      <c r="A599" s="10">
        <v>45890.454861111008</v>
      </c>
      <c r="B599">
        <f>COUNT(A599:$A$1158)/(48*252)</f>
        <v>4.6296296296296294E-2</v>
      </c>
      <c r="C599">
        <v>2.27</v>
      </c>
      <c r="D599">
        <v>0.10100000000000001</v>
      </c>
      <c r="E599">
        <f t="shared" si="108"/>
        <v>1.7247913104196679</v>
      </c>
      <c r="F599">
        <f t="shared" si="109"/>
        <v>-4.2282544155162527E-2</v>
      </c>
      <c r="G599">
        <f t="shared" si="112"/>
        <v>0</v>
      </c>
      <c r="H599">
        <f>IF(MOD(COUNTA($C$7:C599)-1,$J$2),H598,ROUND(F599*P599,-2))</f>
        <v>-400</v>
      </c>
      <c r="I599">
        <f t="shared" si="113"/>
        <v>0</v>
      </c>
      <c r="J599">
        <f t="shared" si="114"/>
        <v>0</v>
      </c>
      <c r="K599">
        <f t="shared" si="115"/>
        <v>1132.4875335978688</v>
      </c>
      <c r="L599">
        <f t="shared" si="116"/>
        <v>224.48753359786883</v>
      </c>
      <c r="M599">
        <f t="shared" si="117"/>
        <v>0</v>
      </c>
      <c r="N599">
        <f t="shared" si="119"/>
        <v>224.48753359786883</v>
      </c>
      <c r="O599" s="5">
        <f t="shared" si="110"/>
        <v>5.068601776303347E-3</v>
      </c>
      <c r="P599">
        <f t="shared" si="118"/>
        <v>10000</v>
      </c>
      <c r="Q599">
        <f t="shared" si="111"/>
        <v>50.686017763033469</v>
      </c>
    </row>
    <row r="600" spans="1:17" x14ac:dyDescent="0.15">
      <c r="A600" s="10">
        <v>45890.458333333023</v>
      </c>
      <c r="B600">
        <f>COUNT(A600:$A$1158)/(48*252)</f>
        <v>4.6213624338624339E-2</v>
      </c>
      <c r="C600">
        <v>2.2719999999999998</v>
      </c>
      <c r="D600">
        <v>0.10100000000000001</v>
      </c>
      <c r="E600">
        <f t="shared" si="108"/>
        <v>1.7333184290465726</v>
      </c>
      <c r="F600">
        <f t="shared" si="109"/>
        <v>-4.1519543481692178E-2</v>
      </c>
      <c r="G600">
        <f t="shared" si="112"/>
        <v>1.9999999999997797E-3</v>
      </c>
      <c r="H600">
        <f>IF(MOD(COUNTA($C$7:C600)-1,$J$2),H599,ROUND(F600*P600,-2))</f>
        <v>-400</v>
      </c>
      <c r="I600">
        <f t="shared" si="113"/>
        <v>0</v>
      </c>
      <c r="J600">
        <f t="shared" si="114"/>
        <v>0</v>
      </c>
      <c r="K600">
        <f t="shared" si="115"/>
        <v>1132.4875335978688</v>
      </c>
      <c r="L600">
        <f t="shared" si="116"/>
        <v>223.68753359786888</v>
      </c>
      <c r="M600">
        <f t="shared" si="117"/>
        <v>-0.79999999999995453</v>
      </c>
      <c r="N600">
        <f t="shared" si="119"/>
        <v>223.68753359786888</v>
      </c>
      <c r="O600" s="5">
        <f t="shared" si="110"/>
        <v>4.9625648575569309E-3</v>
      </c>
      <c r="P600">
        <f t="shared" si="118"/>
        <v>10000</v>
      </c>
      <c r="Q600">
        <f t="shared" si="111"/>
        <v>49.625648575569308</v>
      </c>
    </row>
    <row r="601" spans="1:17" x14ac:dyDescent="0.15">
      <c r="A601" s="10">
        <v>45890.461805555969</v>
      </c>
      <c r="B601">
        <f>COUNT(A601:$A$1158)/(48*252)</f>
        <v>4.6130952380952384E-2</v>
      </c>
      <c r="C601">
        <v>2.2690000000000001</v>
      </c>
      <c r="D601">
        <v>0.1</v>
      </c>
      <c r="E601">
        <f t="shared" si="108"/>
        <v>1.7240544157796911</v>
      </c>
      <c r="F601">
        <f t="shared" si="109"/>
        <v>-4.2349010074827831E-2</v>
      </c>
      <c r="G601">
        <f t="shared" si="112"/>
        <v>-2.9999999999996696E-3</v>
      </c>
      <c r="H601">
        <f>IF(MOD(COUNTA($C$7:C601)-1,$J$2),H600,ROUND(F601*P601,-2))</f>
        <v>-400</v>
      </c>
      <c r="I601">
        <f t="shared" si="113"/>
        <v>0</v>
      </c>
      <c r="J601">
        <f t="shared" si="114"/>
        <v>0</v>
      </c>
      <c r="K601">
        <f t="shared" si="115"/>
        <v>1132.4875335978688</v>
      </c>
      <c r="L601">
        <f t="shared" si="116"/>
        <v>224.88753359786881</v>
      </c>
      <c r="M601">
        <f t="shared" si="117"/>
        <v>1.1999999999999318</v>
      </c>
      <c r="N601">
        <f t="shared" si="119"/>
        <v>224.88753359786881</v>
      </c>
      <c r="O601" s="5">
        <f t="shared" si="110"/>
        <v>5.0660978571724219E-3</v>
      </c>
      <c r="P601">
        <f t="shared" si="118"/>
        <v>10000</v>
      </c>
      <c r="Q601">
        <f t="shared" si="111"/>
        <v>50.660978571724222</v>
      </c>
    </row>
    <row r="602" spans="1:17" x14ac:dyDescent="0.15">
      <c r="A602" s="10">
        <v>45890.465277777985</v>
      </c>
      <c r="B602">
        <f>COUNT(A602:$A$1158)/(48*252)</f>
        <v>4.6048280423280422E-2</v>
      </c>
      <c r="C602">
        <v>2.274</v>
      </c>
      <c r="D602">
        <v>0.10299999999999999</v>
      </c>
      <c r="E602">
        <f t="shared" si="108"/>
        <v>1.7432878665062923</v>
      </c>
      <c r="F602">
        <f t="shared" si="109"/>
        <v>-4.0641671865137896E-2</v>
      </c>
      <c r="G602">
        <f t="shared" si="112"/>
        <v>4.9999999999998934E-3</v>
      </c>
      <c r="H602">
        <f>IF(MOD(COUNTA($C$7:C602)-1,$J$2),H601,ROUND(F602*P602,-2))</f>
        <v>-400</v>
      </c>
      <c r="I602">
        <f t="shared" si="113"/>
        <v>0</v>
      </c>
      <c r="J602">
        <f t="shared" si="114"/>
        <v>0</v>
      </c>
      <c r="K602">
        <f t="shared" si="115"/>
        <v>1132.4875335978688</v>
      </c>
      <c r="L602">
        <f t="shared" si="116"/>
        <v>222.88753359786881</v>
      </c>
      <c r="M602">
        <f t="shared" si="117"/>
        <v>-2</v>
      </c>
      <c r="N602">
        <f t="shared" si="119"/>
        <v>222.88753359786881</v>
      </c>
      <c r="O602" s="5">
        <f t="shared" si="110"/>
        <v>4.8365397535456711E-3</v>
      </c>
      <c r="P602">
        <f t="shared" si="118"/>
        <v>10000</v>
      </c>
      <c r="Q602">
        <f t="shared" si="111"/>
        <v>48.365397535456708</v>
      </c>
    </row>
    <row r="603" spans="1:17" x14ac:dyDescent="0.15">
      <c r="A603" s="10">
        <v>45890.46875</v>
      </c>
      <c r="B603">
        <f>COUNT(A603:$A$1158)/(48*252)</f>
        <v>4.5965608465608467E-2</v>
      </c>
      <c r="C603">
        <v>2.274</v>
      </c>
      <c r="D603">
        <v>0.10299999999999999</v>
      </c>
      <c r="E603">
        <f t="shared" si="108"/>
        <v>1.7447237753267435</v>
      </c>
      <c r="F603">
        <f t="shared" si="109"/>
        <v>-4.0516481344433752E-2</v>
      </c>
      <c r="G603">
        <f t="shared" si="112"/>
        <v>0</v>
      </c>
      <c r="H603">
        <f>IF(MOD(COUNTA($C$7:C603)-1,$J$2),H602,ROUND(F603*P603,-2))</f>
        <v>-400</v>
      </c>
      <c r="I603">
        <f t="shared" si="113"/>
        <v>0</v>
      </c>
      <c r="J603">
        <f t="shared" si="114"/>
        <v>0</v>
      </c>
      <c r="K603">
        <f t="shared" si="115"/>
        <v>1132.4875335978688</v>
      </c>
      <c r="L603">
        <f t="shared" si="116"/>
        <v>222.88753359786881</v>
      </c>
      <c r="M603">
        <f t="shared" si="117"/>
        <v>0</v>
      </c>
      <c r="N603">
        <f t="shared" si="119"/>
        <v>222.88753359786881</v>
      </c>
      <c r="O603" s="5">
        <f t="shared" si="110"/>
        <v>4.814783965537528E-3</v>
      </c>
      <c r="P603">
        <f t="shared" si="118"/>
        <v>10000</v>
      </c>
      <c r="Q603">
        <f t="shared" si="111"/>
        <v>48.147839655375279</v>
      </c>
    </row>
    <row r="604" spans="1:17" x14ac:dyDescent="0.15">
      <c r="A604" s="10">
        <v>45890.472222222015</v>
      </c>
      <c r="B604">
        <f>COUNT(A604:$A$1158)/(48*252)</f>
        <v>4.5882936507936505E-2</v>
      </c>
      <c r="C604">
        <v>2.274</v>
      </c>
      <c r="D604">
        <v>0.10299999999999999</v>
      </c>
      <c r="E604">
        <f t="shared" si="108"/>
        <v>1.7461636812834576</v>
      </c>
      <c r="F604">
        <f t="shared" si="109"/>
        <v>-4.0391256882572835E-2</v>
      </c>
      <c r="G604">
        <f t="shared" si="112"/>
        <v>0</v>
      </c>
      <c r="H604">
        <f>IF(MOD(COUNTA($C$7:C604)-1,$J$2),H603,ROUND(F604*P604,-2))</f>
        <v>-400</v>
      </c>
      <c r="I604">
        <f t="shared" si="113"/>
        <v>0</v>
      </c>
      <c r="J604">
        <f t="shared" si="114"/>
        <v>0</v>
      </c>
      <c r="K604">
        <f t="shared" si="115"/>
        <v>1132.4875335978688</v>
      </c>
      <c r="L604">
        <f t="shared" si="116"/>
        <v>222.88753359786881</v>
      </c>
      <c r="M604">
        <f t="shared" si="117"/>
        <v>0</v>
      </c>
      <c r="N604">
        <f t="shared" si="119"/>
        <v>222.88753359786881</v>
      </c>
      <c r="O604" s="5">
        <f t="shared" si="110"/>
        <v>4.7930627918354729E-3</v>
      </c>
      <c r="P604">
        <f t="shared" si="118"/>
        <v>10000</v>
      </c>
      <c r="Q604">
        <f t="shared" si="111"/>
        <v>47.93062791835473</v>
      </c>
    </row>
    <row r="605" spans="1:17" x14ac:dyDescent="0.15">
      <c r="A605" s="10">
        <v>45890.475694444962</v>
      </c>
      <c r="B605">
        <f>COUNT(A605:$A$1158)/(48*252)</f>
        <v>4.5800264550264549E-2</v>
      </c>
      <c r="C605">
        <v>2.2789999999999999</v>
      </c>
      <c r="D605">
        <v>0.105</v>
      </c>
      <c r="E605">
        <f t="shared" si="108"/>
        <v>1.7654340339959671</v>
      </c>
      <c r="F605">
        <f t="shared" si="109"/>
        <v>-3.8745423840294113E-2</v>
      </c>
      <c r="G605">
        <f t="shared" si="112"/>
        <v>4.9999999999998934E-3</v>
      </c>
      <c r="H605">
        <f>IF(MOD(COUNTA($C$7:C605)-1,$J$2),H604,ROUND(F605*P605,-2))</f>
        <v>-400</v>
      </c>
      <c r="I605">
        <f t="shared" si="113"/>
        <v>0</v>
      </c>
      <c r="J605">
        <f t="shared" si="114"/>
        <v>0</v>
      </c>
      <c r="K605">
        <f t="shared" si="115"/>
        <v>1132.4875335978688</v>
      </c>
      <c r="L605">
        <f t="shared" si="116"/>
        <v>220.88753359786892</v>
      </c>
      <c r="M605">
        <f t="shared" si="117"/>
        <v>-1.9999999999998863</v>
      </c>
      <c r="N605">
        <f t="shared" si="119"/>
        <v>220.88753359786892</v>
      </c>
      <c r="O605" s="5">
        <f t="shared" si="110"/>
        <v>4.5738690113552999E-3</v>
      </c>
      <c r="P605">
        <f t="shared" si="118"/>
        <v>10000</v>
      </c>
      <c r="Q605">
        <f t="shared" si="111"/>
        <v>45.738690113552998</v>
      </c>
    </row>
    <row r="606" spans="1:17" x14ac:dyDescent="0.15">
      <c r="A606" s="10">
        <v>45890.479166666977</v>
      </c>
      <c r="B606">
        <f>COUNT(A606:$A$1158)/(48*252)</f>
        <v>4.5717592592592594E-2</v>
      </c>
      <c r="C606">
        <v>2.2789999999999999</v>
      </c>
      <c r="D606">
        <v>0.105</v>
      </c>
      <c r="E606">
        <f t="shared" si="108"/>
        <v>1.766898099398992</v>
      </c>
      <c r="F606">
        <f t="shared" si="109"/>
        <v>-3.862264769549828E-2</v>
      </c>
      <c r="G606">
        <f t="shared" si="112"/>
        <v>0</v>
      </c>
      <c r="H606">
        <f>IF(MOD(COUNTA($C$7:C606)-1,$J$2),H605,ROUND(F606*P606,-2))</f>
        <v>-400</v>
      </c>
      <c r="I606">
        <f t="shared" si="113"/>
        <v>0</v>
      </c>
      <c r="J606">
        <f t="shared" si="114"/>
        <v>0</v>
      </c>
      <c r="K606">
        <f t="shared" si="115"/>
        <v>1132.4875335978688</v>
      </c>
      <c r="L606">
        <f t="shared" si="116"/>
        <v>220.88753359786892</v>
      </c>
      <c r="M606">
        <f t="shared" si="117"/>
        <v>0</v>
      </c>
      <c r="N606">
        <f t="shared" si="119"/>
        <v>220.88753359786892</v>
      </c>
      <c r="O606" s="5">
        <f t="shared" si="110"/>
        <v>4.5528375518377323E-3</v>
      </c>
      <c r="P606">
        <f t="shared" si="118"/>
        <v>10000</v>
      </c>
      <c r="Q606">
        <f t="shared" si="111"/>
        <v>45.528375518377324</v>
      </c>
    </row>
    <row r="607" spans="1:17" x14ac:dyDescent="0.15">
      <c r="A607" s="10">
        <v>45890.545138888992</v>
      </c>
      <c r="B607">
        <f>COUNT(A607:$A$1158)/(48*252)</f>
        <v>4.5634920634920632E-2</v>
      </c>
      <c r="C607">
        <v>2.2770000000000001</v>
      </c>
      <c r="D607">
        <v>0.105</v>
      </c>
      <c r="E607">
        <f t="shared" si="108"/>
        <v>1.7612274880279759</v>
      </c>
      <c r="F607">
        <f t="shared" si="109"/>
        <v>-3.9099953670750365E-2</v>
      </c>
      <c r="G607">
        <f t="shared" si="112"/>
        <v>-1.9999999999997797E-3</v>
      </c>
      <c r="H607">
        <f>IF(MOD(COUNTA($C$7:C607)-1,$J$2),H606,ROUND(F607*P607,-2))</f>
        <v>-400</v>
      </c>
      <c r="I607">
        <f t="shared" si="113"/>
        <v>0</v>
      </c>
      <c r="J607">
        <f t="shared" si="114"/>
        <v>0</v>
      </c>
      <c r="K607">
        <f t="shared" si="115"/>
        <v>1132.4875335978688</v>
      </c>
      <c r="L607">
        <f t="shared" si="116"/>
        <v>221.68753359786876</v>
      </c>
      <c r="M607">
        <f t="shared" si="117"/>
        <v>0.79999999999984084</v>
      </c>
      <c r="N607">
        <f t="shared" si="119"/>
        <v>221.68753359786876</v>
      </c>
      <c r="O607" s="5">
        <f t="shared" si="110"/>
        <v>4.6094396217383482E-3</v>
      </c>
      <c r="P607">
        <f t="shared" si="118"/>
        <v>10000</v>
      </c>
      <c r="Q607">
        <f t="shared" si="111"/>
        <v>46.094396217383483</v>
      </c>
    </row>
    <row r="608" spans="1:17" x14ac:dyDescent="0.15">
      <c r="A608" s="10">
        <v>45890.548611111008</v>
      </c>
      <c r="B608">
        <f>COUNT(A608:$A$1158)/(48*252)</f>
        <v>4.5552248677248677E-2</v>
      </c>
      <c r="C608">
        <v>2.2799999999999998</v>
      </c>
      <c r="D608">
        <v>0.106</v>
      </c>
      <c r="E608">
        <f t="shared" si="108"/>
        <v>1.773408808488329</v>
      </c>
      <c r="F608">
        <f t="shared" si="109"/>
        <v>-3.8080495230819578E-2</v>
      </c>
      <c r="G608">
        <f t="shared" si="112"/>
        <v>2.9999999999996696E-3</v>
      </c>
      <c r="H608">
        <f>IF(MOD(COUNTA($C$7:C608)-1,$J$2),H607,ROUND(F608*P608,-2))</f>
        <v>-400</v>
      </c>
      <c r="I608">
        <f t="shared" si="113"/>
        <v>0</v>
      </c>
      <c r="J608">
        <f t="shared" si="114"/>
        <v>0</v>
      </c>
      <c r="K608">
        <f t="shared" si="115"/>
        <v>1132.4875335978688</v>
      </c>
      <c r="L608">
        <f t="shared" si="116"/>
        <v>220.48753359786895</v>
      </c>
      <c r="M608">
        <f t="shared" si="117"/>
        <v>-1.1999999999998181</v>
      </c>
      <c r="N608">
        <f t="shared" si="119"/>
        <v>220.48753359786895</v>
      </c>
      <c r="O608" s="5">
        <f t="shared" si="110"/>
        <v>4.4726513770951132E-3</v>
      </c>
      <c r="P608">
        <f t="shared" si="118"/>
        <v>10000</v>
      </c>
      <c r="Q608">
        <f t="shared" si="111"/>
        <v>44.726513770951129</v>
      </c>
    </row>
    <row r="609" spans="1:17" x14ac:dyDescent="0.15">
      <c r="A609" s="10">
        <v>45890.552083333023</v>
      </c>
      <c r="B609">
        <f>COUNT(A609:$A$1158)/(48*252)</f>
        <v>4.5469576719576722E-2</v>
      </c>
      <c r="C609">
        <v>2.282</v>
      </c>
      <c r="D609">
        <v>0.108</v>
      </c>
      <c r="E609">
        <f t="shared" si="108"/>
        <v>1.782030795405124</v>
      </c>
      <c r="F609">
        <f t="shared" si="109"/>
        <v>-3.7372104976221676E-2</v>
      </c>
      <c r="G609">
        <f t="shared" si="112"/>
        <v>2.0000000000002238E-3</v>
      </c>
      <c r="H609">
        <f>IF(MOD(COUNTA($C$7:C609)-1,$J$2),H608,ROUND(F609*P609,-2))</f>
        <v>-400</v>
      </c>
      <c r="I609">
        <f t="shared" si="113"/>
        <v>0</v>
      </c>
      <c r="J609">
        <f t="shared" si="114"/>
        <v>0</v>
      </c>
      <c r="K609">
        <f t="shared" si="115"/>
        <v>1132.4875335978688</v>
      </c>
      <c r="L609">
        <f t="shared" si="116"/>
        <v>219.68753359786888</v>
      </c>
      <c r="M609">
        <f t="shared" si="117"/>
        <v>-0.80000000000006821</v>
      </c>
      <c r="N609">
        <f t="shared" si="119"/>
        <v>219.68753359786888</v>
      </c>
      <c r="O609" s="5">
        <f t="shared" si="110"/>
        <v>4.3765191259536873E-3</v>
      </c>
      <c r="P609">
        <f t="shared" si="118"/>
        <v>10000</v>
      </c>
      <c r="Q609">
        <f t="shared" si="111"/>
        <v>43.76519125953687</v>
      </c>
    </row>
    <row r="610" spans="1:17" x14ac:dyDescent="0.15">
      <c r="A610" s="10">
        <v>45890.555555555969</v>
      </c>
      <c r="B610">
        <f>COUNT(A610:$A$1158)/(48*252)</f>
        <v>4.538690476190476E-2</v>
      </c>
      <c r="C610">
        <v>2.2799999999999998</v>
      </c>
      <c r="D610">
        <v>0.106</v>
      </c>
      <c r="E610">
        <f t="shared" si="108"/>
        <v>1.7763722748943027</v>
      </c>
      <c r="F610">
        <f t="shared" si="109"/>
        <v>-3.7835788865867914E-2</v>
      </c>
      <c r="G610">
        <f t="shared" si="112"/>
        <v>-2.0000000000002238E-3</v>
      </c>
      <c r="H610">
        <f>IF(MOD(COUNTA($C$7:C610)-1,$J$2),H609,ROUND(F610*P610,-2))</f>
        <v>-400</v>
      </c>
      <c r="I610">
        <f t="shared" si="113"/>
        <v>0</v>
      </c>
      <c r="J610">
        <f t="shared" si="114"/>
        <v>0</v>
      </c>
      <c r="K610">
        <f t="shared" si="115"/>
        <v>1132.4875335978688</v>
      </c>
      <c r="L610">
        <f t="shared" si="116"/>
        <v>220.48753359786895</v>
      </c>
      <c r="M610">
        <f t="shared" si="117"/>
        <v>0.80000000000006821</v>
      </c>
      <c r="N610">
        <f t="shared" si="119"/>
        <v>220.48753359786895</v>
      </c>
      <c r="O610" s="5">
        <f t="shared" si="110"/>
        <v>4.4310801511678183E-3</v>
      </c>
      <c r="P610">
        <f t="shared" si="118"/>
        <v>10000</v>
      </c>
      <c r="Q610">
        <f t="shared" si="111"/>
        <v>44.310801511678186</v>
      </c>
    </row>
    <row r="611" spans="1:17" x14ac:dyDescent="0.15">
      <c r="A611" s="10">
        <v>45890.559027777985</v>
      </c>
      <c r="B611">
        <f>COUNT(A611:$A$1158)/(48*252)</f>
        <v>4.5304232804232805E-2</v>
      </c>
      <c r="C611">
        <v>2.2789999999999999</v>
      </c>
      <c r="D611">
        <v>0.105</v>
      </c>
      <c r="E611">
        <f t="shared" si="108"/>
        <v>1.7742802365938468</v>
      </c>
      <c r="F611">
        <f t="shared" si="109"/>
        <v>-3.800840397877292E-2</v>
      </c>
      <c r="G611">
        <f t="shared" si="112"/>
        <v>-9.9999999999988987E-4</v>
      </c>
      <c r="H611">
        <f>IF(MOD(COUNTA($C$7:C611)-1,$J$2),H610,ROUND(F611*P611,-2))</f>
        <v>-400</v>
      </c>
      <c r="I611">
        <f t="shared" si="113"/>
        <v>0</v>
      </c>
      <c r="J611">
        <f t="shared" si="114"/>
        <v>0</v>
      </c>
      <c r="K611">
        <f t="shared" si="115"/>
        <v>1132.4875335978688</v>
      </c>
      <c r="L611">
        <f t="shared" si="116"/>
        <v>220.88753359786892</v>
      </c>
      <c r="M611">
        <f t="shared" si="117"/>
        <v>0.39999999999997726</v>
      </c>
      <c r="N611">
        <f t="shared" si="119"/>
        <v>220.88753359786892</v>
      </c>
      <c r="O611" s="5">
        <f t="shared" si="110"/>
        <v>4.4482084990490056E-3</v>
      </c>
      <c r="P611">
        <f t="shared" si="118"/>
        <v>10000</v>
      </c>
      <c r="Q611">
        <f t="shared" si="111"/>
        <v>44.482084990490058</v>
      </c>
    </row>
    <row r="612" spans="1:17" x14ac:dyDescent="0.15">
      <c r="A612" s="10">
        <v>45890.5625</v>
      </c>
      <c r="B612">
        <f>COUNT(A612:$A$1158)/(48*252)</f>
        <v>4.5221560846560843E-2</v>
      </c>
      <c r="C612">
        <v>2.2759999999999998</v>
      </c>
      <c r="D612">
        <v>0.105</v>
      </c>
      <c r="E612">
        <f t="shared" si="108"/>
        <v>1.765009808381554</v>
      </c>
      <c r="F612">
        <f t="shared" si="109"/>
        <v>-3.8781058640359634E-2</v>
      </c>
      <c r="G612">
        <f t="shared" si="112"/>
        <v>-3.0000000000001137E-3</v>
      </c>
      <c r="H612">
        <f>IF(MOD(COUNTA($C$7:C612)-1,$J$2),H611,ROUND(F612*P612,-2))</f>
        <v>-400</v>
      </c>
      <c r="I612">
        <f t="shared" si="113"/>
        <v>0</v>
      </c>
      <c r="J612">
        <f t="shared" si="114"/>
        <v>0</v>
      </c>
      <c r="K612">
        <f t="shared" si="115"/>
        <v>1132.4875335978688</v>
      </c>
      <c r="L612">
        <f t="shared" si="116"/>
        <v>222.08753359786897</v>
      </c>
      <c r="M612">
        <f t="shared" si="117"/>
        <v>1.2000000000000455</v>
      </c>
      <c r="N612">
        <f t="shared" si="119"/>
        <v>222.08753359786897</v>
      </c>
      <c r="O612" s="5">
        <f t="shared" si="110"/>
        <v>4.5423843289318228E-3</v>
      </c>
      <c r="P612">
        <f t="shared" si="118"/>
        <v>10000</v>
      </c>
      <c r="Q612">
        <f t="shared" si="111"/>
        <v>45.423843289318228</v>
      </c>
    </row>
    <row r="613" spans="1:17" x14ac:dyDescent="0.15">
      <c r="A613" s="10">
        <v>45890.565972222015</v>
      </c>
      <c r="B613">
        <f>COUNT(A613:$A$1158)/(48*252)</f>
        <v>4.5138888888888888E-2</v>
      </c>
      <c r="C613">
        <v>2.2749999999999999</v>
      </c>
      <c r="D613">
        <v>0.104</v>
      </c>
      <c r="E613">
        <f t="shared" si="108"/>
        <v>1.7629002039910311</v>
      </c>
      <c r="F613">
        <f t="shared" si="109"/>
        <v>-3.8958661324291044E-2</v>
      </c>
      <c r="G613">
        <f t="shared" si="112"/>
        <v>-9.9999999999988987E-4</v>
      </c>
      <c r="H613">
        <f>IF(MOD(COUNTA($C$7:C613)-1,$J$2),H612,ROUND(F613*P613,-2))</f>
        <v>-400</v>
      </c>
      <c r="I613">
        <f t="shared" si="113"/>
        <v>0</v>
      </c>
      <c r="J613">
        <f t="shared" si="114"/>
        <v>0</v>
      </c>
      <c r="K613">
        <f t="shared" si="115"/>
        <v>1132.4875335978688</v>
      </c>
      <c r="L613">
        <f t="shared" si="116"/>
        <v>222.48753359786883</v>
      </c>
      <c r="M613">
        <f t="shared" si="117"/>
        <v>0.39999999999986358</v>
      </c>
      <c r="N613">
        <f t="shared" si="119"/>
        <v>222.48753359786883</v>
      </c>
      <c r="O613" s="5">
        <f t="shared" si="110"/>
        <v>4.5600369304246574E-3</v>
      </c>
      <c r="P613">
        <f t="shared" si="118"/>
        <v>10000</v>
      </c>
      <c r="Q613">
        <f t="shared" si="111"/>
        <v>45.600369304246577</v>
      </c>
    </row>
    <row r="614" spans="1:17" x14ac:dyDescent="0.15">
      <c r="A614" s="10">
        <v>45890.569444444962</v>
      </c>
      <c r="B614">
        <f>COUNT(A614:$A$1158)/(48*252)</f>
        <v>4.5056216931216933E-2</v>
      </c>
      <c r="C614">
        <v>2.2770000000000001</v>
      </c>
      <c r="D614">
        <v>0.105</v>
      </c>
      <c r="E614">
        <f t="shared" si="108"/>
        <v>1.7715751789707739</v>
      </c>
      <c r="F614">
        <f t="shared" si="109"/>
        <v>-3.8232551471585441E-2</v>
      </c>
      <c r="G614">
        <f t="shared" si="112"/>
        <v>2.0000000000002238E-3</v>
      </c>
      <c r="H614">
        <f>IF(MOD(COUNTA($C$7:C614)-1,$J$2),H613,ROUND(F614*P614,-2))</f>
        <v>-400</v>
      </c>
      <c r="I614">
        <f t="shared" si="113"/>
        <v>0</v>
      </c>
      <c r="J614">
        <f t="shared" si="114"/>
        <v>0</v>
      </c>
      <c r="K614">
        <f t="shared" si="115"/>
        <v>1132.4875335978688</v>
      </c>
      <c r="L614">
        <f t="shared" si="116"/>
        <v>221.68753359786876</v>
      </c>
      <c r="M614">
        <f t="shared" si="117"/>
        <v>-0.80000000000006821</v>
      </c>
      <c r="N614">
        <f t="shared" si="119"/>
        <v>221.68753359786876</v>
      </c>
      <c r="O614" s="5">
        <f t="shared" si="110"/>
        <v>4.4617282306480405E-3</v>
      </c>
      <c r="P614">
        <f t="shared" si="118"/>
        <v>10000</v>
      </c>
      <c r="Q614">
        <f t="shared" si="111"/>
        <v>44.617282306480405</v>
      </c>
    </row>
    <row r="615" spans="1:17" x14ac:dyDescent="0.15">
      <c r="A615" s="10">
        <v>45890.572916666977</v>
      </c>
      <c r="B615">
        <f>COUNT(A615:$A$1158)/(48*252)</f>
        <v>4.4973544973544971E-2</v>
      </c>
      <c r="C615">
        <v>2.2789999999999999</v>
      </c>
      <c r="D615">
        <v>0.106</v>
      </c>
      <c r="E615">
        <f t="shared" si="108"/>
        <v>1.7802612593919633</v>
      </c>
      <c r="F615">
        <f t="shared" si="109"/>
        <v>-3.7516607043882821E-2</v>
      </c>
      <c r="G615">
        <f t="shared" si="112"/>
        <v>1.9999999999997797E-3</v>
      </c>
      <c r="H615">
        <f>IF(MOD(COUNTA($C$7:C615)-1,$J$2),H614,ROUND(F615*P615,-2))</f>
        <v>-400</v>
      </c>
      <c r="I615">
        <f t="shared" si="113"/>
        <v>0</v>
      </c>
      <c r="J615">
        <f t="shared" si="114"/>
        <v>0</v>
      </c>
      <c r="K615">
        <f t="shared" si="115"/>
        <v>1132.4875335978688</v>
      </c>
      <c r="L615">
        <f t="shared" si="116"/>
        <v>220.88753359786892</v>
      </c>
      <c r="M615">
        <f t="shared" si="117"/>
        <v>-0.79999999999984084</v>
      </c>
      <c r="N615">
        <f t="shared" si="119"/>
        <v>220.88753359786892</v>
      </c>
      <c r="O615" s="5">
        <f t="shared" si="110"/>
        <v>4.3651454467005246E-3</v>
      </c>
      <c r="P615">
        <f t="shared" si="118"/>
        <v>10000</v>
      </c>
      <c r="Q615">
        <f t="shared" si="111"/>
        <v>43.651454467005244</v>
      </c>
    </row>
    <row r="616" spans="1:17" x14ac:dyDescent="0.15">
      <c r="A616" s="10">
        <v>45890.576388888992</v>
      </c>
      <c r="B616">
        <f>COUNT(A616:$A$1158)/(48*252)</f>
        <v>4.4890873015873016E-2</v>
      </c>
      <c r="C616">
        <v>2.2789999999999999</v>
      </c>
      <c r="D616">
        <v>0.106</v>
      </c>
      <c r="E616">
        <f t="shared" si="108"/>
        <v>1.7817671364964367</v>
      </c>
      <c r="F616">
        <f t="shared" si="109"/>
        <v>-3.7393606757156861E-2</v>
      </c>
      <c r="G616">
        <f t="shared" si="112"/>
        <v>0</v>
      </c>
      <c r="H616">
        <f>IF(MOD(COUNTA($C$7:C616)-1,$J$2),H615,ROUND(F616*P616,-2))</f>
        <v>-400</v>
      </c>
      <c r="I616">
        <f t="shared" si="113"/>
        <v>0</v>
      </c>
      <c r="J616">
        <f t="shared" si="114"/>
        <v>0</v>
      </c>
      <c r="K616">
        <f t="shared" si="115"/>
        <v>1132.4875335978688</v>
      </c>
      <c r="L616">
        <f t="shared" si="116"/>
        <v>220.88753359786892</v>
      </c>
      <c r="M616">
        <f t="shared" si="117"/>
        <v>0</v>
      </c>
      <c r="N616">
        <f t="shared" si="119"/>
        <v>220.88753359786892</v>
      </c>
      <c r="O616" s="5">
        <f t="shared" si="110"/>
        <v>4.3444694785135518E-3</v>
      </c>
      <c r="P616">
        <f t="shared" si="118"/>
        <v>10000</v>
      </c>
      <c r="Q616">
        <f t="shared" si="111"/>
        <v>43.444694785135518</v>
      </c>
    </row>
    <row r="617" spans="1:17" x14ac:dyDescent="0.15">
      <c r="A617" s="10">
        <v>45890.579861111008</v>
      </c>
      <c r="B617">
        <f>COUNT(A617:$A$1158)/(48*252)</f>
        <v>4.4808201058201061E-2</v>
      </c>
      <c r="C617">
        <v>2.282</v>
      </c>
      <c r="D617">
        <v>0.109</v>
      </c>
      <c r="E617">
        <f t="shared" si="108"/>
        <v>1.7940719466897204</v>
      </c>
      <c r="F617">
        <f t="shared" si="109"/>
        <v>-3.6400843008911221E-2</v>
      </c>
      <c r="G617">
        <f t="shared" si="112"/>
        <v>3.0000000000001137E-3</v>
      </c>
      <c r="H617">
        <f>IF(MOD(COUNTA($C$7:C617)-1,$J$2),H616,ROUND(F617*P617,-2))</f>
        <v>-400</v>
      </c>
      <c r="I617">
        <f t="shared" si="113"/>
        <v>0</v>
      </c>
      <c r="J617">
        <f t="shared" si="114"/>
        <v>0</v>
      </c>
      <c r="K617">
        <f t="shared" si="115"/>
        <v>1132.4875335978688</v>
      </c>
      <c r="L617">
        <f t="shared" si="116"/>
        <v>219.68753359786888</v>
      </c>
      <c r="M617">
        <f t="shared" si="117"/>
        <v>-1.2000000000000455</v>
      </c>
      <c r="N617">
        <f t="shared" si="119"/>
        <v>219.68753359786888</v>
      </c>
      <c r="O617" s="5">
        <f t="shared" si="110"/>
        <v>4.2133269795630174E-3</v>
      </c>
      <c r="P617">
        <f t="shared" si="118"/>
        <v>10000</v>
      </c>
      <c r="Q617">
        <f t="shared" si="111"/>
        <v>42.133269795630177</v>
      </c>
    </row>
    <row r="618" spans="1:17" x14ac:dyDescent="0.15">
      <c r="A618" s="10">
        <v>45890.583333333023</v>
      </c>
      <c r="B618">
        <f>COUNT(A618:$A$1158)/(48*252)</f>
        <v>4.4725529100529099E-2</v>
      </c>
      <c r="C618">
        <v>2.2789999999999999</v>
      </c>
      <c r="D618">
        <v>0.106</v>
      </c>
      <c r="E618">
        <f t="shared" si="108"/>
        <v>1.7847917744824833</v>
      </c>
      <c r="F618">
        <f t="shared" si="109"/>
        <v>-3.7147549028215709E-2</v>
      </c>
      <c r="G618">
        <f t="shared" si="112"/>
        <v>-3.0000000000001137E-3</v>
      </c>
      <c r="H618">
        <f>IF(MOD(COUNTA($C$7:C618)-1,$J$2),H617,ROUND(F618*P618,-2))</f>
        <v>-400</v>
      </c>
      <c r="I618">
        <f t="shared" si="113"/>
        <v>0</v>
      </c>
      <c r="J618">
        <f t="shared" si="114"/>
        <v>0</v>
      </c>
      <c r="K618">
        <f t="shared" si="115"/>
        <v>1132.4875335978688</v>
      </c>
      <c r="L618">
        <f t="shared" si="116"/>
        <v>220.88753359786892</v>
      </c>
      <c r="M618">
        <f t="shared" si="117"/>
        <v>1.2000000000000455</v>
      </c>
      <c r="N618">
        <f t="shared" si="119"/>
        <v>220.88753359786892</v>
      </c>
      <c r="O618" s="5">
        <f t="shared" si="110"/>
        <v>4.3032260396294181E-3</v>
      </c>
      <c r="P618">
        <f t="shared" si="118"/>
        <v>10000</v>
      </c>
      <c r="Q618">
        <f t="shared" si="111"/>
        <v>43.032260396294184</v>
      </c>
    </row>
    <row r="619" spans="1:17" x14ac:dyDescent="0.15">
      <c r="A619" s="10">
        <v>45890.586805555969</v>
      </c>
      <c r="B619">
        <f>COUNT(A619:$A$1158)/(48*252)</f>
        <v>4.4642857142857144E-2</v>
      </c>
      <c r="C619">
        <v>2.278</v>
      </c>
      <c r="D619">
        <v>0.105</v>
      </c>
      <c r="E619">
        <f t="shared" si="108"/>
        <v>1.7827025392948581</v>
      </c>
      <c r="F619">
        <f t="shared" si="109"/>
        <v>-3.731736889069881E-2</v>
      </c>
      <c r="G619">
        <f t="shared" si="112"/>
        <v>-9.9999999999988987E-4</v>
      </c>
      <c r="H619">
        <f>IF(MOD(COUNTA($C$7:C619)-1,$J$2),H618,ROUND(F619*P619,-2))</f>
        <v>-400</v>
      </c>
      <c r="I619">
        <f t="shared" si="113"/>
        <v>0</v>
      </c>
      <c r="J619">
        <f t="shared" si="114"/>
        <v>0</v>
      </c>
      <c r="K619">
        <f t="shared" si="115"/>
        <v>1132.4875335978688</v>
      </c>
      <c r="L619">
        <f t="shared" si="116"/>
        <v>221.28753359786879</v>
      </c>
      <c r="M619">
        <f t="shared" si="117"/>
        <v>0.39999999999986358</v>
      </c>
      <c r="N619">
        <f t="shared" si="119"/>
        <v>221.28753359786879</v>
      </c>
      <c r="O619" s="5">
        <f t="shared" si="110"/>
        <v>4.3198295452647334E-3</v>
      </c>
      <c r="P619">
        <f t="shared" si="118"/>
        <v>10000</v>
      </c>
      <c r="Q619">
        <f t="shared" si="111"/>
        <v>43.198295452647336</v>
      </c>
    </row>
    <row r="620" spans="1:17" x14ac:dyDescent="0.15">
      <c r="A620" s="10">
        <v>45890.590277777985</v>
      </c>
      <c r="B620">
        <f>COUNT(A620:$A$1158)/(48*252)</f>
        <v>4.4560185185185182E-2</v>
      </c>
      <c r="C620">
        <v>2.2789999999999999</v>
      </c>
      <c r="D620">
        <v>0.105</v>
      </c>
      <c r="E620">
        <f t="shared" si="108"/>
        <v>1.7878337242778028</v>
      </c>
      <c r="F620">
        <f t="shared" si="109"/>
        <v>-3.6901419075119346E-2</v>
      </c>
      <c r="G620">
        <f t="shared" si="112"/>
        <v>9.9999999999988987E-4</v>
      </c>
      <c r="H620">
        <f>IF(MOD(COUNTA($C$7:C620)-1,$J$2),H619,ROUND(F620*P620,-2))</f>
        <v>-400</v>
      </c>
      <c r="I620">
        <f t="shared" si="113"/>
        <v>0</v>
      </c>
      <c r="J620">
        <f t="shared" si="114"/>
        <v>0</v>
      </c>
      <c r="K620">
        <f t="shared" si="115"/>
        <v>1132.4875335978688</v>
      </c>
      <c r="L620">
        <f t="shared" si="116"/>
        <v>220.88753359786892</v>
      </c>
      <c r="M620">
        <f t="shared" si="117"/>
        <v>-0.39999999999986358</v>
      </c>
      <c r="N620">
        <f t="shared" si="119"/>
        <v>220.88753359786892</v>
      </c>
      <c r="O620" s="5">
        <f t="shared" si="110"/>
        <v>4.2621279756047264E-3</v>
      </c>
      <c r="P620">
        <f t="shared" si="118"/>
        <v>10000</v>
      </c>
      <c r="Q620">
        <f t="shared" si="111"/>
        <v>42.621279756047265</v>
      </c>
    </row>
    <row r="621" spans="1:17" x14ac:dyDescent="0.15">
      <c r="A621" s="10">
        <v>45890.59375</v>
      </c>
      <c r="B621">
        <f>COUNT(A621:$A$1158)/(48*252)</f>
        <v>4.4477513227513227E-2</v>
      </c>
      <c r="C621">
        <v>2.2770000000000001</v>
      </c>
      <c r="D621">
        <v>0.104</v>
      </c>
      <c r="E621">
        <f t="shared" si="108"/>
        <v>1.7821301820787023</v>
      </c>
      <c r="F621">
        <f t="shared" si="109"/>
        <v>-3.7364002464768564E-2</v>
      </c>
      <c r="G621">
        <f t="shared" si="112"/>
        <v>-1.9999999999997797E-3</v>
      </c>
      <c r="H621">
        <f>IF(MOD(COUNTA($C$7:C621)-1,$J$2),H620,ROUND(F621*P621,-2))</f>
        <v>-400</v>
      </c>
      <c r="I621">
        <f t="shared" si="113"/>
        <v>0</v>
      </c>
      <c r="J621">
        <f t="shared" si="114"/>
        <v>0</v>
      </c>
      <c r="K621">
        <f t="shared" si="115"/>
        <v>1132.4875335978688</v>
      </c>
      <c r="L621">
        <f t="shared" si="116"/>
        <v>221.68753359786876</v>
      </c>
      <c r="M621">
        <f t="shared" si="117"/>
        <v>0.79999999999984084</v>
      </c>
      <c r="N621">
        <f t="shared" si="119"/>
        <v>221.68753359786876</v>
      </c>
      <c r="O621" s="5">
        <f t="shared" si="110"/>
        <v>4.3157747116672474E-3</v>
      </c>
      <c r="P621">
        <f t="shared" si="118"/>
        <v>10000</v>
      </c>
      <c r="Q621">
        <f t="shared" si="111"/>
        <v>43.157747116672475</v>
      </c>
    </row>
    <row r="622" spans="1:17" x14ac:dyDescent="0.15">
      <c r="A622" s="10">
        <v>45890.597222222015</v>
      </c>
      <c r="B622">
        <f>COUNT(A622:$A$1158)/(48*252)</f>
        <v>4.4394841269841272E-2</v>
      </c>
      <c r="C622">
        <v>2.2770000000000001</v>
      </c>
      <c r="D622">
        <v>0.104</v>
      </c>
      <c r="E622">
        <f t="shared" si="108"/>
        <v>1.783655358586506</v>
      </c>
      <c r="F622">
        <f t="shared" si="109"/>
        <v>-3.723984212563225E-2</v>
      </c>
      <c r="G622">
        <f t="shared" si="112"/>
        <v>0</v>
      </c>
      <c r="H622">
        <f>IF(MOD(COUNTA($C$7:C622)-1,$J$2),H621,ROUND(F622*P622,-2))</f>
        <v>-400</v>
      </c>
      <c r="I622">
        <f t="shared" si="113"/>
        <v>0</v>
      </c>
      <c r="J622">
        <f t="shared" si="114"/>
        <v>0</v>
      </c>
      <c r="K622">
        <f t="shared" si="115"/>
        <v>1132.4875335978688</v>
      </c>
      <c r="L622">
        <f t="shared" si="116"/>
        <v>221.68753359786876</v>
      </c>
      <c r="M622">
        <f t="shared" si="117"/>
        <v>0</v>
      </c>
      <c r="N622">
        <f t="shared" si="119"/>
        <v>221.68753359786876</v>
      </c>
      <c r="O622" s="5">
        <f t="shared" si="110"/>
        <v>4.2950698612813087E-3</v>
      </c>
      <c r="P622">
        <f t="shared" si="118"/>
        <v>10000</v>
      </c>
      <c r="Q622">
        <f t="shared" si="111"/>
        <v>42.950698612813085</v>
      </c>
    </row>
    <row r="623" spans="1:17" x14ac:dyDescent="0.15">
      <c r="A623" s="10">
        <v>45890.600694444962</v>
      </c>
      <c r="B623">
        <f>COUNT(A623:$A$1158)/(48*252)</f>
        <v>4.431216931216931E-2</v>
      </c>
      <c r="C623">
        <v>2.278</v>
      </c>
      <c r="D623">
        <v>0.10299999999999999</v>
      </c>
      <c r="E623">
        <f t="shared" si="108"/>
        <v>1.7888079896401878</v>
      </c>
      <c r="F623">
        <f t="shared" si="109"/>
        <v>-3.682287189047162E-2</v>
      </c>
      <c r="G623">
        <f t="shared" si="112"/>
        <v>9.9999999999988987E-4</v>
      </c>
      <c r="H623">
        <f>IF(MOD(COUNTA($C$7:C623)-1,$J$2),H622,ROUND(F623*P623,-2))</f>
        <v>-400</v>
      </c>
      <c r="I623">
        <f t="shared" si="113"/>
        <v>0</v>
      </c>
      <c r="J623">
        <f t="shared" si="114"/>
        <v>0</v>
      </c>
      <c r="K623">
        <f t="shared" si="115"/>
        <v>1132.4875335978688</v>
      </c>
      <c r="L623">
        <f t="shared" si="116"/>
        <v>221.28753359786879</v>
      </c>
      <c r="M623">
        <f t="shared" si="117"/>
        <v>-0.39999999999997726</v>
      </c>
      <c r="N623">
        <f t="shared" si="119"/>
        <v>221.28753359786879</v>
      </c>
      <c r="O623" s="5">
        <f t="shared" si="110"/>
        <v>4.2374326508133886E-3</v>
      </c>
      <c r="P623">
        <f t="shared" si="118"/>
        <v>10000</v>
      </c>
      <c r="Q623">
        <f t="shared" si="111"/>
        <v>42.374326508133883</v>
      </c>
    </row>
    <row r="624" spans="1:17" x14ac:dyDescent="0.15">
      <c r="A624" s="10">
        <v>45890.604166666977</v>
      </c>
      <c r="B624">
        <f>COUNT(A624:$A$1158)/(48*252)</f>
        <v>4.4229497354497355E-2</v>
      </c>
      <c r="C624">
        <v>2.2799999999999998</v>
      </c>
      <c r="D624">
        <v>0.106</v>
      </c>
      <c r="E624">
        <f t="shared" si="108"/>
        <v>1.7975934758563945</v>
      </c>
      <c r="F624">
        <f t="shared" si="109"/>
        <v>-3.6120726491656319E-2</v>
      </c>
      <c r="G624">
        <f t="shared" si="112"/>
        <v>1.9999999999997797E-3</v>
      </c>
      <c r="H624">
        <f>IF(MOD(COUNTA($C$7:C624)-1,$J$2),H623,ROUND(F624*P624,-2))</f>
        <v>-400</v>
      </c>
      <c r="I624">
        <f t="shared" si="113"/>
        <v>0</v>
      </c>
      <c r="J624">
        <f t="shared" si="114"/>
        <v>0</v>
      </c>
      <c r="K624">
        <f t="shared" si="115"/>
        <v>1132.4875335978688</v>
      </c>
      <c r="L624">
        <f t="shared" si="116"/>
        <v>220.48753359786895</v>
      </c>
      <c r="M624">
        <f t="shared" si="117"/>
        <v>-0.79999999999984084</v>
      </c>
      <c r="N624">
        <f t="shared" si="119"/>
        <v>220.48753359786895</v>
      </c>
      <c r="O624" s="5">
        <f t="shared" si="110"/>
        <v>4.1441067260290926E-3</v>
      </c>
      <c r="P624">
        <f t="shared" si="118"/>
        <v>10000</v>
      </c>
      <c r="Q624">
        <f t="shared" si="111"/>
        <v>41.441067260290929</v>
      </c>
    </row>
    <row r="625" spans="1:17" x14ac:dyDescent="0.15">
      <c r="A625" s="10">
        <v>45890.607638888992</v>
      </c>
      <c r="B625">
        <f>COUNT(A625:$A$1158)/(48*252)</f>
        <v>4.41468253968254E-2</v>
      </c>
      <c r="C625">
        <v>2.2810000000000001</v>
      </c>
      <c r="D625">
        <v>0.106</v>
      </c>
      <c r="E625">
        <f t="shared" si="108"/>
        <v>1.8027671309050373</v>
      </c>
      <c r="F625">
        <f t="shared" si="109"/>
        <v>-3.5712397135689744E-2</v>
      </c>
      <c r="G625">
        <f t="shared" si="112"/>
        <v>1.000000000000334E-3</v>
      </c>
      <c r="H625">
        <f>IF(MOD(COUNTA($C$7:C625)-1,$J$2),H624,ROUND(F625*P625,-2))</f>
        <v>-400</v>
      </c>
      <c r="I625">
        <f t="shared" si="113"/>
        <v>0</v>
      </c>
      <c r="J625">
        <f t="shared" si="114"/>
        <v>0</v>
      </c>
      <c r="K625">
        <f t="shared" si="115"/>
        <v>1132.4875335978688</v>
      </c>
      <c r="L625">
        <f t="shared" si="116"/>
        <v>220.08753359786874</v>
      </c>
      <c r="M625">
        <f t="shared" si="117"/>
        <v>-0.40000000000020464</v>
      </c>
      <c r="N625">
        <f t="shared" si="119"/>
        <v>220.08753359786874</v>
      </c>
      <c r="O625" s="5">
        <f t="shared" si="110"/>
        <v>4.0880275862650584E-3</v>
      </c>
      <c r="P625">
        <f t="shared" si="118"/>
        <v>10000</v>
      </c>
      <c r="Q625">
        <f t="shared" si="111"/>
        <v>40.880275862650585</v>
      </c>
    </row>
    <row r="626" spans="1:17" x14ac:dyDescent="0.15">
      <c r="A626" s="10">
        <v>45890.611111111008</v>
      </c>
      <c r="B626">
        <f>COUNT(A626:$A$1158)/(48*252)</f>
        <v>4.4064153439153438E-2</v>
      </c>
      <c r="C626">
        <v>2.2810000000000001</v>
      </c>
      <c r="D626">
        <v>0.105</v>
      </c>
      <c r="E626">
        <f t="shared" si="108"/>
        <v>1.8043235991914952</v>
      </c>
      <c r="F626">
        <f t="shared" si="109"/>
        <v>-3.5590296160601276E-2</v>
      </c>
      <c r="G626">
        <f t="shared" si="112"/>
        <v>0</v>
      </c>
      <c r="H626">
        <f>IF(MOD(COUNTA($C$7:C626)-1,$J$2),H625,ROUND(F626*P626,-2))</f>
        <v>-400</v>
      </c>
      <c r="I626">
        <f t="shared" si="113"/>
        <v>0</v>
      </c>
      <c r="J626">
        <f t="shared" si="114"/>
        <v>0</v>
      </c>
      <c r="K626">
        <f t="shared" si="115"/>
        <v>1132.4875335978688</v>
      </c>
      <c r="L626">
        <f t="shared" si="116"/>
        <v>220.08753359786874</v>
      </c>
      <c r="M626">
        <f t="shared" si="117"/>
        <v>0</v>
      </c>
      <c r="N626">
        <f t="shared" si="119"/>
        <v>220.08753359786874</v>
      </c>
      <c r="O626" s="5">
        <f t="shared" si="110"/>
        <v>4.0679630092943231E-3</v>
      </c>
      <c r="P626">
        <f t="shared" si="118"/>
        <v>10000</v>
      </c>
      <c r="Q626">
        <f t="shared" si="111"/>
        <v>40.679630092943228</v>
      </c>
    </row>
    <row r="627" spans="1:17" x14ac:dyDescent="0.15">
      <c r="A627" s="10">
        <v>45890.614583333023</v>
      </c>
      <c r="B627">
        <f>COUNT(A627:$A$1158)/(48*252)</f>
        <v>4.3981481481481483E-2</v>
      </c>
      <c r="C627">
        <v>2.2749999999999999</v>
      </c>
      <c r="D627">
        <v>0.10299999999999999</v>
      </c>
      <c r="E627">
        <f t="shared" si="108"/>
        <v>1.7840694028901312</v>
      </c>
      <c r="F627">
        <f t="shared" si="109"/>
        <v>-3.7206194181205188E-2</v>
      </c>
      <c r="G627">
        <f t="shared" si="112"/>
        <v>-6.0000000000002274E-3</v>
      </c>
      <c r="H627">
        <f>IF(MOD(COUNTA($C$7:C627)-1,$J$2),H626,ROUND(F627*P627,-2))</f>
        <v>-400</v>
      </c>
      <c r="I627">
        <f t="shared" si="113"/>
        <v>0</v>
      </c>
      <c r="J627">
        <f t="shared" si="114"/>
        <v>0</v>
      </c>
      <c r="K627">
        <f t="shared" si="115"/>
        <v>1132.4875335978688</v>
      </c>
      <c r="L627">
        <f t="shared" si="116"/>
        <v>222.48753359786883</v>
      </c>
      <c r="M627">
        <f t="shared" si="117"/>
        <v>2.4000000000000909</v>
      </c>
      <c r="N627">
        <f t="shared" si="119"/>
        <v>222.48753359786883</v>
      </c>
      <c r="O627" s="5">
        <f t="shared" si="110"/>
        <v>4.2659224835849968E-3</v>
      </c>
      <c r="P627">
        <f t="shared" si="118"/>
        <v>10000</v>
      </c>
      <c r="Q627">
        <f t="shared" si="111"/>
        <v>42.659224835849969</v>
      </c>
    </row>
    <row r="628" spans="1:17" x14ac:dyDescent="0.15">
      <c r="A628" s="10">
        <v>45890.618055555969</v>
      </c>
      <c r="B628">
        <f>COUNT(A628:$A$1158)/(48*252)</f>
        <v>4.3898809523809521E-2</v>
      </c>
      <c r="C628">
        <v>2.2789999999999999</v>
      </c>
      <c r="D628">
        <v>0.104</v>
      </c>
      <c r="E628">
        <f t="shared" si="108"/>
        <v>1.8001779127411444</v>
      </c>
      <c r="F628">
        <f t="shared" si="109"/>
        <v>-3.5916275122787167E-2</v>
      </c>
      <c r="G628">
        <f t="shared" si="112"/>
        <v>4.0000000000000036E-3</v>
      </c>
      <c r="H628">
        <f>IF(MOD(COUNTA($C$7:C628)-1,$J$2),H627,ROUND(F628*P628,-2))</f>
        <v>-400</v>
      </c>
      <c r="I628">
        <f t="shared" si="113"/>
        <v>0</v>
      </c>
      <c r="J628">
        <f t="shared" si="114"/>
        <v>0</v>
      </c>
      <c r="K628">
        <f t="shared" si="115"/>
        <v>1132.4875335978688</v>
      </c>
      <c r="L628">
        <f t="shared" si="116"/>
        <v>220.88753359786892</v>
      </c>
      <c r="M628">
        <f t="shared" si="117"/>
        <v>-1.5999999999999091</v>
      </c>
      <c r="N628">
        <f t="shared" si="119"/>
        <v>220.88753359786892</v>
      </c>
      <c r="O628" s="5">
        <f t="shared" si="110"/>
        <v>4.0992066596398091E-3</v>
      </c>
      <c r="P628">
        <f t="shared" si="118"/>
        <v>10000</v>
      </c>
      <c r="Q628">
        <f t="shared" si="111"/>
        <v>40.992066596398089</v>
      </c>
    </row>
    <row r="629" spans="1:17" x14ac:dyDescent="0.15">
      <c r="A629" s="10">
        <v>45890.621527777985</v>
      </c>
      <c r="B629">
        <f>COUNT(A629:$A$1158)/(48*252)</f>
        <v>4.3816137566137565E-2</v>
      </c>
      <c r="C629">
        <v>2.2789999999999999</v>
      </c>
      <c r="D629">
        <v>0.104</v>
      </c>
      <c r="E629">
        <f t="shared" si="108"/>
        <v>1.8017411246808204</v>
      </c>
      <c r="F629">
        <f t="shared" si="109"/>
        <v>-3.5793072292932937E-2</v>
      </c>
      <c r="G629">
        <f t="shared" si="112"/>
        <v>0</v>
      </c>
      <c r="H629">
        <f>IF(MOD(COUNTA($C$7:C629)-1,$J$2),H628,ROUND(F629*P629,-2))</f>
        <v>-400</v>
      </c>
      <c r="I629">
        <f t="shared" si="113"/>
        <v>0</v>
      </c>
      <c r="J629">
        <f t="shared" si="114"/>
        <v>0</v>
      </c>
      <c r="K629">
        <f t="shared" si="115"/>
        <v>1132.4875335978688</v>
      </c>
      <c r="L629">
        <f t="shared" si="116"/>
        <v>220.88753359786892</v>
      </c>
      <c r="M629">
        <f t="shared" si="117"/>
        <v>0</v>
      </c>
      <c r="N629">
        <f t="shared" si="119"/>
        <v>220.88753359786892</v>
      </c>
      <c r="O629" s="5">
        <f t="shared" si="110"/>
        <v>4.0790087604909708E-3</v>
      </c>
      <c r="P629">
        <f t="shared" si="118"/>
        <v>10000</v>
      </c>
      <c r="Q629">
        <f t="shared" si="111"/>
        <v>40.790087604909708</v>
      </c>
    </row>
    <row r="630" spans="1:17" x14ac:dyDescent="0.15">
      <c r="A630" s="10">
        <v>45890.625</v>
      </c>
      <c r="B630">
        <f>COUNT(A630:$A$1158)/(48*252)</f>
        <v>4.373346560846561E-2</v>
      </c>
      <c r="C630">
        <v>2.2789999999999999</v>
      </c>
      <c r="D630">
        <v>0.104</v>
      </c>
      <c r="E630">
        <f t="shared" si="108"/>
        <v>1.8033088939246431</v>
      </c>
      <c r="F630">
        <f t="shared" si="109"/>
        <v>-3.5669858313177705E-2</v>
      </c>
      <c r="G630">
        <f t="shared" si="112"/>
        <v>0</v>
      </c>
      <c r="H630">
        <f>IF(MOD(COUNTA($C$7:C630)-1,$J$2),H629,ROUND(F630*P630,-2))</f>
        <v>-400</v>
      </c>
      <c r="I630">
        <f t="shared" si="113"/>
        <v>0</v>
      </c>
      <c r="J630">
        <f t="shared" si="114"/>
        <v>0</v>
      </c>
      <c r="K630">
        <f t="shared" si="115"/>
        <v>1132.4875335978688</v>
      </c>
      <c r="L630">
        <f t="shared" si="116"/>
        <v>220.88753359786892</v>
      </c>
      <c r="M630">
        <f t="shared" si="117"/>
        <v>0</v>
      </c>
      <c r="N630">
        <f t="shared" si="119"/>
        <v>220.88753359786892</v>
      </c>
      <c r="O630" s="5">
        <f t="shared" si="110"/>
        <v>4.0588483941008391E-3</v>
      </c>
      <c r="P630">
        <f t="shared" si="118"/>
        <v>10000</v>
      </c>
      <c r="Q630">
        <f t="shared" si="111"/>
        <v>40.588483941008391</v>
      </c>
    </row>
    <row r="631" spans="1:17" x14ac:dyDescent="0.15">
      <c r="A631" s="10">
        <v>45891.399305555969</v>
      </c>
      <c r="B631">
        <f>COUNT(A631:$A$1158)/(48*252)</f>
        <v>4.3650793650793648E-2</v>
      </c>
      <c r="C631">
        <v>2.274</v>
      </c>
      <c r="D631">
        <v>0.1</v>
      </c>
      <c r="E631">
        <f t="shared" si="108"/>
        <v>1.7866211764781506</v>
      </c>
      <c r="F631">
        <f t="shared" si="109"/>
        <v>-3.6999368342608752E-2</v>
      </c>
      <c r="G631">
        <f t="shared" si="112"/>
        <v>-4.9999999999998934E-3</v>
      </c>
      <c r="H631">
        <f>IF(MOD(COUNTA($C$7:C631)-1,$J$2),H630,ROUND(F631*P631,-2))</f>
        <v>-400</v>
      </c>
      <c r="I631">
        <f t="shared" si="113"/>
        <v>0</v>
      </c>
      <c r="J631">
        <f t="shared" si="114"/>
        <v>0</v>
      </c>
      <c r="K631">
        <f t="shared" si="115"/>
        <v>1132.4875335978688</v>
      </c>
      <c r="L631">
        <f t="shared" si="116"/>
        <v>222.88753359786881</v>
      </c>
      <c r="M631">
        <f t="shared" si="117"/>
        <v>1.9999999999998863</v>
      </c>
      <c r="N631">
        <f t="shared" si="119"/>
        <v>222.88753359786881</v>
      </c>
      <c r="O631" s="5">
        <f t="shared" si="110"/>
        <v>4.2200694981409242E-3</v>
      </c>
      <c r="P631">
        <f t="shared" si="118"/>
        <v>10000</v>
      </c>
      <c r="Q631">
        <f t="shared" si="111"/>
        <v>42.200694981409242</v>
      </c>
    </row>
    <row r="632" spans="1:17" x14ac:dyDescent="0.15">
      <c r="A632" s="10">
        <v>45891.402777777985</v>
      </c>
      <c r="B632">
        <f>COUNT(A632:$A$1158)/(48*252)</f>
        <v>4.3568121693121693E-2</v>
      </c>
      <c r="C632">
        <v>2.2789999999999999</v>
      </c>
      <c r="D632">
        <v>0.10299999999999999</v>
      </c>
      <c r="E632">
        <f t="shared" si="108"/>
        <v>1.8064581912210735</v>
      </c>
      <c r="F632">
        <f t="shared" si="109"/>
        <v>-3.5423399541394063E-2</v>
      </c>
      <c r="G632">
        <f t="shared" si="112"/>
        <v>4.9999999999998934E-3</v>
      </c>
      <c r="H632">
        <f>IF(MOD(COUNTA($C$7:C632)-1,$J$2),H631,ROUND(F632*P632,-2))</f>
        <v>-400</v>
      </c>
      <c r="I632">
        <f t="shared" si="113"/>
        <v>0</v>
      </c>
      <c r="J632">
        <f t="shared" si="114"/>
        <v>0</v>
      </c>
      <c r="K632">
        <f t="shared" si="115"/>
        <v>1132.4875335978688</v>
      </c>
      <c r="L632">
        <f t="shared" si="116"/>
        <v>220.88753359786892</v>
      </c>
      <c r="M632">
        <f t="shared" si="117"/>
        <v>-1.9999999999998863</v>
      </c>
      <c r="N632">
        <f t="shared" si="119"/>
        <v>220.88753359786892</v>
      </c>
      <c r="O632" s="5">
        <f t="shared" si="110"/>
        <v>4.0186406973782979E-3</v>
      </c>
      <c r="P632">
        <f t="shared" si="118"/>
        <v>10000</v>
      </c>
      <c r="Q632">
        <f t="shared" si="111"/>
        <v>40.186406973782979</v>
      </c>
    </row>
    <row r="633" spans="1:17" x14ac:dyDescent="0.15">
      <c r="A633" s="10">
        <v>45891.40625</v>
      </c>
      <c r="B633">
        <f>COUNT(A633:$A$1158)/(48*252)</f>
        <v>4.3485449735449738E-2</v>
      </c>
      <c r="C633">
        <v>2.2799999999999998</v>
      </c>
      <c r="D633">
        <v>0.10299999999999999</v>
      </c>
      <c r="E633">
        <f t="shared" si="108"/>
        <v>1.8116938957501709</v>
      </c>
      <c r="F633">
        <f t="shared" si="109"/>
        <v>-3.5016753678090429E-2</v>
      </c>
      <c r="G633">
        <f t="shared" si="112"/>
        <v>9.9999999999988987E-4</v>
      </c>
      <c r="H633">
        <f>IF(MOD(COUNTA($C$7:C633)-1,$J$2),H632,ROUND(F633*P633,-2))</f>
        <v>-400</v>
      </c>
      <c r="I633">
        <f t="shared" si="113"/>
        <v>0</v>
      </c>
      <c r="J633">
        <f t="shared" si="114"/>
        <v>0</v>
      </c>
      <c r="K633">
        <f t="shared" si="115"/>
        <v>1132.4875335978688</v>
      </c>
      <c r="L633">
        <f t="shared" si="116"/>
        <v>220.48753359786895</v>
      </c>
      <c r="M633">
        <f t="shared" si="117"/>
        <v>-0.39999999999997726</v>
      </c>
      <c r="N633">
        <f t="shared" si="119"/>
        <v>220.48753359786895</v>
      </c>
      <c r="O633" s="5">
        <f t="shared" si="110"/>
        <v>3.9634352981354759E-3</v>
      </c>
      <c r="P633">
        <f t="shared" si="118"/>
        <v>10000</v>
      </c>
      <c r="Q633">
        <f t="shared" si="111"/>
        <v>39.634352981354759</v>
      </c>
    </row>
    <row r="634" spans="1:17" x14ac:dyDescent="0.15">
      <c r="A634" s="10">
        <v>45891.409722222015</v>
      </c>
      <c r="B634">
        <f>COUNT(A634:$A$1158)/(48*252)</f>
        <v>4.3402777777777776E-2</v>
      </c>
      <c r="C634">
        <v>2.2810000000000001</v>
      </c>
      <c r="D634">
        <v>0.104</v>
      </c>
      <c r="E634">
        <f t="shared" si="108"/>
        <v>1.8169395982839809</v>
      </c>
      <c r="F634">
        <f t="shared" si="109"/>
        <v>-3.4613181270445437E-2</v>
      </c>
      <c r="G634">
        <f t="shared" si="112"/>
        <v>1.000000000000334E-3</v>
      </c>
      <c r="H634">
        <f>IF(MOD(COUNTA($C$7:C634)-1,$J$2),H633,ROUND(F634*P634,-2))</f>
        <v>-400</v>
      </c>
      <c r="I634">
        <f t="shared" si="113"/>
        <v>0</v>
      </c>
      <c r="J634">
        <f t="shared" si="114"/>
        <v>0</v>
      </c>
      <c r="K634">
        <f t="shared" si="115"/>
        <v>1132.4875335978688</v>
      </c>
      <c r="L634">
        <f t="shared" si="116"/>
        <v>220.08753359786874</v>
      </c>
      <c r="M634">
        <f t="shared" si="117"/>
        <v>-0.40000000000020464</v>
      </c>
      <c r="N634">
        <f t="shared" si="119"/>
        <v>220.08753359786874</v>
      </c>
      <c r="O634" s="5">
        <f t="shared" si="110"/>
        <v>3.9087956901340537E-3</v>
      </c>
      <c r="P634">
        <f t="shared" si="118"/>
        <v>10000</v>
      </c>
      <c r="Q634">
        <f t="shared" si="111"/>
        <v>39.08795690134054</v>
      </c>
    </row>
    <row r="635" spans="1:17" x14ac:dyDescent="0.15">
      <c r="A635" s="10">
        <v>45891.413194444962</v>
      </c>
      <c r="B635">
        <f>COUNT(A635:$A$1158)/(48*252)</f>
        <v>4.3320105820105821E-2</v>
      </c>
      <c r="C635">
        <v>2.2770000000000001</v>
      </c>
      <c r="D635">
        <v>0.1</v>
      </c>
      <c r="E635">
        <f t="shared" si="108"/>
        <v>1.8038898429235197</v>
      </c>
      <c r="F635">
        <f t="shared" si="109"/>
        <v>-3.5624288790580771E-2</v>
      </c>
      <c r="G635">
        <f t="shared" si="112"/>
        <v>-4.0000000000000036E-3</v>
      </c>
      <c r="H635">
        <f>IF(MOD(COUNTA($C$7:C635)-1,$J$2),H634,ROUND(F635*P635,-2))</f>
        <v>-400</v>
      </c>
      <c r="I635">
        <f t="shared" si="113"/>
        <v>0</v>
      </c>
      <c r="J635">
        <f t="shared" si="114"/>
        <v>0</v>
      </c>
      <c r="K635">
        <f t="shared" si="115"/>
        <v>1132.4875335978688</v>
      </c>
      <c r="L635">
        <f t="shared" si="116"/>
        <v>221.68753359786876</v>
      </c>
      <c r="M635">
        <f t="shared" si="117"/>
        <v>1.6000000000000227</v>
      </c>
      <c r="N635">
        <f t="shared" si="119"/>
        <v>221.68753359786876</v>
      </c>
      <c r="O635" s="5">
        <f t="shared" si="110"/>
        <v>4.0292899797292892E-3</v>
      </c>
      <c r="P635">
        <f t="shared" si="118"/>
        <v>10000</v>
      </c>
      <c r="Q635">
        <f t="shared" si="111"/>
        <v>40.29289979729289</v>
      </c>
    </row>
    <row r="636" spans="1:17" x14ac:dyDescent="0.15">
      <c r="A636" s="10">
        <v>45891.416666666977</v>
      </c>
      <c r="B636">
        <f>COUNT(A636:$A$1158)/(48*252)</f>
        <v>4.3237433862433859E-2</v>
      </c>
      <c r="C636">
        <v>2.2770000000000001</v>
      </c>
      <c r="D636">
        <v>0.10100000000000001</v>
      </c>
      <c r="E636">
        <f t="shared" si="108"/>
        <v>1.8054784150798651</v>
      </c>
      <c r="F636">
        <f t="shared" si="109"/>
        <v>-3.5499925110333619E-2</v>
      </c>
      <c r="G636">
        <f t="shared" si="112"/>
        <v>0</v>
      </c>
      <c r="H636">
        <f>IF(MOD(COUNTA($C$7:C636)-1,$J$2),H635,ROUND(F636*P636,-2))</f>
        <v>-400</v>
      </c>
      <c r="I636">
        <f t="shared" si="113"/>
        <v>0</v>
      </c>
      <c r="J636">
        <f t="shared" si="114"/>
        <v>0</v>
      </c>
      <c r="K636">
        <f t="shared" si="115"/>
        <v>1132.4875335978688</v>
      </c>
      <c r="L636">
        <f t="shared" si="116"/>
        <v>221.68753359786876</v>
      </c>
      <c r="M636">
        <f t="shared" si="117"/>
        <v>0</v>
      </c>
      <c r="N636">
        <f t="shared" si="119"/>
        <v>221.68753359786876</v>
      </c>
      <c r="O636" s="5">
        <f t="shared" si="110"/>
        <v>4.0091094842201608E-3</v>
      </c>
      <c r="P636">
        <f t="shared" si="118"/>
        <v>10000</v>
      </c>
      <c r="Q636">
        <f t="shared" si="111"/>
        <v>40.091094842201606</v>
      </c>
    </row>
    <row r="637" spans="1:17" x14ac:dyDescent="0.15">
      <c r="A637" s="10">
        <v>45891.420138888992</v>
      </c>
      <c r="B637">
        <f>COUNT(A637:$A$1158)/(48*252)</f>
        <v>4.3154761904761904E-2</v>
      </c>
      <c r="C637">
        <v>2.2709999999999999</v>
      </c>
      <c r="D637">
        <v>9.7000000000000003E-2</v>
      </c>
      <c r="E637">
        <f t="shared" si="108"/>
        <v>1.7850097970435777</v>
      </c>
      <c r="F637">
        <f t="shared" si="109"/>
        <v>-3.7129863890455139E-2</v>
      </c>
      <c r="G637">
        <f t="shared" si="112"/>
        <v>-6.0000000000002274E-3</v>
      </c>
      <c r="H637">
        <f>IF(MOD(COUNTA($C$7:C637)-1,$J$2),H636,ROUND(F637*P637,-2))</f>
        <v>-400</v>
      </c>
      <c r="I637">
        <f t="shared" si="113"/>
        <v>0</v>
      </c>
      <c r="J637">
        <f t="shared" si="114"/>
        <v>0</v>
      </c>
      <c r="K637">
        <f t="shared" si="115"/>
        <v>1132.4875335978688</v>
      </c>
      <c r="L637">
        <f t="shared" si="116"/>
        <v>224.08753359786886</v>
      </c>
      <c r="M637">
        <f t="shared" si="117"/>
        <v>2.4000000000000909</v>
      </c>
      <c r="N637">
        <f t="shared" si="119"/>
        <v>224.08753359786886</v>
      </c>
      <c r="O637" s="5">
        <f t="shared" si="110"/>
        <v>4.2064464535506579E-3</v>
      </c>
      <c r="P637">
        <f t="shared" si="118"/>
        <v>10000</v>
      </c>
      <c r="Q637">
        <f t="shared" si="111"/>
        <v>42.06446453550658</v>
      </c>
    </row>
    <row r="638" spans="1:17" x14ac:dyDescent="0.15">
      <c r="A638" s="10">
        <v>45891.423611111008</v>
      </c>
      <c r="B638">
        <f>COUNT(A638:$A$1158)/(48*252)</f>
        <v>4.3072089947089949E-2</v>
      </c>
      <c r="C638">
        <v>2.2709999999999999</v>
      </c>
      <c r="D638">
        <v>9.7000000000000003E-2</v>
      </c>
      <c r="E638">
        <f t="shared" si="108"/>
        <v>1.7865866135160986</v>
      </c>
      <c r="F638">
        <f t="shared" si="109"/>
        <v>-3.7002163441188118E-2</v>
      </c>
      <c r="G638">
        <f t="shared" si="112"/>
        <v>0</v>
      </c>
      <c r="H638">
        <f>IF(MOD(COUNTA($C$7:C638)-1,$J$2),H637,ROUND(F638*P638,-2))</f>
        <v>-400</v>
      </c>
      <c r="I638">
        <f t="shared" si="113"/>
        <v>0</v>
      </c>
      <c r="J638">
        <f t="shared" si="114"/>
        <v>0</v>
      </c>
      <c r="K638">
        <f t="shared" si="115"/>
        <v>1132.4875335978688</v>
      </c>
      <c r="L638">
        <f t="shared" si="116"/>
        <v>224.08753359786886</v>
      </c>
      <c r="M638">
        <f t="shared" si="117"/>
        <v>0</v>
      </c>
      <c r="N638">
        <f t="shared" si="119"/>
        <v>224.08753359786886</v>
      </c>
      <c r="O638" s="5">
        <f t="shared" si="110"/>
        <v>4.185586402556174E-3</v>
      </c>
      <c r="P638">
        <f t="shared" si="118"/>
        <v>10000</v>
      </c>
      <c r="Q638">
        <f t="shared" si="111"/>
        <v>41.855864025561743</v>
      </c>
    </row>
    <row r="639" spans="1:17" x14ac:dyDescent="0.15">
      <c r="A639" s="10">
        <v>45891.427083333023</v>
      </c>
      <c r="B639">
        <f>COUNT(A639:$A$1158)/(48*252)</f>
        <v>4.2989417989417987E-2</v>
      </c>
      <c r="C639">
        <v>2.278</v>
      </c>
      <c r="D639">
        <v>0.10100000000000001</v>
      </c>
      <c r="E639">
        <f t="shared" si="108"/>
        <v>1.8139507558188417</v>
      </c>
      <c r="F639">
        <f t="shared" si="109"/>
        <v>-3.4842653767075404E-2</v>
      </c>
      <c r="G639">
        <f t="shared" si="112"/>
        <v>7.0000000000001172E-3</v>
      </c>
      <c r="H639">
        <f>IF(MOD(COUNTA($C$7:C639)-1,$J$2),H638,ROUND(F639*P639,-2))</f>
        <v>-300</v>
      </c>
      <c r="I639">
        <f t="shared" si="113"/>
        <v>100</v>
      </c>
      <c r="J639">
        <f t="shared" si="114"/>
        <v>0</v>
      </c>
      <c r="K639">
        <f t="shared" si="115"/>
        <v>904.67728259786884</v>
      </c>
      <c r="L639">
        <f t="shared" si="116"/>
        <v>221.27728259786886</v>
      </c>
      <c r="M639">
        <f t="shared" si="117"/>
        <v>-2.8102509999999938</v>
      </c>
      <c r="N639">
        <f t="shared" si="119"/>
        <v>221.27728259786886</v>
      </c>
      <c r="O639" s="5">
        <f t="shared" si="110"/>
        <v>3.913813620011794E-3</v>
      </c>
      <c r="P639">
        <f t="shared" si="118"/>
        <v>10000</v>
      </c>
      <c r="Q639">
        <f t="shared" si="111"/>
        <v>39.138136200117941</v>
      </c>
    </row>
    <row r="640" spans="1:17" x14ac:dyDescent="0.15">
      <c r="A640" s="10">
        <v>45891.430555555969</v>
      </c>
      <c r="B640">
        <f>COUNT(A640:$A$1158)/(48*252)</f>
        <v>4.2906746031746032E-2</v>
      </c>
      <c r="C640">
        <v>2.2730000000000001</v>
      </c>
      <c r="D640">
        <v>9.9000000000000005E-2</v>
      </c>
      <c r="E640">
        <f t="shared" si="108"/>
        <v>1.7971359713238275</v>
      </c>
      <c r="F640">
        <f t="shared" si="109"/>
        <v>-3.615701816401562E-2</v>
      </c>
      <c r="G640">
        <f t="shared" si="112"/>
        <v>-4.9999999999998934E-3</v>
      </c>
      <c r="H640">
        <f>IF(MOD(COUNTA($C$7:C640)-1,$J$2),H639,ROUND(F640*P640,-2))</f>
        <v>-300</v>
      </c>
      <c r="I640">
        <f t="shared" si="113"/>
        <v>0</v>
      </c>
      <c r="J640">
        <f t="shared" si="114"/>
        <v>0</v>
      </c>
      <c r="K640">
        <f t="shared" si="115"/>
        <v>904.67728259786884</v>
      </c>
      <c r="L640">
        <f t="shared" si="116"/>
        <v>222.77728259786875</v>
      </c>
      <c r="M640">
        <f t="shared" si="117"/>
        <v>1.4999999999998863</v>
      </c>
      <c r="N640">
        <f t="shared" si="119"/>
        <v>222.77728259786875</v>
      </c>
      <c r="O640" s="5">
        <f t="shared" si="110"/>
        <v>4.0710793780655702E-3</v>
      </c>
      <c r="P640">
        <f t="shared" si="118"/>
        <v>10000</v>
      </c>
      <c r="Q640">
        <f t="shared" si="111"/>
        <v>40.710793780655699</v>
      </c>
    </row>
    <row r="641" spans="1:17" x14ac:dyDescent="0.15">
      <c r="A641" s="10">
        <v>45891.434027777985</v>
      </c>
      <c r="B641">
        <f>COUNT(A641:$A$1158)/(48*252)</f>
        <v>4.2824074074074077E-2</v>
      </c>
      <c r="C641">
        <v>2.2709999999999999</v>
      </c>
      <c r="D641">
        <v>9.6000000000000002E-2</v>
      </c>
      <c r="E641">
        <f t="shared" si="108"/>
        <v>1.7913452125155904</v>
      </c>
      <c r="F641">
        <f t="shared" si="109"/>
        <v>-3.6618957480889613E-2</v>
      </c>
      <c r="G641">
        <f t="shared" si="112"/>
        <v>-2.0000000000002238E-3</v>
      </c>
      <c r="H641">
        <f>IF(MOD(COUNTA($C$7:C641)-1,$J$2),H640,ROUND(F641*P641,-2))</f>
        <v>-400</v>
      </c>
      <c r="I641">
        <f t="shared" si="113"/>
        <v>-100</v>
      </c>
      <c r="J641">
        <f t="shared" si="114"/>
        <v>0</v>
      </c>
      <c r="K641">
        <f t="shared" si="115"/>
        <v>1131.7670630978689</v>
      </c>
      <c r="L641">
        <f t="shared" si="116"/>
        <v>223.36706309786894</v>
      </c>
      <c r="M641">
        <f t="shared" si="117"/>
        <v>0.58978050000018811</v>
      </c>
      <c r="N641">
        <f t="shared" si="119"/>
        <v>223.36706309786894</v>
      </c>
      <c r="O641" s="5">
        <f t="shared" si="110"/>
        <v>4.12323731861787E-3</v>
      </c>
      <c r="P641">
        <f t="shared" si="118"/>
        <v>10000</v>
      </c>
      <c r="Q641">
        <f t="shared" si="111"/>
        <v>41.232373186178698</v>
      </c>
    </row>
    <row r="642" spans="1:17" x14ac:dyDescent="0.15">
      <c r="A642" s="10">
        <v>45891.4375</v>
      </c>
      <c r="B642">
        <f>COUNT(A642:$A$1158)/(48*252)</f>
        <v>4.2741402116402115E-2</v>
      </c>
      <c r="C642">
        <v>2.274</v>
      </c>
      <c r="D642">
        <v>9.9000000000000005E-2</v>
      </c>
      <c r="E642">
        <f t="shared" si="108"/>
        <v>1.8040323367060127</v>
      </c>
      <c r="F642">
        <f t="shared" si="109"/>
        <v>-3.5613118897633855E-2</v>
      </c>
      <c r="G642">
        <f t="shared" si="112"/>
        <v>3.0000000000001137E-3</v>
      </c>
      <c r="H642">
        <f>IF(MOD(COUNTA($C$7:C642)-1,$J$2),H641,ROUND(F642*P642,-2))</f>
        <v>-400</v>
      </c>
      <c r="I642">
        <f t="shared" si="113"/>
        <v>0</v>
      </c>
      <c r="J642">
        <f t="shared" si="114"/>
        <v>0</v>
      </c>
      <c r="K642">
        <f t="shared" si="115"/>
        <v>1131.7670630978689</v>
      </c>
      <c r="L642">
        <f t="shared" si="116"/>
        <v>222.16706309786889</v>
      </c>
      <c r="M642">
        <f t="shared" si="117"/>
        <v>-1.2000000000000455</v>
      </c>
      <c r="N642">
        <f t="shared" si="119"/>
        <v>222.16706309786889</v>
      </c>
      <c r="O642" s="5">
        <f t="shared" si="110"/>
        <v>3.9943799097795218E-3</v>
      </c>
      <c r="P642">
        <f t="shared" si="118"/>
        <v>10000</v>
      </c>
      <c r="Q642">
        <f t="shared" si="111"/>
        <v>39.943799097795221</v>
      </c>
    </row>
    <row r="643" spans="1:17" x14ac:dyDescent="0.15">
      <c r="A643" s="10">
        <v>45891.440972222015</v>
      </c>
      <c r="B643">
        <f>COUNT(A643:$A$1158)/(48*252)</f>
        <v>4.265873015873016E-2</v>
      </c>
      <c r="C643">
        <v>2.2759999999999998</v>
      </c>
      <c r="D643">
        <v>9.8000000000000004E-2</v>
      </c>
      <c r="E643">
        <f t="shared" si="108"/>
        <v>1.8130368435664093</v>
      </c>
      <c r="F643">
        <f t="shared" si="109"/>
        <v>-3.4913069465594138E-2</v>
      </c>
      <c r="G643">
        <f t="shared" si="112"/>
        <v>1.9999999999997797E-3</v>
      </c>
      <c r="H643">
        <f>IF(MOD(COUNTA($C$7:C643)-1,$J$2),H642,ROUND(F643*P643,-2))</f>
        <v>-300</v>
      </c>
      <c r="I643">
        <f t="shared" si="113"/>
        <v>100</v>
      </c>
      <c r="J643">
        <f t="shared" si="114"/>
        <v>0</v>
      </c>
      <c r="K643">
        <f t="shared" si="115"/>
        <v>904.15682109786906</v>
      </c>
      <c r="L643">
        <f t="shared" si="116"/>
        <v>221.3568210978691</v>
      </c>
      <c r="M643">
        <f t="shared" si="117"/>
        <v>-0.81024199999978919</v>
      </c>
      <c r="N643">
        <f t="shared" si="119"/>
        <v>221.3568210978691</v>
      </c>
      <c r="O643" s="5">
        <f t="shared" si="110"/>
        <v>3.9036952906933986E-3</v>
      </c>
      <c r="P643">
        <f t="shared" si="118"/>
        <v>10000</v>
      </c>
      <c r="Q643">
        <f t="shared" si="111"/>
        <v>39.036952906933983</v>
      </c>
    </row>
    <row r="644" spans="1:17" x14ac:dyDescent="0.15">
      <c r="A644" s="10">
        <v>45891.444444444962</v>
      </c>
      <c r="B644">
        <f>COUNT(A644:$A$1158)/(48*252)</f>
        <v>4.2576058201058198E-2</v>
      </c>
      <c r="C644">
        <v>2.2789999999999999</v>
      </c>
      <c r="D644">
        <v>0.10100000000000001</v>
      </c>
      <c r="E644">
        <f t="shared" si="108"/>
        <v>1.8257485937079201</v>
      </c>
      <c r="F644">
        <f t="shared" si="109"/>
        <v>-3.3944069921734155E-2</v>
      </c>
      <c r="G644">
        <f t="shared" si="112"/>
        <v>3.0000000000001137E-3</v>
      </c>
      <c r="H644">
        <f>IF(MOD(COUNTA($C$7:C644)-1,$J$2),H643,ROUND(F644*P644,-2))</f>
        <v>-300</v>
      </c>
      <c r="I644">
        <f t="shared" si="113"/>
        <v>0</v>
      </c>
      <c r="J644">
        <f t="shared" si="114"/>
        <v>0</v>
      </c>
      <c r="K644">
        <f t="shared" si="115"/>
        <v>904.15682109786906</v>
      </c>
      <c r="L644">
        <f t="shared" si="116"/>
        <v>220.45682109786912</v>
      </c>
      <c r="M644">
        <f t="shared" si="117"/>
        <v>-0.89999999999997726</v>
      </c>
      <c r="N644">
        <f t="shared" si="119"/>
        <v>220.45682109786912</v>
      </c>
      <c r="O644" s="5">
        <f t="shared" si="110"/>
        <v>3.7806058448874857E-3</v>
      </c>
      <c r="P644">
        <f t="shared" si="118"/>
        <v>10000</v>
      </c>
      <c r="Q644">
        <f t="shared" si="111"/>
        <v>37.806058448874857</v>
      </c>
    </row>
    <row r="645" spans="1:17" x14ac:dyDescent="0.15">
      <c r="A645" s="10">
        <v>45891.447916666977</v>
      </c>
      <c r="B645">
        <f>COUNT(A645:$A$1158)/(48*252)</f>
        <v>4.2493386243386243E-2</v>
      </c>
      <c r="C645">
        <v>2.2799999999999998</v>
      </c>
      <c r="D645">
        <v>0.10100000000000001</v>
      </c>
      <c r="E645">
        <f t="shared" si="108"/>
        <v>1.8310839500113782</v>
      </c>
      <c r="F645">
        <f t="shared" si="109"/>
        <v>-3.3544006870871113E-2</v>
      </c>
      <c r="G645">
        <f t="shared" si="112"/>
        <v>9.9999999999988987E-4</v>
      </c>
      <c r="H645">
        <f>IF(MOD(COUNTA($C$7:C645)-1,$J$2),H644,ROUND(F645*P645,-2))</f>
        <v>-300</v>
      </c>
      <c r="I645">
        <f t="shared" si="113"/>
        <v>0</v>
      </c>
      <c r="J645">
        <f t="shared" si="114"/>
        <v>0</v>
      </c>
      <c r="K645">
        <f t="shared" si="115"/>
        <v>904.15682109786906</v>
      </c>
      <c r="L645">
        <f t="shared" si="116"/>
        <v>220.15682109786917</v>
      </c>
      <c r="M645">
        <f t="shared" si="117"/>
        <v>-0.29999999999995453</v>
      </c>
      <c r="N645">
        <f t="shared" si="119"/>
        <v>220.15682109786917</v>
      </c>
      <c r="O645" s="5">
        <f t="shared" si="110"/>
        <v>3.7273394909705382E-3</v>
      </c>
      <c r="P645">
        <f t="shared" si="118"/>
        <v>10000</v>
      </c>
      <c r="Q645">
        <f t="shared" si="111"/>
        <v>37.273394909705381</v>
      </c>
    </row>
    <row r="646" spans="1:17" x14ac:dyDescent="0.15">
      <c r="A646" s="10">
        <v>45891.451388888992</v>
      </c>
      <c r="B646">
        <f>COUNT(A646:$A$1158)/(48*252)</f>
        <v>4.2410714285714288E-2</v>
      </c>
      <c r="C646">
        <v>2.278</v>
      </c>
      <c r="D646">
        <v>0.1</v>
      </c>
      <c r="E646">
        <f t="shared" si="108"/>
        <v>1.8253293781635338</v>
      </c>
      <c r="F646">
        <f t="shared" si="109"/>
        <v>-3.3975669709448986E-2</v>
      </c>
      <c r="G646">
        <f t="shared" si="112"/>
        <v>-1.9999999999997797E-3</v>
      </c>
      <c r="H646">
        <f>IF(MOD(COUNTA($C$7:C646)-1,$J$2),H645,ROUND(F646*P646,-2))</f>
        <v>-300</v>
      </c>
      <c r="I646">
        <f t="shared" si="113"/>
        <v>0</v>
      </c>
      <c r="J646">
        <f t="shared" si="114"/>
        <v>0</v>
      </c>
      <c r="K646">
        <f t="shared" si="115"/>
        <v>904.15682109786906</v>
      </c>
      <c r="L646">
        <f t="shared" si="116"/>
        <v>220.75682109786908</v>
      </c>
      <c r="M646">
        <f t="shared" si="117"/>
        <v>0.59999999999990905</v>
      </c>
      <c r="N646">
        <f t="shared" si="119"/>
        <v>220.75682109786908</v>
      </c>
      <c r="O646" s="5">
        <f t="shared" si="110"/>
        <v>3.7753132937912437E-3</v>
      </c>
      <c r="P646">
        <f t="shared" si="118"/>
        <v>10000</v>
      </c>
      <c r="Q646">
        <f t="shared" si="111"/>
        <v>37.75313293791244</v>
      </c>
    </row>
    <row r="647" spans="1:17" x14ac:dyDescent="0.15">
      <c r="A647" s="10">
        <v>45891.454861111008</v>
      </c>
      <c r="B647">
        <f>COUNT(A647:$A$1158)/(48*252)</f>
        <v>4.2328042328042326E-2</v>
      </c>
      <c r="C647">
        <v>2.2810000000000001</v>
      </c>
      <c r="D647">
        <v>0.10100000000000001</v>
      </c>
      <c r="E647">
        <f t="shared" si="108"/>
        <v>1.8380857134386164</v>
      </c>
      <c r="F647">
        <f t="shared" si="109"/>
        <v>-3.302488801762582E-2</v>
      </c>
      <c r="G647">
        <f t="shared" si="112"/>
        <v>3.0000000000001137E-3</v>
      </c>
      <c r="H647">
        <f>IF(MOD(COUNTA($C$7:C647)-1,$J$2),H646,ROUND(F647*P647,-2))</f>
        <v>-300</v>
      </c>
      <c r="I647">
        <f t="shared" si="113"/>
        <v>0</v>
      </c>
      <c r="J647">
        <f t="shared" si="114"/>
        <v>0</v>
      </c>
      <c r="K647">
        <f t="shared" si="115"/>
        <v>904.15682109786906</v>
      </c>
      <c r="L647">
        <f t="shared" si="116"/>
        <v>219.85682109786899</v>
      </c>
      <c r="M647">
        <f t="shared" si="117"/>
        <v>-0.90000000000009095</v>
      </c>
      <c r="N647">
        <f t="shared" si="119"/>
        <v>219.85682109786899</v>
      </c>
      <c r="O647" s="5">
        <f t="shared" si="110"/>
        <v>3.6553737505415906E-3</v>
      </c>
      <c r="P647">
        <f t="shared" si="118"/>
        <v>10000</v>
      </c>
      <c r="Q647">
        <f t="shared" si="111"/>
        <v>36.55373750541591</v>
      </c>
    </row>
    <row r="648" spans="1:17" x14ac:dyDescent="0.15">
      <c r="A648" s="10">
        <v>45891.458333333023</v>
      </c>
      <c r="B648">
        <f>COUNT(A648:$A$1158)/(48*252)</f>
        <v>4.2245370370370371E-2</v>
      </c>
      <c r="C648">
        <v>2.282</v>
      </c>
      <c r="D648">
        <v>0.10199999999999999</v>
      </c>
      <c r="E648">
        <f t="shared" ref="E648:E711" si="120">(LN(C648/$B$2)+($B$1+0.5*$D$1*$D$1)*B648)/($D$1*SQRT(B648))</f>
        <v>1.8434507374042692</v>
      </c>
      <c r="F648">
        <f t="shared" ref="F648:F711" si="121">NORMSDIST(E648)-1</f>
        <v>-3.2631613996572439E-2</v>
      </c>
      <c r="G648">
        <f t="shared" si="112"/>
        <v>9.9999999999988987E-4</v>
      </c>
      <c r="H648">
        <f>IF(MOD(COUNTA($C$7:C648)-1,$J$2),H647,ROUND(F648*P648,-2))</f>
        <v>-300</v>
      </c>
      <c r="I648">
        <f t="shared" si="113"/>
        <v>0</v>
      </c>
      <c r="J648">
        <f t="shared" si="114"/>
        <v>0</v>
      </c>
      <c r="K648">
        <f t="shared" si="115"/>
        <v>904.15682109786906</v>
      </c>
      <c r="L648">
        <f t="shared" si="116"/>
        <v>219.55682109786903</v>
      </c>
      <c r="M648">
        <f t="shared" si="117"/>
        <v>-0.29999999999995453</v>
      </c>
      <c r="N648">
        <f t="shared" si="119"/>
        <v>219.55682109786903</v>
      </c>
      <c r="O648" s="5">
        <f t="shared" ref="O648:O711" si="122">put_bs($B$1,$J$1,C648,$B$2,B648)</f>
        <v>3.6033863373949454E-3</v>
      </c>
      <c r="P648">
        <f t="shared" si="118"/>
        <v>10000</v>
      </c>
      <c r="Q648">
        <f t="shared" ref="Q648:Q711" si="123">P648*O648</f>
        <v>36.033863373949451</v>
      </c>
    </row>
    <row r="649" spans="1:17" x14ac:dyDescent="0.15">
      <c r="A649" s="10">
        <v>45891.461805555969</v>
      </c>
      <c r="B649">
        <f>COUNT(A649:$A$1158)/(48*252)</f>
        <v>4.2162698412698416E-2</v>
      </c>
      <c r="C649">
        <v>2.286</v>
      </c>
      <c r="D649">
        <v>0.104</v>
      </c>
      <c r="E649">
        <f t="shared" si="120"/>
        <v>1.8599350771803846</v>
      </c>
      <c r="F649">
        <f t="shared" si="121"/>
        <v>-3.1447355923861497E-2</v>
      </c>
      <c r="G649">
        <f t="shared" ref="G649:G712" si="124">C649-C648</f>
        <v>4.0000000000000036E-3</v>
      </c>
      <c r="H649">
        <f>IF(MOD(COUNTA($C$7:C649)-1,$J$2),H648,ROUND(F649*P649,-2))</f>
        <v>-300</v>
      </c>
      <c r="I649">
        <f t="shared" ref="I649:I712" si="125">H649-H648</f>
        <v>0</v>
      </c>
      <c r="J649">
        <f t="shared" ref="J649:J712" si="126">J648</f>
        <v>0</v>
      </c>
      <c r="K649">
        <f t="shared" ref="K649:K712" si="127">K648-I649*C649-ABS(I649*C649*$F$2)</f>
        <v>904.15682109786906</v>
      </c>
      <c r="L649">
        <f t="shared" ref="L649:L712" si="128">K649+H649*C649</f>
        <v>218.3568210978691</v>
      </c>
      <c r="M649">
        <f t="shared" ref="M649:M712" si="129">L649-L648</f>
        <v>-1.1999999999999318</v>
      </c>
      <c r="N649">
        <f t="shared" si="119"/>
        <v>218.3568210978691</v>
      </c>
      <c r="O649" s="5">
        <f t="shared" si="122"/>
        <v>3.4564230294851506E-3</v>
      </c>
      <c r="P649">
        <f t="shared" ref="P649:P712" si="130">P648</f>
        <v>10000</v>
      </c>
      <c r="Q649">
        <f t="shared" si="123"/>
        <v>34.564230294851505</v>
      </c>
    </row>
    <row r="650" spans="1:17" x14ac:dyDescent="0.15">
      <c r="A650" s="10">
        <v>45891.465277777985</v>
      </c>
      <c r="B650">
        <f>COUNT(A650:$A$1158)/(48*252)</f>
        <v>4.2080026455026454E-2</v>
      </c>
      <c r="C650">
        <v>2.2839999999999998</v>
      </c>
      <c r="D650">
        <v>0.10199999999999999</v>
      </c>
      <c r="E650">
        <f t="shared" si="120"/>
        <v>1.8542127936214545</v>
      </c>
      <c r="F650">
        <f t="shared" si="121"/>
        <v>-3.185436123516272E-2</v>
      </c>
      <c r="G650">
        <f t="shared" si="124"/>
        <v>-2.0000000000002238E-3</v>
      </c>
      <c r="H650">
        <f>IF(MOD(COUNTA($C$7:C650)-1,$J$2),H649,ROUND(F650*P650,-2))</f>
        <v>-300</v>
      </c>
      <c r="I650">
        <f t="shared" si="125"/>
        <v>0</v>
      </c>
      <c r="J650">
        <f t="shared" si="126"/>
        <v>0</v>
      </c>
      <c r="K650">
        <f t="shared" si="127"/>
        <v>904.15682109786906</v>
      </c>
      <c r="L650">
        <f t="shared" si="128"/>
        <v>218.95682109786912</v>
      </c>
      <c r="M650">
        <f t="shared" si="129"/>
        <v>0.60000000000002274</v>
      </c>
      <c r="N650">
        <f t="shared" ref="N650:N713" si="131">L650-$F$1</f>
        <v>218.95682109786912</v>
      </c>
      <c r="O650" s="5">
        <f t="shared" si="122"/>
        <v>3.501066793737781E-3</v>
      </c>
      <c r="P650">
        <f t="shared" si="130"/>
        <v>10000</v>
      </c>
      <c r="Q650">
        <f t="shared" si="123"/>
        <v>35.010667937377811</v>
      </c>
    </row>
    <row r="651" spans="1:17" x14ac:dyDescent="0.15">
      <c r="A651" s="10">
        <v>45891.46875</v>
      </c>
      <c r="B651">
        <f>COUNT(A651:$A$1158)/(48*252)</f>
        <v>4.1997354497354498E-2</v>
      </c>
      <c r="C651">
        <v>2.2810000000000001</v>
      </c>
      <c r="D651">
        <v>0.1</v>
      </c>
      <c r="E651">
        <f t="shared" si="120"/>
        <v>1.8447595005017745</v>
      </c>
      <c r="F651">
        <f t="shared" si="121"/>
        <v>-3.2536265595483949E-2</v>
      </c>
      <c r="G651">
        <f t="shared" si="124"/>
        <v>-2.9999999999996696E-3</v>
      </c>
      <c r="H651">
        <f>IF(MOD(COUNTA($C$7:C651)-1,$J$2),H650,ROUND(F651*P651,-2))</f>
        <v>-300</v>
      </c>
      <c r="I651">
        <f t="shared" si="125"/>
        <v>0</v>
      </c>
      <c r="J651">
        <f t="shared" si="126"/>
        <v>0</v>
      </c>
      <c r="K651">
        <f t="shared" si="127"/>
        <v>904.15682109786906</v>
      </c>
      <c r="L651">
        <f t="shared" si="128"/>
        <v>219.85682109786899</v>
      </c>
      <c r="M651">
        <f t="shared" si="129"/>
        <v>0.89999999999986358</v>
      </c>
      <c r="N651">
        <f t="shared" si="131"/>
        <v>219.85682109786899</v>
      </c>
      <c r="O651" s="5">
        <f t="shared" si="122"/>
        <v>3.5787303959733396E-3</v>
      </c>
      <c r="P651">
        <f t="shared" si="130"/>
        <v>10000</v>
      </c>
      <c r="Q651">
        <f t="shared" si="123"/>
        <v>35.787303959733393</v>
      </c>
    </row>
    <row r="652" spans="1:17" x14ac:dyDescent="0.15">
      <c r="A652" s="10">
        <v>45891.472222222015</v>
      </c>
      <c r="B652">
        <f>COUNT(A652:$A$1158)/(48*252)</f>
        <v>4.1914682539682536E-2</v>
      </c>
      <c r="C652">
        <v>2.282</v>
      </c>
      <c r="D652">
        <v>0.1</v>
      </c>
      <c r="E652">
        <f t="shared" si="120"/>
        <v>1.8501593233205074</v>
      </c>
      <c r="F652">
        <f t="shared" si="121"/>
        <v>-3.2145294872517161E-2</v>
      </c>
      <c r="G652">
        <f t="shared" si="124"/>
        <v>9.9999999999988987E-4</v>
      </c>
      <c r="H652">
        <f>IF(MOD(COUNTA($C$7:C652)-1,$J$2),H651,ROUND(F652*P652,-2))</f>
        <v>-300</v>
      </c>
      <c r="I652">
        <f t="shared" si="125"/>
        <v>0</v>
      </c>
      <c r="J652">
        <f t="shared" si="126"/>
        <v>0</v>
      </c>
      <c r="K652">
        <f t="shared" si="127"/>
        <v>904.15682109786906</v>
      </c>
      <c r="L652">
        <f t="shared" si="128"/>
        <v>219.55682109786903</v>
      </c>
      <c r="M652">
        <f t="shared" si="129"/>
        <v>-0.29999999999995453</v>
      </c>
      <c r="N652">
        <f t="shared" si="131"/>
        <v>219.55682109786903</v>
      </c>
      <c r="O652" s="5">
        <f t="shared" si="122"/>
        <v>3.5273896658533227E-3</v>
      </c>
      <c r="P652">
        <f t="shared" si="130"/>
        <v>10000</v>
      </c>
      <c r="Q652">
        <f t="shared" si="123"/>
        <v>35.273896658533225</v>
      </c>
    </row>
    <row r="653" spans="1:17" x14ac:dyDescent="0.15">
      <c r="A653" s="10">
        <v>45891.475694444962</v>
      </c>
      <c r="B653">
        <f>COUNT(A653:$A$1158)/(48*252)</f>
        <v>4.1832010582010581E-2</v>
      </c>
      <c r="C653">
        <v>2.2829999999999999</v>
      </c>
      <c r="D653">
        <v>0.10100000000000001</v>
      </c>
      <c r="E653">
        <f t="shared" si="120"/>
        <v>1.8555699775678292</v>
      </c>
      <c r="F653">
        <f t="shared" si="121"/>
        <v>-3.1757438139843774E-2</v>
      </c>
      <c r="G653">
        <f t="shared" si="124"/>
        <v>9.9999999999988987E-4</v>
      </c>
      <c r="H653">
        <f>IF(MOD(COUNTA($C$7:C653)-1,$J$2),H652,ROUND(F653*P653,-2))</f>
        <v>-300</v>
      </c>
      <c r="I653">
        <f t="shared" si="125"/>
        <v>0</v>
      </c>
      <c r="J653">
        <f t="shared" si="126"/>
        <v>0</v>
      </c>
      <c r="K653">
        <f t="shared" si="127"/>
        <v>904.15682109786906</v>
      </c>
      <c r="L653">
        <f t="shared" si="128"/>
        <v>219.25682109786908</v>
      </c>
      <c r="M653">
        <f t="shared" si="129"/>
        <v>-0.29999999999995453</v>
      </c>
      <c r="N653">
        <f t="shared" si="131"/>
        <v>219.25682109786908</v>
      </c>
      <c r="O653" s="5">
        <f t="shared" si="122"/>
        <v>3.4765999871655268E-3</v>
      </c>
      <c r="P653">
        <f t="shared" si="130"/>
        <v>10000</v>
      </c>
      <c r="Q653">
        <f t="shared" si="123"/>
        <v>34.765999871655268</v>
      </c>
    </row>
    <row r="654" spans="1:17" x14ac:dyDescent="0.15">
      <c r="A654" s="10">
        <v>45891.479166666977</v>
      </c>
      <c r="B654">
        <f>COUNT(A654:$A$1158)/(48*252)</f>
        <v>4.1749338624338626E-2</v>
      </c>
      <c r="C654">
        <v>2.2810000000000001</v>
      </c>
      <c r="D654">
        <v>9.9000000000000005E-2</v>
      </c>
      <c r="E654">
        <f t="shared" si="120"/>
        <v>1.8498182140142492</v>
      </c>
      <c r="F654">
        <f t="shared" si="121"/>
        <v>-3.2169877382864032E-2</v>
      </c>
      <c r="G654">
        <f t="shared" si="124"/>
        <v>-1.9999999999997797E-3</v>
      </c>
      <c r="H654">
        <f>IF(MOD(COUNTA($C$7:C654)-1,$J$2),H653,ROUND(F654*P654,-2))</f>
        <v>-300</v>
      </c>
      <c r="I654">
        <f t="shared" si="125"/>
        <v>0</v>
      </c>
      <c r="J654">
        <f t="shared" si="126"/>
        <v>0</v>
      </c>
      <c r="K654">
        <f t="shared" si="127"/>
        <v>904.15682109786906</v>
      </c>
      <c r="L654">
        <f t="shared" si="128"/>
        <v>219.85682109786899</v>
      </c>
      <c r="M654">
        <f t="shared" si="129"/>
        <v>0.59999999999990905</v>
      </c>
      <c r="N654">
        <f t="shared" si="131"/>
        <v>219.85682109786899</v>
      </c>
      <c r="O654" s="5">
        <f t="shared" si="122"/>
        <v>3.5216672196188015E-3</v>
      </c>
      <c r="P654">
        <f t="shared" si="130"/>
        <v>10000</v>
      </c>
      <c r="Q654">
        <f t="shared" si="123"/>
        <v>35.216672196188014</v>
      </c>
    </row>
    <row r="655" spans="1:17" x14ac:dyDescent="0.15">
      <c r="A655" s="10">
        <v>45891.545138888992</v>
      </c>
      <c r="B655">
        <f>COUNT(A655:$A$1158)/(48*252)</f>
        <v>4.1666666666666664E-2</v>
      </c>
      <c r="C655">
        <v>2.2799999999999998</v>
      </c>
      <c r="D655">
        <v>9.7000000000000003E-2</v>
      </c>
      <c r="E655">
        <f t="shared" si="120"/>
        <v>1.8477833564268022</v>
      </c>
      <c r="F655">
        <f t="shared" si="121"/>
        <v>-3.2316844787656951E-2</v>
      </c>
      <c r="G655">
        <f t="shared" si="124"/>
        <v>-1.000000000000334E-3</v>
      </c>
      <c r="H655">
        <f>IF(MOD(COUNTA($C$7:C655)-1,$J$2),H654,ROUND(F655*P655,-2))</f>
        <v>-300</v>
      </c>
      <c r="I655">
        <f t="shared" si="125"/>
        <v>0</v>
      </c>
      <c r="J655">
        <f t="shared" si="126"/>
        <v>0</v>
      </c>
      <c r="K655">
        <f t="shared" si="127"/>
        <v>904.15682109786906</v>
      </c>
      <c r="L655">
        <f t="shared" si="128"/>
        <v>220.15682109786917</v>
      </c>
      <c r="M655">
        <f t="shared" si="129"/>
        <v>0.3000000000001819</v>
      </c>
      <c r="N655">
        <f t="shared" si="131"/>
        <v>220.15682109786917</v>
      </c>
      <c r="O655" s="5">
        <f t="shared" si="122"/>
        <v>3.5349087751687519E-3</v>
      </c>
      <c r="P655">
        <f t="shared" si="130"/>
        <v>10000</v>
      </c>
      <c r="Q655">
        <f t="shared" si="123"/>
        <v>35.34908775168752</v>
      </c>
    </row>
    <row r="656" spans="1:17" x14ac:dyDescent="0.15">
      <c r="A656" s="10">
        <v>45891.548611111008</v>
      </c>
      <c r="B656">
        <f>COUNT(A656:$A$1158)/(48*252)</f>
        <v>4.1583994708994709E-2</v>
      </c>
      <c r="C656">
        <v>2.2799999999999998</v>
      </c>
      <c r="D656">
        <v>9.8000000000000004E-2</v>
      </c>
      <c r="E656">
        <f t="shared" si="120"/>
        <v>1.849481381887466</v>
      </c>
      <c r="F656">
        <f t="shared" si="121"/>
        <v>-3.2194166877973052E-2</v>
      </c>
      <c r="G656">
        <f t="shared" si="124"/>
        <v>0</v>
      </c>
      <c r="H656">
        <f>IF(MOD(COUNTA($C$7:C656)-1,$J$2),H655,ROUND(F656*P656,-2))</f>
        <v>-300</v>
      </c>
      <c r="I656">
        <f t="shared" si="125"/>
        <v>0</v>
      </c>
      <c r="J656">
        <f t="shared" si="126"/>
        <v>0</v>
      </c>
      <c r="K656">
        <f t="shared" si="127"/>
        <v>904.15682109786906</v>
      </c>
      <c r="L656">
        <f t="shared" si="128"/>
        <v>220.15682109786917</v>
      </c>
      <c r="M656">
        <f t="shared" si="129"/>
        <v>0</v>
      </c>
      <c r="N656">
        <f t="shared" si="131"/>
        <v>220.15682109786917</v>
      </c>
      <c r="O656" s="5">
        <f t="shared" si="122"/>
        <v>3.515886225022774E-3</v>
      </c>
      <c r="P656">
        <f t="shared" si="130"/>
        <v>10000</v>
      </c>
      <c r="Q656">
        <f t="shared" si="123"/>
        <v>35.158862250227742</v>
      </c>
    </row>
    <row r="657" spans="1:17" x14ac:dyDescent="0.15">
      <c r="A657" s="10">
        <v>45891.552083333023</v>
      </c>
      <c r="B657">
        <f>COUNT(A657:$A$1158)/(48*252)</f>
        <v>4.1501322751322754E-2</v>
      </c>
      <c r="C657">
        <v>2.2759999999999998</v>
      </c>
      <c r="D657">
        <v>9.5000000000000001E-2</v>
      </c>
      <c r="E657">
        <f t="shared" si="120"/>
        <v>1.8362129095828159</v>
      </c>
      <c r="F657">
        <f t="shared" si="121"/>
        <v>-3.3163087061449548E-2</v>
      </c>
      <c r="G657">
        <f t="shared" si="124"/>
        <v>-4.0000000000000036E-3</v>
      </c>
      <c r="H657">
        <f>IF(MOD(COUNTA($C$7:C657)-1,$J$2),H656,ROUND(F657*P657,-2))</f>
        <v>-300</v>
      </c>
      <c r="I657">
        <f t="shared" si="125"/>
        <v>0</v>
      </c>
      <c r="J657">
        <f t="shared" si="126"/>
        <v>0</v>
      </c>
      <c r="K657">
        <f t="shared" si="127"/>
        <v>904.15682109786906</v>
      </c>
      <c r="L657">
        <f t="shared" si="128"/>
        <v>221.3568210978691</v>
      </c>
      <c r="M657">
        <f t="shared" si="129"/>
        <v>1.1999999999999318</v>
      </c>
      <c r="N657">
        <f t="shared" si="131"/>
        <v>221.3568210978691</v>
      </c>
      <c r="O657" s="5">
        <f t="shared" si="122"/>
        <v>3.6273627127542812E-3</v>
      </c>
      <c r="P657">
        <f t="shared" si="130"/>
        <v>10000</v>
      </c>
      <c r="Q657">
        <f t="shared" si="123"/>
        <v>36.273627127542809</v>
      </c>
    </row>
    <row r="658" spans="1:17" x14ac:dyDescent="0.15">
      <c r="A658" s="10">
        <v>45891.555555555969</v>
      </c>
      <c r="B658">
        <f>COUNT(A658:$A$1158)/(48*252)</f>
        <v>4.1418650793650792E-2</v>
      </c>
      <c r="C658">
        <v>2.2770000000000001</v>
      </c>
      <c r="D658">
        <v>9.5000000000000001E-2</v>
      </c>
      <c r="E658">
        <f t="shared" si="120"/>
        <v>1.8416555716612819</v>
      </c>
      <c r="F658">
        <f t="shared" si="121"/>
        <v>-3.2762773393940292E-2</v>
      </c>
      <c r="G658">
        <f t="shared" si="124"/>
        <v>1.000000000000334E-3</v>
      </c>
      <c r="H658">
        <f>IF(MOD(COUNTA($C$7:C658)-1,$J$2),H657,ROUND(F658*P658,-2))</f>
        <v>-300</v>
      </c>
      <c r="I658">
        <f t="shared" si="125"/>
        <v>0</v>
      </c>
      <c r="J658">
        <f t="shared" si="126"/>
        <v>0</v>
      </c>
      <c r="K658">
        <f t="shared" si="127"/>
        <v>904.15682109786906</v>
      </c>
      <c r="L658">
        <f t="shared" si="128"/>
        <v>221.05682109786903</v>
      </c>
      <c r="M658">
        <f t="shared" si="129"/>
        <v>-0.30000000000006821</v>
      </c>
      <c r="N658">
        <f t="shared" si="131"/>
        <v>221.05682109786903</v>
      </c>
      <c r="O658" s="5">
        <f t="shared" si="122"/>
        <v>3.5750258144169877E-3</v>
      </c>
      <c r="P658">
        <f t="shared" si="130"/>
        <v>10000</v>
      </c>
      <c r="Q658">
        <f t="shared" si="123"/>
        <v>35.750258144169877</v>
      </c>
    </row>
    <row r="659" spans="1:17" x14ac:dyDescent="0.15">
      <c r="A659" s="10">
        <v>45891.559027777985</v>
      </c>
      <c r="B659">
        <f>COUNT(A659:$A$1158)/(48*252)</f>
        <v>4.1335978835978837E-2</v>
      </c>
      <c r="C659">
        <v>2.2799999999999998</v>
      </c>
      <c r="D659">
        <v>9.7000000000000003E-2</v>
      </c>
      <c r="E659">
        <f t="shared" si="120"/>
        <v>1.854606813704502</v>
      </c>
      <c r="F659">
        <f t="shared" si="121"/>
        <v>-3.1826197208796869E-2</v>
      </c>
      <c r="G659">
        <f t="shared" si="124"/>
        <v>2.9999999999996696E-3</v>
      </c>
      <c r="H659">
        <f>IF(MOD(COUNTA($C$7:C659)-1,$J$2),H658,ROUND(F659*P659,-2))</f>
        <v>-300</v>
      </c>
      <c r="I659">
        <f t="shared" si="125"/>
        <v>0</v>
      </c>
      <c r="J659">
        <f t="shared" si="126"/>
        <v>0</v>
      </c>
      <c r="K659">
        <f t="shared" si="127"/>
        <v>904.15682109786906</v>
      </c>
      <c r="L659">
        <f t="shared" si="128"/>
        <v>220.15682109786917</v>
      </c>
      <c r="M659">
        <f t="shared" si="129"/>
        <v>-0.89999999999986358</v>
      </c>
      <c r="N659">
        <f t="shared" si="131"/>
        <v>220.15682109786917</v>
      </c>
      <c r="O659" s="5">
        <f t="shared" si="122"/>
        <v>3.4590623187361336E-3</v>
      </c>
      <c r="P659">
        <f t="shared" si="130"/>
        <v>10000</v>
      </c>
      <c r="Q659">
        <f t="shared" si="123"/>
        <v>34.590623187361338</v>
      </c>
    </row>
    <row r="660" spans="1:17" x14ac:dyDescent="0.15">
      <c r="A660" s="10">
        <v>45891.5625</v>
      </c>
      <c r="B660">
        <f>COUNT(A660:$A$1158)/(48*252)</f>
        <v>4.1253306878306875E-2</v>
      </c>
      <c r="C660">
        <v>2.278</v>
      </c>
      <c r="D660">
        <v>9.6000000000000002E-2</v>
      </c>
      <c r="E660">
        <f t="shared" si="120"/>
        <v>1.848820804503631</v>
      </c>
      <c r="F660">
        <f t="shared" si="121"/>
        <v>-3.2241846109466898E-2</v>
      </c>
      <c r="G660">
        <f t="shared" si="124"/>
        <v>-1.9999999999997797E-3</v>
      </c>
      <c r="H660">
        <f>IF(MOD(COUNTA($C$7:C660)-1,$J$2),H659,ROUND(F660*P660,-2))</f>
        <v>-300</v>
      </c>
      <c r="I660">
        <f t="shared" si="125"/>
        <v>0</v>
      </c>
      <c r="J660">
        <f t="shared" si="126"/>
        <v>0</v>
      </c>
      <c r="K660">
        <f t="shared" si="127"/>
        <v>904.15682109786906</v>
      </c>
      <c r="L660">
        <f t="shared" si="128"/>
        <v>220.75682109786908</v>
      </c>
      <c r="M660">
        <f t="shared" si="129"/>
        <v>0.59999999999990905</v>
      </c>
      <c r="N660">
        <f t="shared" si="131"/>
        <v>220.75682109786908</v>
      </c>
      <c r="O660" s="5">
        <f t="shared" si="122"/>
        <v>3.5041467296540313E-3</v>
      </c>
      <c r="P660">
        <f t="shared" si="130"/>
        <v>10000</v>
      </c>
      <c r="Q660">
        <f t="shared" si="123"/>
        <v>35.041467296540311</v>
      </c>
    </row>
    <row r="661" spans="1:17" x14ac:dyDescent="0.15">
      <c r="A661" s="10">
        <v>45891.565972222015</v>
      </c>
      <c r="B661">
        <f>COUNT(A661:$A$1158)/(48*252)</f>
        <v>4.117063492063492E-2</v>
      </c>
      <c r="C661">
        <v>2.2770000000000001</v>
      </c>
      <c r="D661">
        <v>9.5000000000000001E-2</v>
      </c>
      <c r="E661">
        <f t="shared" si="120"/>
        <v>1.8467788514539139</v>
      </c>
      <c r="F661">
        <f t="shared" si="121"/>
        <v>-3.2389599084292398E-2</v>
      </c>
      <c r="G661">
        <f t="shared" si="124"/>
        <v>-9.9999999999988987E-4</v>
      </c>
      <c r="H661">
        <f>IF(MOD(COUNTA($C$7:C661)-1,$J$2),H660,ROUND(F661*P661,-2))</f>
        <v>-300</v>
      </c>
      <c r="I661">
        <f t="shared" si="125"/>
        <v>0</v>
      </c>
      <c r="J661">
        <f t="shared" si="126"/>
        <v>0</v>
      </c>
      <c r="K661">
        <f t="shared" si="127"/>
        <v>904.15682109786906</v>
      </c>
      <c r="L661">
        <f t="shared" si="128"/>
        <v>221.05682109786903</v>
      </c>
      <c r="M661">
        <f t="shared" si="129"/>
        <v>0.29999999999995453</v>
      </c>
      <c r="N661">
        <f t="shared" si="131"/>
        <v>221.05682109786903</v>
      </c>
      <c r="O661" s="5">
        <f t="shared" si="122"/>
        <v>3.5173353056692225E-3</v>
      </c>
      <c r="P661">
        <f t="shared" si="130"/>
        <v>10000</v>
      </c>
      <c r="Q661">
        <f t="shared" si="123"/>
        <v>35.173353056692221</v>
      </c>
    </row>
    <row r="662" spans="1:17" x14ac:dyDescent="0.15">
      <c r="A662" s="10">
        <v>45891.569444444962</v>
      </c>
      <c r="B662">
        <f>COUNT(A662:$A$1158)/(48*252)</f>
        <v>4.1087962962962965E-2</v>
      </c>
      <c r="C662">
        <v>2.2749999999999999</v>
      </c>
      <c r="D662">
        <v>9.2999999999999999E-2</v>
      </c>
      <c r="E662">
        <f t="shared" si="120"/>
        <v>1.8409671657493272</v>
      </c>
      <c r="F662">
        <f t="shared" si="121"/>
        <v>-3.2813185250065935E-2</v>
      </c>
      <c r="G662">
        <f t="shared" si="124"/>
        <v>-2.0000000000002238E-3</v>
      </c>
      <c r="H662">
        <f>IF(MOD(COUNTA($C$7:C662)-1,$J$2),H661,ROUND(F662*P662,-2))</f>
        <v>-300</v>
      </c>
      <c r="I662">
        <f t="shared" si="125"/>
        <v>0</v>
      </c>
      <c r="J662">
        <f t="shared" si="126"/>
        <v>0</v>
      </c>
      <c r="K662">
        <f t="shared" si="127"/>
        <v>904.15682109786906</v>
      </c>
      <c r="L662">
        <f t="shared" si="128"/>
        <v>221.65682109786906</v>
      </c>
      <c r="M662">
        <f t="shared" si="129"/>
        <v>0.60000000000002274</v>
      </c>
      <c r="N662">
        <f t="shared" si="131"/>
        <v>221.65682109786906</v>
      </c>
      <c r="O662" s="5">
        <f t="shared" si="122"/>
        <v>3.5632643510999096E-3</v>
      </c>
      <c r="P662">
        <f t="shared" si="130"/>
        <v>10000</v>
      </c>
      <c r="Q662">
        <f t="shared" si="123"/>
        <v>35.632643510999095</v>
      </c>
    </row>
    <row r="663" spans="1:17" x14ac:dyDescent="0.15">
      <c r="A663" s="10">
        <v>45891.572916666977</v>
      </c>
      <c r="B663">
        <f>COUNT(A663:$A$1158)/(48*252)</f>
        <v>4.1005291005291003E-2</v>
      </c>
      <c r="C663">
        <v>2.274</v>
      </c>
      <c r="D663">
        <v>9.4E-2</v>
      </c>
      <c r="E663">
        <f t="shared" si="120"/>
        <v>1.8389119598929415</v>
      </c>
      <c r="F663">
        <f t="shared" si="121"/>
        <v>-3.2964068202159025E-2</v>
      </c>
      <c r="G663">
        <f t="shared" si="124"/>
        <v>-9.9999999999988987E-4</v>
      </c>
      <c r="H663">
        <f>IF(MOD(COUNTA($C$7:C663)-1,$J$2),H662,ROUND(F663*P663,-2))</f>
        <v>-300</v>
      </c>
      <c r="I663">
        <f t="shared" si="125"/>
        <v>0</v>
      </c>
      <c r="J663">
        <f t="shared" si="126"/>
        <v>0</v>
      </c>
      <c r="K663">
        <f t="shared" si="127"/>
        <v>904.15682109786906</v>
      </c>
      <c r="L663">
        <f t="shared" si="128"/>
        <v>221.95682109786901</v>
      </c>
      <c r="M663">
        <f t="shared" si="129"/>
        <v>0.29999999999995453</v>
      </c>
      <c r="N663">
        <f t="shared" si="131"/>
        <v>221.95682109786901</v>
      </c>
      <c r="O663" s="5">
        <f t="shared" si="122"/>
        <v>3.5767333756305392E-3</v>
      </c>
      <c r="P663">
        <f t="shared" si="130"/>
        <v>10000</v>
      </c>
      <c r="Q663">
        <f t="shared" si="123"/>
        <v>35.767333756305391</v>
      </c>
    </row>
    <row r="664" spans="1:17" x14ac:dyDescent="0.15">
      <c r="A664" s="10">
        <v>45891.576388888992</v>
      </c>
      <c r="B664">
        <f>COUNT(A664:$A$1158)/(48*252)</f>
        <v>4.0922619047619048E-2</v>
      </c>
      <c r="C664">
        <v>2.2730000000000001</v>
      </c>
      <c r="D664">
        <v>9.2999999999999999E-2</v>
      </c>
      <c r="E664">
        <f t="shared" si="120"/>
        <v>1.8368528163927271</v>
      </c>
      <c r="F664">
        <f t="shared" si="121"/>
        <v>-3.3115813197427846E-2</v>
      </c>
      <c r="G664">
        <f t="shared" si="124"/>
        <v>-9.9999999999988987E-4</v>
      </c>
      <c r="H664">
        <f>IF(MOD(COUNTA($C$7:C664)-1,$J$2),H663,ROUND(F664*P664,-2))</f>
        <v>-300</v>
      </c>
      <c r="I664">
        <f t="shared" si="125"/>
        <v>0</v>
      </c>
      <c r="J664">
        <f t="shared" si="126"/>
        <v>0</v>
      </c>
      <c r="K664">
        <f t="shared" si="127"/>
        <v>904.15682109786906</v>
      </c>
      <c r="L664">
        <f t="shared" si="128"/>
        <v>222.25682109786896</v>
      </c>
      <c r="M664">
        <f t="shared" si="129"/>
        <v>0.29999999999995453</v>
      </c>
      <c r="N664">
        <f t="shared" si="131"/>
        <v>222.25682109786896</v>
      </c>
      <c r="O664" s="5">
        <f t="shared" si="122"/>
        <v>3.5902689873453103E-3</v>
      </c>
      <c r="P664">
        <f t="shared" si="130"/>
        <v>10000</v>
      </c>
      <c r="Q664">
        <f t="shared" si="123"/>
        <v>35.902689873453106</v>
      </c>
    </row>
    <row r="665" spans="1:17" x14ac:dyDescent="0.15">
      <c r="A665" s="10">
        <v>45891.579861111008</v>
      </c>
      <c r="B665">
        <f>COUNT(A665:$A$1158)/(48*252)</f>
        <v>4.0839947089947093E-2</v>
      </c>
      <c r="C665">
        <v>2.2749999999999999</v>
      </c>
      <c r="D665">
        <v>9.4E-2</v>
      </c>
      <c r="E665">
        <f t="shared" si="120"/>
        <v>1.8461314604351549</v>
      </c>
      <c r="F665">
        <f t="shared" si="121"/>
        <v>-3.2436559905184015E-2</v>
      </c>
      <c r="G665">
        <f t="shared" si="124"/>
        <v>1.9999999999997797E-3</v>
      </c>
      <c r="H665">
        <f>IF(MOD(COUNTA($C$7:C665)-1,$J$2),H664,ROUND(F665*P665,-2))</f>
        <v>-300</v>
      </c>
      <c r="I665">
        <f t="shared" si="125"/>
        <v>0</v>
      </c>
      <c r="J665">
        <f t="shared" si="126"/>
        <v>0</v>
      </c>
      <c r="K665">
        <f t="shared" si="127"/>
        <v>904.15682109786906</v>
      </c>
      <c r="L665">
        <f t="shared" si="128"/>
        <v>221.65682109786906</v>
      </c>
      <c r="M665">
        <f t="shared" si="129"/>
        <v>-0.59999999999990905</v>
      </c>
      <c r="N665">
        <f t="shared" si="131"/>
        <v>221.65682109786906</v>
      </c>
      <c r="O665" s="5">
        <f t="shared" si="122"/>
        <v>3.5053187229727861E-3</v>
      </c>
      <c r="P665">
        <f t="shared" si="130"/>
        <v>10000</v>
      </c>
      <c r="Q665">
        <f t="shared" si="123"/>
        <v>35.053187229727861</v>
      </c>
    </row>
    <row r="666" spans="1:17" x14ac:dyDescent="0.15">
      <c r="A666" s="10">
        <v>45891.583333333023</v>
      </c>
      <c r="B666">
        <f>COUNT(A666:$A$1158)/(48*252)</f>
        <v>4.0757275132275131E-2</v>
      </c>
      <c r="C666">
        <v>2.274</v>
      </c>
      <c r="D666">
        <v>9.5000000000000001E-2</v>
      </c>
      <c r="E666">
        <f t="shared" si="120"/>
        <v>1.8440808923624108</v>
      </c>
      <c r="F666">
        <f t="shared" si="121"/>
        <v>-3.2585676069631808E-2</v>
      </c>
      <c r="G666">
        <f t="shared" si="124"/>
        <v>-9.9999999999988987E-4</v>
      </c>
      <c r="H666">
        <f>IF(MOD(COUNTA($C$7:C666)-1,$J$2),H665,ROUND(F666*P666,-2))</f>
        <v>-300</v>
      </c>
      <c r="I666">
        <f t="shared" si="125"/>
        <v>0</v>
      </c>
      <c r="J666">
        <f t="shared" si="126"/>
        <v>0</v>
      </c>
      <c r="K666">
        <f t="shared" si="127"/>
        <v>904.15682109786906</v>
      </c>
      <c r="L666">
        <f t="shared" si="128"/>
        <v>221.95682109786901</v>
      </c>
      <c r="M666">
        <f t="shared" si="129"/>
        <v>0.29999999999995453</v>
      </c>
      <c r="N666">
        <f t="shared" si="131"/>
        <v>221.95682109786901</v>
      </c>
      <c r="O666" s="5">
        <f t="shared" si="122"/>
        <v>3.518534834198922E-3</v>
      </c>
      <c r="P666">
        <f t="shared" si="130"/>
        <v>10000</v>
      </c>
      <c r="Q666">
        <f t="shared" si="123"/>
        <v>35.185348341989219</v>
      </c>
    </row>
    <row r="667" spans="1:17" x14ac:dyDescent="0.15">
      <c r="A667" s="10">
        <v>45891.586805555969</v>
      </c>
      <c r="B667">
        <f>COUNT(A667:$A$1158)/(48*252)</f>
        <v>4.0674603174603176E-2</v>
      </c>
      <c r="C667">
        <v>2.2719999999999998</v>
      </c>
      <c r="D667">
        <v>9.4E-2</v>
      </c>
      <c r="E667">
        <f t="shared" si="120"/>
        <v>1.8382364713508397</v>
      </c>
      <c r="F667">
        <f t="shared" si="121"/>
        <v>-3.3013783870114444E-2</v>
      </c>
      <c r="G667">
        <f t="shared" si="124"/>
        <v>-2.0000000000002238E-3</v>
      </c>
      <c r="H667">
        <f>IF(MOD(COUNTA($C$7:C667)-1,$J$2),H666,ROUND(F667*P667,-2))</f>
        <v>-300</v>
      </c>
      <c r="I667">
        <f t="shared" si="125"/>
        <v>0</v>
      </c>
      <c r="J667">
        <f t="shared" si="126"/>
        <v>0</v>
      </c>
      <c r="K667">
        <f t="shared" si="127"/>
        <v>904.15682109786906</v>
      </c>
      <c r="L667">
        <f t="shared" si="128"/>
        <v>222.55682109786915</v>
      </c>
      <c r="M667">
        <f t="shared" si="129"/>
        <v>0.60000000000013642</v>
      </c>
      <c r="N667">
        <f t="shared" si="131"/>
        <v>222.55682109786915</v>
      </c>
      <c r="O667" s="5">
        <f t="shared" si="122"/>
        <v>3.5646906862917688E-3</v>
      </c>
      <c r="P667">
        <f t="shared" si="130"/>
        <v>10000</v>
      </c>
      <c r="Q667">
        <f t="shared" si="123"/>
        <v>35.646906862917689</v>
      </c>
    </row>
    <row r="668" spans="1:17" x14ac:dyDescent="0.15">
      <c r="A668" s="10">
        <v>45891.590277777985</v>
      </c>
      <c r="B668">
        <f>COUNT(A668:$A$1158)/(48*252)</f>
        <v>4.0591931216931214E-2</v>
      </c>
      <c r="C668">
        <v>2.2770000000000001</v>
      </c>
      <c r="D668">
        <v>9.6000000000000002E-2</v>
      </c>
      <c r="E668">
        <f t="shared" si="120"/>
        <v>1.8589201787063732</v>
      </c>
      <c r="F668">
        <f t="shared" si="121"/>
        <v>-3.1519226710833181E-2</v>
      </c>
      <c r="G668">
        <f t="shared" si="124"/>
        <v>5.0000000000003375E-3</v>
      </c>
      <c r="H668">
        <f>IF(MOD(COUNTA($C$7:C668)-1,$J$2),H667,ROUND(F668*P668,-2))</f>
        <v>-300</v>
      </c>
      <c r="I668">
        <f t="shared" si="125"/>
        <v>0</v>
      </c>
      <c r="J668">
        <f t="shared" si="126"/>
        <v>0</v>
      </c>
      <c r="K668">
        <f t="shared" si="127"/>
        <v>904.15682109786906</v>
      </c>
      <c r="L668">
        <f t="shared" si="128"/>
        <v>221.05682109786903</v>
      </c>
      <c r="M668">
        <f t="shared" si="129"/>
        <v>-1.5000000000001137</v>
      </c>
      <c r="N668">
        <f t="shared" si="131"/>
        <v>221.05682109786903</v>
      </c>
      <c r="O668" s="5">
        <f t="shared" si="122"/>
        <v>3.3841700178332129E-3</v>
      </c>
      <c r="P668">
        <f t="shared" si="130"/>
        <v>10000</v>
      </c>
      <c r="Q668">
        <f t="shared" si="123"/>
        <v>33.841700178332133</v>
      </c>
    </row>
    <row r="669" spans="1:17" x14ac:dyDescent="0.15">
      <c r="A669" s="10">
        <v>45891.59375</v>
      </c>
      <c r="B669">
        <f>COUNT(A669:$A$1158)/(48*252)</f>
        <v>4.0509259259259259E-2</v>
      </c>
      <c r="C669">
        <v>2.2719999999999998</v>
      </c>
      <c r="D669">
        <v>9.4E-2</v>
      </c>
      <c r="E669">
        <f t="shared" si="120"/>
        <v>1.8417048707851564</v>
      </c>
      <c r="F669">
        <f t="shared" si="121"/>
        <v>-3.2759165678398983E-2</v>
      </c>
      <c r="G669">
        <f t="shared" si="124"/>
        <v>-5.0000000000003375E-3</v>
      </c>
      <c r="H669">
        <f>IF(MOD(COUNTA($C$7:C669)-1,$J$2),H668,ROUND(F669*P669,-2))</f>
        <v>-300</v>
      </c>
      <c r="I669">
        <f t="shared" si="125"/>
        <v>0</v>
      </c>
      <c r="J669">
        <f t="shared" si="126"/>
        <v>0</v>
      </c>
      <c r="K669">
        <f t="shared" si="127"/>
        <v>904.15682109786906</v>
      </c>
      <c r="L669">
        <f t="shared" si="128"/>
        <v>222.55682109786915</v>
      </c>
      <c r="M669">
        <f t="shared" si="129"/>
        <v>1.5000000000001137</v>
      </c>
      <c r="N669">
        <f t="shared" si="131"/>
        <v>222.55682109786915</v>
      </c>
      <c r="O669" s="5">
        <f t="shared" si="122"/>
        <v>3.5256774349256975E-3</v>
      </c>
      <c r="P669">
        <f t="shared" si="130"/>
        <v>10000</v>
      </c>
      <c r="Q669">
        <f t="shared" si="123"/>
        <v>35.256774349256972</v>
      </c>
    </row>
    <row r="670" spans="1:17" x14ac:dyDescent="0.15">
      <c r="A670" s="10">
        <v>45891.597222222015</v>
      </c>
      <c r="B670">
        <f>COUNT(A670:$A$1158)/(48*252)</f>
        <v>4.0426587301587304E-2</v>
      </c>
      <c r="C670">
        <v>2.2719999999999998</v>
      </c>
      <c r="D670">
        <v>9.2999999999999999E-2</v>
      </c>
      <c r="E670">
        <f t="shared" si="120"/>
        <v>1.8434472584773876</v>
      </c>
      <c r="F670">
        <f t="shared" si="121"/>
        <v>-3.2631867756466426E-2</v>
      </c>
      <c r="G670">
        <f t="shared" si="124"/>
        <v>0</v>
      </c>
      <c r="H670">
        <f>IF(MOD(COUNTA($C$7:C670)-1,$J$2),H669,ROUND(F670*P670,-2))</f>
        <v>-300</v>
      </c>
      <c r="I670">
        <f t="shared" si="125"/>
        <v>0</v>
      </c>
      <c r="J670">
        <f t="shared" si="126"/>
        <v>0</v>
      </c>
      <c r="K670">
        <f t="shared" si="127"/>
        <v>904.15682109786906</v>
      </c>
      <c r="L670">
        <f t="shared" si="128"/>
        <v>222.55682109786915</v>
      </c>
      <c r="M670">
        <f t="shared" si="129"/>
        <v>0</v>
      </c>
      <c r="N670">
        <f t="shared" si="131"/>
        <v>222.55682109786915</v>
      </c>
      <c r="O670" s="5">
        <f t="shared" si="122"/>
        <v>3.506233984284568E-3</v>
      </c>
      <c r="P670">
        <f t="shared" si="130"/>
        <v>10000</v>
      </c>
      <c r="Q670">
        <f t="shared" si="123"/>
        <v>35.062339842845681</v>
      </c>
    </row>
    <row r="671" spans="1:17" x14ac:dyDescent="0.15">
      <c r="A671" s="10">
        <v>45891.600694444962</v>
      </c>
      <c r="B671">
        <f>COUNT(A671:$A$1158)/(48*252)</f>
        <v>4.0343915343915342E-2</v>
      </c>
      <c r="C671">
        <v>2.2709999999999999</v>
      </c>
      <c r="D671">
        <v>9.2999999999999999E-2</v>
      </c>
      <c r="E671">
        <f t="shared" si="120"/>
        <v>1.8413880436561907</v>
      </c>
      <c r="F671">
        <f t="shared" si="121"/>
        <v>-3.278235683651598E-2</v>
      </c>
      <c r="G671">
        <f t="shared" si="124"/>
        <v>-9.9999999999988987E-4</v>
      </c>
      <c r="H671">
        <f>IF(MOD(COUNTA($C$7:C671)-1,$J$2),H670,ROUND(F671*P671,-2))</f>
        <v>-300</v>
      </c>
      <c r="I671">
        <f t="shared" si="125"/>
        <v>0</v>
      </c>
      <c r="J671">
        <f t="shared" si="126"/>
        <v>0</v>
      </c>
      <c r="K671">
        <f t="shared" si="127"/>
        <v>904.15682109786906</v>
      </c>
      <c r="L671">
        <f t="shared" si="128"/>
        <v>222.8568210978691</v>
      </c>
      <c r="M671">
        <f t="shared" si="129"/>
        <v>0.29999999999995453</v>
      </c>
      <c r="N671">
        <f t="shared" si="131"/>
        <v>222.8568210978691</v>
      </c>
      <c r="O671" s="5">
        <f t="shared" si="122"/>
        <v>3.5194761093346461E-3</v>
      </c>
      <c r="P671">
        <f t="shared" si="130"/>
        <v>10000</v>
      </c>
      <c r="Q671">
        <f t="shared" si="123"/>
        <v>35.194761093346457</v>
      </c>
    </row>
    <row r="672" spans="1:17" x14ac:dyDescent="0.15">
      <c r="A672" s="10">
        <v>45891.604166666977</v>
      </c>
      <c r="B672">
        <f>COUNT(A672:$A$1158)/(48*252)</f>
        <v>4.0261243386243387E-2</v>
      </c>
      <c r="C672">
        <v>2.2669999999999999</v>
      </c>
      <c r="D672">
        <v>9.1999999999999998E-2</v>
      </c>
      <c r="E672">
        <f t="shared" si="120"/>
        <v>1.8278767241447604</v>
      </c>
      <c r="F672">
        <f t="shared" si="121"/>
        <v>-3.378402751750853E-2</v>
      </c>
      <c r="G672">
        <f t="shared" si="124"/>
        <v>-4.0000000000000036E-3</v>
      </c>
      <c r="H672">
        <f>IF(MOD(COUNTA($C$7:C672)-1,$J$2),H671,ROUND(F672*P672,-2))</f>
        <v>-300</v>
      </c>
      <c r="I672">
        <f t="shared" si="125"/>
        <v>0</v>
      </c>
      <c r="J672">
        <f t="shared" si="126"/>
        <v>0</v>
      </c>
      <c r="K672">
        <f t="shared" si="127"/>
        <v>904.15682109786906</v>
      </c>
      <c r="L672">
        <f t="shared" si="128"/>
        <v>224.05682109786903</v>
      </c>
      <c r="M672">
        <f t="shared" si="129"/>
        <v>1.1999999999999318</v>
      </c>
      <c r="N672">
        <f t="shared" si="131"/>
        <v>224.05682109786903</v>
      </c>
      <c r="O672" s="5">
        <f t="shared" si="122"/>
        <v>3.6328555331474888E-3</v>
      </c>
      <c r="P672">
        <f t="shared" si="130"/>
        <v>10000</v>
      </c>
      <c r="Q672">
        <f t="shared" si="123"/>
        <v>36.328555331474888</v>
      </c>
    </row>
    <row r="673" spans="1:17" x14ac:dyDescent="0.15">
      <c r="A673" s="10">
        <v>45891.607638888992</v>
      </c>
      <c r="B673">
        <f>COUNT(A673:$A$1158)/(48*252)</f>
        <v>4.0178571428571432E-2</v>
      </c>
      <c r="C673">
        <v>2.2599999999999998</v>
      </c>
      <c r="D673">
        <v>8.6999999999999994E-2</v>
      </c>
      <c r="E673">
        <f t="shared" si="120"/>
        <v>1.8028172016101258</v>
      </c>
      <c r="F673">
        <f t="shared" si="121"/>
        <v>-3.5708463878917351E-2</v>
      </c>
      <c r="G673">
        <f t="shared" si="124"/>
        <v>-7.0000000000001172E-3</v>
      </c>
      <c r="H673">
        <f>IF(MOD(COUNTA($C$7:C673)-1,$J$2),H672,ROUND(F673*P673,-2))</f>
        <v>-400</v>
      </c>
      <c r="I673">
        <f t="shared" si="125"/>
        <v>-100</v>
      </c>
      <c r="J673">
        <f t="shared" si="126"/>
        <v>0</v>
      </c>
      <c r="K673">
        <f t="shared" si="127"/>
        <v>1130.1466510978689</v>
      </c>
      <c r="L673">
        <f t="shared" si="128"/>
        <v>226.14665109786904</v>
      </c>
      <c r="M673">
        <f t="shared" si="129"/>
        <v>2.0898300000000063</v>
      </c>
      <c r="N673">
        <f t="shared" si="131"/>
        <v>226.14665109786904</v>
      </c>
      <c r="O673" s="5">
        <f t="shared" si="122"/>
        <v>3.8556007450135238E-3</v>
      </c>
      <c r="P673">
        <f t="shared" si="130"/>
        <v>10000</v>
      </c>
      <c r="Q673">
        <f t="shared" si="123"/>
        <v>38.55600745013524</v>
      </c>
    </row>
    <row r="674" spans="1:17" x14ac:dyDescent="0.15">
      <c r="A674" s="10">
        <v>45891.611111111008</v>
      </c>
      <c r="B674">
        <f>COUNT(A674:$A$1158)/(48*252)</f>
        <v>4.009589947089947E-2</v>
      </c>
      <c r="C674">
        <v>2.262</v>
      </c>
      <c r="D674">
        <v>8.6999999999999994E-2</v>
      </c>
      <c r="E674">
        <f t="shared" si="120"/>
        <v>1.8122076390193811</v>
      </c>
      <c r="F674">
        <f t="shared" si="121"/>
        <v>-3.4977059585926784E-2</v>
      </c>
      <c r="G674">
        <f t="shared" si="124"/>
        <v>2.0000000000002238E-3</v>
      </c>
      <c r="H674">
        <f>IF(MOD(COUNTA($C$7:C674)-1,$J$2),H673,ROUND(F674*P674,-2))</f>
        <v>-400</v>
      </c>
      <c r="I674">
        <f t="shared" si="125"/>
        <v>0</v>
      </c>
      <c r="J674">
        <f t="shared" si="126"/>
        <v>0</v>
      </c>
      <c r="K674">
        <f t="shared" si="127"/>
        <v>1130.1466510978689</v>
      </c>
      <c r="L674">
        <f t="shared" si="128"/>
        <v>225.34665109786897</v>
      </c>
      <c r="M674">
        <f t="shared" si="129"/>
        <v>-0.80000000000006821</v>
      </c>
      <c r="N674">
        <f t="shared" si="131"/>
        <v>225.34665109786897</v>
      </c>
      <c r="O674" s="5">
        <f t="shared" si="122"/>
        <v>3.7642062265900444E-3</v>
      </c>
      <c r="P674">
        <f t="shared" si="130"/>
        <v>10000</v>
      </c>
      <c r="Q674">
        <f t="shared" si="123"/>
        <v>37.642062265900442</v>
      </c>
    </row>
    <row r="675" spans="1:17" x14ac:dyDescent="0.15">
      <c r="A675" s="10">
        <v>45891.614583333023</v>
      </c>
      <c r="B675">
        <f>COUNT(A675:$A$1158)/(48*252)</f>
        <v>4.0013227513227514E-2</v>
      </c>
      <c r="C675">
        <v>2.2629999999999999</v>
      </c>
      <c r="D675">
        <v>8.6999999999999994E-2</v>
      </c>
      <c r="E675">
        <f t="shared" si="120"/>
        <v>1.8177762885903461</v>
      </c>
      <c r="F675">
        <f t="shared" si="121"/>
        <v>-3.4549166068576498E-2</v>
      </c>
      <c r="G675">
        <f t="shared" si="124"/>
        <v>9.9999999999988987E-4</v>
      </c>
      <c r="H675">
        <f>IF(MOD(COUNTA($C$7:C675)-1,$J$2),H674,ROUND(F675*P675,-2))</f>
        <v>-300</v>
      </c>
      <c r="I675">
        <f t="shared" si="125"/>
        <v>100</v>
      </c>
      <c r="J675">
        <f t="shared" si="126"/>
        <v>0</v>
      </c>
      <c r="K675">
        <f t="shared" si="127"/>
        <v>903.83646759786893</v>
      </c>
      <c r="L675">
        <f t="shared" si="128"/>
        <v>224.93646759786895</v>
      </c>
      <c r="M675">
        <f t="shared" si="129"/>
        <v>-0.41018350000001647</v>
      </c>
      <c r="N675">
        <f t="shared" si="131"/>
        <v>224.93646759786895</v>
      </c>
      <c r="O675" s="5">
        <f t="shared" si="122"/>
        <v>3.7089758015880075E-3</v>
      </c>
      <c r="P675">
        <f t="shared" si="130"/>
        <v>10000</v>
      </c>
      <c r="Q675">
        <f t="shared" si="123"/>
        <v>37.089758015880072</v>
      </c>
    </row>
    <row r="676" spans="1:17" x14ac:dyDescent="0.15">
      <c r="A676" s="10">
        <v>45891.618055555969</v>
      </c>
      <c r="B676">
        <f>COUNT(A676:$A$1158)/(48*252)</f>
        <v>3.9930555555555552E-2</v>
      </c>
      <c r="C676">
        <v>2.2629999999999999</v>
      </c>
      <c r="D676">
        <v>8.7999999999999995E-2</v>
      </c>
      <c r="E676">
        <f t="shared" si="120"/>
        <v>1.8195164216914941</v>
      </c>
      <c r="F676">
        <f t="shared" si="121"/>
        <v>-3.4416339888121872E-2</v>
      </c>
      <c r="G676">
        <f t="shared" si="124"/>
        <v>0</v>
      </c>
      <c r="H676">
        <f>IF(MOD(COUNTA($C$7:C676)-1,$J$2),H675,ROUND(F676*P676,-2))</f>
        <v>-300</v>
      </c>
      <c r="I676">
        <f t="shared" si="125"/>
        <v>0</v>
      </c>
      <c r="J676">
        <f t="shared" si="126"/>
        <v>0</v>
      </c>
      <c r="K676">
        <f t="shared" si="127"/>
        <v>903.83646759786893</v>
      </c>
      <c r="L676">
        <f t="shared" si="128"/>
        <v>224.93646759786895</v>
      </c>
      <c r="M676">
        <f t="shared" si="129"/>
        <v>0</v>
      </c>
      <c r="N676">
        <f t="shared" si="131"/>
        <v>224.93646759786895</v>
      </c>
      <c r="O676" s="5">
        <f t="shared" si="122"/>
        <v>3.6886176629408879E-3</v>
      </c>
      <c r="P676">
        <f t="shared" si="130"/>
        <v>10000</v>
      </c>
      <c r="Q676">
        <f t="shared" si="123"/>
        <v>36.88617662940888</v>
      </c>
    </row>
    <row r="677" spans="1:17" x14ac:dyDescent="0.15">
      <c r="A677" s="10">
        <v>45891.621527777985</v>
      </c>
      <c r="B677">
        <f>COUNT(A677:$A$1158)/(48*252)</f>
        <v>3.9847883597883597E-2</v>
      </c>
      <c r="C677">
        <v>2.2599999999999998</v>
      </c>
      <c r="D677">
        <v>8.5999999999999993E-2</v>
      </c>
      <c r="E677">
        <f t="shared" si="120"/>
        <v>1.8097191321990873</v>
      </c>
      <c r="F677">
        <f t="shared" si="121"/>
        <v>-3.5169677017523826E-2</v>
      </c>
      <c r="G677">
        <f t="shared" si="124"/>
        <v>-3.0000000000001137E-3</v>
      </c>
      <c r="H677">
        <f>IF(MOD(COUNTA($C$7:C677)-1,$J$2),H676,ROUND(F677*P677,-2))</f>
        <v>-400</v>
      </c>
      <c r="I677">
        <f t="shared" si="125"/>
        <v>-100</v>
      </c>
      <c r="J677">
        <f t="shared" si="126"/>
        <v>0</v>
      </c>
      <c r="K677">
        <f t="shared" si="127"/>
        <v>1129.8262975978689</v>
      </c>
      <c r="L677">
        <f t="shared" si="128"/>
        <v>225.82629759786903</v>
      </c>
      <c r="M677">
        <f t="shared" si="129"/>
        <v>0.88983000000007451</v>
      </c>
      <c r="N677">
        <f t="shared" si="131"/>
        <v>225.82629759786903</v>
      </c>
      <c r="O677" s="5">
        <f t="shared" si="122"/>
        <v>3.7724774466414701E-3</v>
      </c>
      <c r="P677">
        <f t="shared" si="130"/>
        <v>10000</v>
      </c>
      <c r="Q677">
        <f t="shared" si="123"/>
        <v>37.724774466414701</v>
      </c>
    </row>
    <row r="678" spans="1:17" x14ac:dyDescent="0.15">
      <c r="A678" s="10">
        <v>45891.625</v>
      </c>
      <c r="B678">
        <f>COUNT(A678:$A$1158)/(48*252)</f>
        <v>3.9765211640211642E-2</v>
      </c>
      <c r="C678">
        <v>2.258</v>
      </c>
      <c r="D678">
        <v>8.5000000000000006E-2</v>
      </c>
      <c r="E678">
        <f t="shared" si="120"/>
        <v>1.8037465780660458</v>
      </c>
      <c r="F678">
        <f t="shared" si="121"/>
        <v>-3.5635522021905675E-2</v>
      </c>
      <c r="G678">
        <f t="shared" si="124"/>
        <v>-1.9999999999997797E-3</v>
      </c>
      <c r="H678">
        <f>IF(MOD(COUNTA($C$7:C678)-1,$J$2),H677,ROUND(F678*P678,-2))</f>
        <v>-400</v>
      </c>
      <c r="I678">
        <f t="shared" si="125"/>
        <v>0</v>
      </c>
      <c r="J678">
        <f t="shared" si="126"/>
        <v>0</v>
      </c>
      <c r="K678">
        <f t="shared" si="127"/>
        <v>1129.8262975978689</v>
      </c>
      <c r="L678">
        <f t="shared" si="128"/>
        <v>226.62629759786887</v>
      </c>
      <c r="M678">
        <f t="shared" si="129"/>
        <v>0.79999999999984084</v>
      </c>
      <c r="N678">
        <f t="shared" si="131"/>
        <v>226.62629759786887</v>
      </c>
      <c r="O678" s="5">
        <f t="shared" si="122"/>
        <v>3.822473272148727E-3</v>
      </c>
      <c r="P678">
        <f t="shared" si="130"/>
        <v>10000</v>
      </c>
      <c r="Q678">
        <f t="shared" si="123"/>
        <v>38.224732721487271</v>
      </c>
    </row>
    <row r="679" spans="1:17" x14ac:dyDescent="0.15">
      <c r="A679" s="10">
        <v>45892.399305555969</v>
      </c>
      <c r="B679">
        <f>COUNT(A679:$A$1158)/(48*252)</f>
        <v>3.968253968253968E-2</v>
      </c>
      <c r="C679">
        <v>2.2559999999999998</v>
      </c>
      <c r="D679">
        <v>8.5999999999999993E-2</v>
      </c>
      <c r="E679">
        <f t="shared" si="120"/>
        <v>1.7977567043144678</v>
      </c>
      <c r="F679">
        <f t="shared" si="121"/>
        <v>-3.6107785571353856E-2</v>
      </c>
      <c r="G679">
        <f t="shared" si="124"/>
        <v>-2.0000000000002238E-3</v>
      </c>
      <c r="H679">
        <f>IF(MOD(COUNTA($C$7:C679)-1,$J$2),H678,ROUND(F679*P679,-2))</f>
        <v>-400</v>
      </c>
      <c r="I679">
        <f t="shared" si="125"/>
        <v>0</v>
      </c>
      <c r="J679">
        <f t="shared" si="126"/>
        <v>0</v>
      </c>
      <c r="K679">
        <f t="shared" si="127"/>
        <v>1129.8262975978689</v>
      </c>
      <c r="L679">
        <f t="shared" si="128"/>
        <v>227.42629759786905</v>
      </c>
      <c r="M679">
        <f t="shared" si="129"/>
        <v>0.8000000000001819</v>
      </c>
      <c r="N679">
        <f t="shared" si="131"/>
        <v>227.42629759786905</v>
      </c>
      <c r="O679" s="5">
        <f t="shared" si="122"/>
        <v>3.8731785390990897E-3</v>
      </c>
      <c r="P679">
        <f t="shared" si="130"/>
        <v>10000</v>
      </c>
      <c r="Q679">
        <f t="shared" si="123"/>
        <v>38.7317853909909</v>
      </c>
    </row>
    <row r="680" spans="1:17" x14ac:dyDescent="0.15">
      <c r="A680" s="10">
        <v>45892.402777777985</v>
      </c>
      <c r="B680">
        <f>COUNT(A680:$A$1158)/(48*252)</f>
        <v>3.9599867724867725E-2</v>
      </c>
      <c r="C680">
        <v>2.2639999999999998</v>
      </c>
      <c r="D680">
        <v>8.6999999999999994E-2</v>
      </c>
      <c r="E680">
        <f t="shared" si="120"/>
        <v>1.8303891088389077</v>
      </c>
      <c r="F680">
        <f t="shared" si="121"/>
        <v>-3.3595887562186899E-2</v>
      </c>
      <c r="G680">
        <f t="shared" si="124"/>
        <v>8.0000000000000071E-3</v>
      </c>
      <c r="H680">
        <f>IF(MOD(COUNTA($C$7:C680)-1,$J$2),H679,ROUND(F680*P680,-2))</f>
        <v>-400</v>
      </c>
      <c r="I680">
        <f t="shared" si="125"/>
        <v>0</v>
      </c>
      <c r="J680">
        <f t="shared" si="126"/>
        <v>0</v>
      </c>
      <c r="K680">
        <f t="shared" si="127"/>
        <v>1129.8262975978689</v>
      </c>
      <c r="L680">
        <f t="shared" si="128"/>
        <v>224.22629759786901</v>
      </c>
      <c r="M680">
        <f t="shared" si="129"/>
        <v>-3.2000000000000455</v>
      </c>
      <c r="N680">
        <f t="shared" si="131"/>
        <v>224.22629759786901</v>
      </c>
      <c r="O680" s="5">
        <f t="shared" si="122"/>
        <v>3.5738769252429831E-3</v>
      </c>
      <c r="P680">
        <f t="shared" si="130"/>
        <v>10000</v>
      </c>
      <c r="Q680">
        <f t="shared" si="123"/>
        <v>35.738769252429833</v>
      </c>
    </row>
    <row r="681" spans="1:17" x14ac:dyDescent="0.15">
      <c r="A681" s="10">
        <v>45892.40625</v>
      </c>
      <c r="B681">
        <f>COUNT(A681:$A$1158)/(48*252)</f>
        <v>3.951719576719577E-2</v>
      </c>
      <c r="C681">
        <v>2.2639999999999998</v>
      </c>
      <c r="D681">
        <v>8.6999999999999994E-2</v>
      </c>
      <c r="E681">
        <f t="shared" si="120"/>
        <v>1.8321613578596356</v>
      </c>
      <c r="F681">
        <f t="shared" si="121"/>
        <v>-3.3463692055664573E-2</v>
      </c>
      <c r="G681">
        <f t="shared" si="124"/>
        <v>0</v>
      </c>
      <c r="H681">
        <f>IF(MOD(COUNTA($C$7:C681)-1,$J$2),H680,ROUND(F681*P681,-2))</f>
        <v>-300</v>
      </c>
      <c r="I681">
        <f t="shared" si="125"/>
        <v>100</v>
      </c>
      <c r="J681">
        <f t="shared" si="126"/>
        <v>0</v>
      </c>
      <c r="K681">
        <f t="shared" si="127"/>
        <v>903.41610959786897</v>
      </c>
      <c r="L681">
        <f t="shared" si="128"/>
        <v>224.21610959786904</v>
      </c>
      <c r="M681">
        <f t="shared" si="129"/>
        <v>-1.0187999999970998E-2</v>
      </c>
      <c r="N681">
        <f t="shared" si="131"/>
        <v>224.21610959786904</v>
      </c>
      <c r="O681" s="5">
        <f t="shared" si="122"/>
        <v>3.5538680088341157E-3</v>
      </c>
      <c r="P681">
        <f t="shared" si="130"/>
        <v>10000</v>
      </c>
      <c r="Q681">
        <f t="shared" si="123"/>
        <v>35.53868008834116</v>
      </c>
    </row>
    <row r="682" spans="1:17" x14ac:dyDescent="0.15">
      <c r="A682" s="10">
        <v>45892.409722222015</v>
      </c>
      <c r="B682">
        <f>COUNT(A682:$A$1158)/(48*252)</f>
        <v>3.9434523809523808E-2</v>
      </c>
      <c r="C682">
        <v>2.2690000000000001</v>
      </c>
      <c r="D682">
        <v>8.8999999999999996E-2</v>
      </c>
      <c r="E682">
        <f t="shared" si="120"/>
        <v>1.8532355362200046</v>
      </c>
      <c r="F682">
        <f t="shared" si="121"/>
        <v>-3.1924303142501498E-2</v>
      </c>
      <c r="G682">
        <f t="shared" si="124"/>
        <v>5.0000000000003375E-3</v>
      </c>
      <c r="H682">
        <f>IF(MOD(COUNTA($C$7:C682)-1,$J$2),H681,ROUND(F682*P682,-2))</f>
        <v>-300</v>
      </c>
      <c r="I682">
        <f t="shared" si="125"/>
        <v>0</v>
      </c>
      <c r="J682">
        <f t="shared" si="126"/>
        <v>0</v>
      </c>
      <c r="K682">
        <f t="shared" si="127"/>
        <v>903.41610959786897</v>
      </c>
      <c r="L682">
        <f t="shared" si="128"/>
        <v>222.71610959786892</v>
      </c>
      <c r="M682">
        <f t="shared" si="129"/>
        <v>-1.5000000000001137</v>
      </c>
      <c r="N682">
        <f t="shared" si="131"/>
        <v>222.71610959786892</v>
      </c>
      <c r="O682" s="5">
        <f t="shared" si="122"/>
        <v>3.370785472727858E-3</v>
      </c>
      <c r="P682">
        <f t="shared" si="130"/>
        <v>10000</v>
      </c>
      <c r="Q682">
        <f t="shared" si="123"/>
        <v>33.70785472727858</v>
      </c>
    </row>
    <row r="683" spans="1:17" x14ac:dyDescent="0.15">
      <c r="A683" s="10">
        <v>45892.413194444962</v>
      </c>
      <c r="B683">
        <f>COUNT(A683:$A$1158)/(48*252)</f>
        <v>3.9351851851851853E-2</v>
      </c>
      <c r="C683">
        <v>2.266</v>
      </c>
      <c r="D683">
        <v>8.7999999999999995E-2</v>
      </c>
      <c r="E683">
        <f t="shared" si="120"/>
        <v>1.843454743143351</v>
      </c>
      <c r="F683">
        <f t="shared" si="121"/>
        <v>-3.263132181195727E-2</v>
      </c>
      <c r="G683">
        <f t="shared" si="124"/>
        <v>-3.0000000000001137E-3</v>
      </c>
      <c r="H683">
        <f>IF(MOD(COUNTA($C$7:C683)-1,$J$2),H682,ROUND(F683*P683,-2))</f>
        <v>-300</v>
      </c>
      <c r="I683">
        <f t="shared" si="125"/>
        <v>0</v>
      </c>
      <c r="J683">
        <f t="shared" si="126"/>
        <v>0</v>
      </c>
      <c r="K683">
        <f t="shared" si="127"/>
        <v>903.41610959786897</v>
      </c>
      <c r="L683">
        <f t="shared" si="128"/>
        <v>223.61610959786901</v>
      </c>
      <c r="M683">
        <f t="shared" si="129"/>
        <v>0.90000000000009095</v>
      </c>
      <c r="N683">
        <f t="shared" si="131"/>
        <v>223.61610959786901</v>
      </c>
      <c r="O683" s="5">
        <f t="shared" si="122"/>
        <v>3.4481523188483187E-3</v>
      </c>
      <c r="P683">
        <f t="shared" si="130"/>
        <v>10000</v>
      </c>
      <c r="Q683">
        <f t="shared" si="123"/>
        <v>34.481523188483187</v>
      </c>
    </row>
    <row r="684" spans="1:17" x14ac:dyDescent="0.15">
      <c r="A684" s="10">
        <v>45892.416666666977</v>
      </c>
      <c r="B684">
        <f>COUNT(A684:$A$1158)/(48*252)</f>
        <v>3.9269179894179891E-2</v>
      </c>
      <c r="C684">
        <v>2.2669999999999999</v>
      </c>
      <c r="D684">
        <v>8.5000000000000006E-2</v>
      </c>
      <c r="E684">
        <f t="shared" si="120"/>
        <v>1.8491197290952535</v>
      </c>
      <c r="F684">
        <f t="shared" si="121"/>
        <v>-3.2220263080892764E-2</v>
      </c>
      <c r="G684">
        <f t="shared" si="124"/>
        <v>9.9999999999988987E-4</v>
      </c>
      <c r="H684">
        <f>IF(MOD(COUNTA($C$7:C684)-1,$J$2),H683,ROUND(F684*P684,-2))</f>
        <v>-300</v>
      </c>
      <c r="I684">
        <f t="shared" si="125"/>
        <v>0</v>
      </c>
      <c r="J684">
        <f t="shared" si="126"/>
        <v>0</v>
      </c>
      <c r="K684">
        <f t="shared" si="127"/>
        <v>903.41610959786897</v>
      </c>
      <c r="L684">
        <f t="shared" si="128"/>
        <v>223.31610959786894</v>
      </c>
      <c r="M684">
        <f t="shared" si="129"/>
        <v>-0.30000000000006821</v>
      </c>
      <c r="N684">
        <f t="shared" si="131"/>
        <v>223.31610959786894</v>
      </c>
      <c r="O684" s="5">
        <f t="shared" si="122"/>
        <v>3.3961779381753016E-3</v>
      </c>
      <c r="P684">
        <f t="shared" si="130"/>
        <v>10000</v>
      </c>
      <c r="Q684">
        <f t="shared" si="123"/>
        <v>33.961779381753018</v>
      </c>
    </row>
    <row r="685" spans="1:17" x14ac:dyDescent="0.15">
      <c r="A685" s="10">
        <v>45892.420138888992</v>
      </c>
      <c r="B685">
        <f>COUNT(A685:$A$1158)/(48*252)</f>
        <v>3.9186507936507936E-2</v>
      </c>
      <c r="C685">
        <v>2.2669999999999999</v>
      </c>
      <c r="D685">
        <v>8.5000000000000006E-2</v>
      </c>
      <c r="E685">
        <f t="shared" si="120"/>
        <v>1.8509272707369315</v>
      </c>
      <c r="F685">
        <f t="shared" si="121"/>
        <v>-3.2090008439627837E-2</v>
      </c>
      <c r="G685">
        <f t="shared" si="124"/>
        <v>0</v>
      </c>
      <c r="H685">
        <f>IF(MOD(COUNTA($C$7:C685)-1,$J$2),H684,ROUND(F685*P685,-2))</f>
        <v>-300</v>
      </c>
      <c r="I685">
        <f t="shared" si="125"/>
        <v>0</v>
      </c>
      <c r="J685">
        <f t="shared" si="126"/>
        <v>0</v>
      </c>
      <c r="K685">
        <f t="shared" si="127"/>
        <v>903.41610959786897</v>
      </c>
      <c r="L685">
        <f t="shared" si="128"/>
        <v>223.31610959786894</v>
      </c>
      <c r="M685">
        <f t="shared" si="129"/>
        <v>0</v>
      </c>
      <c r="N685">
        <f t="shared" si="131"/>
        <v>223.31610959786894</v>
      </c>
      <c r="O685" s="5">
        <f t="shared" si="122"/>
        <v>3.3767384151999896E-3</v>
      </c>
      <c r="P685">
        <f t="shared" si="130"/>
        <v>10000</v>
      </c>
      <c r="Q685">
        <f t="shared" si="123"/>
        <v>33.767384151999899</v>
      </c>
    </row>
    <row r="686" spans="1:17" x14ac:dyDescent="0.15">
      <c r="A686" s="10">
        <v>45892.423611111008</v>
      </c>
      <c r="B686">
        <f>COUNT(A686:$A$1158)/(48*252)</f>
        <v>3.9103835978835981E-2</v>
      </c>
      <c r="C686">
        <v>2.2669999999999999</v>
      </c>
      <c r="D686">
        <v>8.6999999999999994E-2</v>
      </c>
      <c r="E686">
        <f t="shared" si="120"/>
        <v>1.8527406915190974</v>
      </c>
      <c r="F686">
        <f t="shared" si="121"/>
        <v>-3.195976731616601E-2</v>
      </c>
      <c r="G686">
        <f t="shared" si="124"/>
        <v>0</v>
      </c>
      <c r="H686">
        <f>IF(MOD(COUNTA($C$7:C686)-1,$J$2),H685,ROUND(F686*P686,-2))</f>
        <v>-300</v>
      </c>
      <c r="I686">
        <f t="shared" si="125"/>
        <v>0</v>
      </c>
      <c r="J686">
        <f t="shared" si="126"/>
        <v>0</v>
      </c>
      <c r="K686">
        <f t="shared" si="127"/>
        <v>903.41610959786897</v>
      </c>
      <c r="L686">
        <f t="shared" si="128"/>
        <v>223.31610959786894</v>
      </c>
      <c r="M686">
        <f t="shared" si="129"/>
        <v>0</v>
      </c>
      <c r="N686">
        <f t="shared" si="131"/>
        <v>223.31610959786894</v>
      </c>
      <c r="O686" s="5">
        <f t="shared" si="122"/>
        <v>3.3573431317180935E-3</v>
      </c>
      <c r="P686">
        <f t="shared" si="130"/>
        <v>10000</v>
      </c>
      <c r="Q686">
        <f t="shared" si="123"/>
        <v>33.573431317180933</v>
      </c>
    </row>
    <row r="687" spans="1:17" x14ac:dyDescent="0.15">
      <c r="A687" s="10">
        <v>45892.427083333023</v>
      </c>
      <c r="B687">
        <f>COUNT(A687:$A$1158)/(48*252)</f>
        <v>3.9021164021164019E-2</v>
      </c>
      <c r="C687">
        <v>2.266</v>
      </c>
      <c r="D687">
        <v>8.6999999999999994E-2</v>
      </c>
      <c r="E687">
        <f t="shared" si="120"/>
        <v>1.8506803949768695</v>
      </c>
      <c r="F687">
        <f t="shared" si="121"/>
        <v>-3.2107773067348466E-2</v>
      </c>
      <c r="G687">
        <f t="shared" si="124"/>
        <v>-9.9999999999988987E-4</v>
      </c>
      <c r="H687">
        <f>IF(MOD(COUNTA($C$7:C687)-1,$J$2),H686,ROUND(F687*P687,-2))</f>
        <v>-300</v>
      </c>
      <c r="I687">
        <f t="shared" si="125"/>
        <v>0</v>
      </c>
      <c r="J687">
        <f t="shared" si="126"/>
        <v>0</v>
      </c>
      <c r="K687">
        <f t="shared" si="127"/>
        <v>903.41610959786897</v>
      </c>
      <c r="L687">
        <f t="shared" si="128"/>
        <v>223.61610959786901</v>
      </c>
      <c r="M687">
        <f t="shared" si="129"/>
        <v>0.30000000000006821</v>
      </c>
      <c r="N687">
        <f t="shared" si="131"/>
        <v>223.61610959786901</v>
      </c>
      <c r="O687" s="5">
        <f t="shared" si="122"/>
        <v>3.3699606986262315E-3</v>
      </c>
      <c r="P687">
        <f t="shared" si="130"/>
        <v>10000</v>
      </c>
      <c r="Q687">
        <f t="shared" si="123"/>
        <v>33.699606986262317</v>
      </c>
    </row>
    <row r="688" spans="1:17" x14ac:dyDescent="0.15">
      <c r="A688" s="10">
        <v>45892.430555555969</v>
      </c>
      <c r="B688">
        <f>COUNT(A688:$A$1158)/(48*252)</f>
        <v>3.8938492063492064E-2</v>
      </c>
      <c r="C688">
        <v>2.2690000000000001</v>
      </c>
      <c r="D688">
        <v>8.8999999999999996E-2</v>
      </c>
      <c r="E688">
        <f t="shared" si="120"/>
        <v>1.864147647142349</v>
      </c>
      <c r="F688">
        <f t="shared" si="121"/>
        <v>-3.1150486480784334E-2</v>
      </c>
      <c r="G688">
        <f t="shared" si="124"/>
        <v>3.0000000000001137E-3</v>
      </c>
      <c r="H688">
        <f>IF(MOD(COUNTA($C$7:C688)-1,$J$2),H687,ROUND(F688*P688,-2))</f>
        <v>-300</v>
      </c>
      <c r="I688">
        <f t="shared" si="125"/>
        <v>0</v>
      </c>
      <c r="J688">
        <f t="shared" si="126"/>
        <v>0</v>
      </c>
      <c r="K688">
        <f t="shared" si="127"/>
        <v>903.41610959786897</v>
      </c>
      <c r="L688">
        <f t="shared" si="128"/>
        <v>222.71610959786892</v>
      </c>
      <c r="M688">
        <f t="shared" si="129"/>
        <v>-0.90000000000009095</v>
      </c>
      <c r="N688">
        <f t="shared" si="131"/>
        <v>222.71610959786892</v>
      </c>
      <c r="O688" s="5">
        <f t="shared" si="122"/>
        <v>3.2558373925458683E-3</v>
      </c>
      <c r="P688">
        <f t="shared" si="130"/>
        <v>10000</v>
      </c>
      <c r="Q688">
        <f t="shared" si="123"/>
        <v>32.558373925458682</v>
      </c>
    </row>
    <row r="689" spans="1:17" x14ac:dyDescent="0.15">
      <c r="A689" s="10">
        <v>45892.434027777985</v>
      </c>
      <c r="B689">
        <f>COUNT(A689:$A$1158)/(48*252)</f>
        <v>3.8855820105820109E-2</v>
      </c>
      <c r="C689">
        <v>2.2669999999999999</v>
      </c>
      <c r="D689">
        <v>8.7999999999999995E-2</v>
      </c>
      <c r="E689">
        <f t="shared" si="120"/>
        <v>1.8582165426936363</v>
      </c>
      <c r="F689">
        <f t="shared" si="121"/>
        <v>-3.1569134871850091E-2</v>
      </c>
      <c r="G689">
        <f t="shared" si="124"/>
        <v>-2.0000000000002238E-3</v>
      </c>
      <c r="H689">
        <f>IF(MOD(COUNTA($C$7:C689)-1,$J$2),H688,ROUND(F689*P689,-2))</f>
        <v>-300</v>
      </c>
      <c r="I689">
        <f t="shared" si="125"/>
        <v>0</v>
      </c>
      <c r="J689">
        <f t="shared" si="126"/>
        <v>0</v>
      </c>
      <c r="K689">
        <f t="shared" si="127"/>
        <v>903.41610959786897</v>
      </c>
      <c r="L689">
        <f t="shared" si="128"/>
        <v>223.31610959786894</v>
      </c>
      <c r="M689">
        <f t="shared" si="129"/>
        <v>0.60000000000002274</v>
      </c>
      <c r="N689">
        <f t="shared" si="131"/>
        <v>223.31610959786894</v>
      </c>
      <c r="O689" s="5">
        <f t="shared" si="122"/>
        <v>3.2994240282134407E-3</v>
      </c>
      <c r="P689">
        <f t="shared" si="130"/>
        <v>10000</v>
      </c>
      <c r="Q689">
        <f t="shared" si="123"/>
        <v>32.994240282134406</v>
      </c>
    </row>
    <row r="690" spans="1:17" x14ac:dyDescent="0.15">
      <c r="A690" s="10">
        <v>45892.4375</v>
      </c>
      <c r="B690">
        <f>COUNT(A690:$A$1158)/(48*252)</f>
        <v>3.8773148148148147E-2</v>
      </c>
      <c r="C690">
        <v>2.2669999999999999</v>
      </c>
      <c r="D690">
        <v>8.7999999999999995E-2</v>
      </c>
      <c r="E690">
        <f t="shared" si="120"/>
        <v>1.860053795196009</v>
      </c>
      <c r="F690">
        <f t="shared" si="121"/>
        <v>-3.143895767780347E-2</v>
      </c>
      <c r="G690">
        <f t="shared" si="124"/>
        <v>0</v>
      </c>
      <c r="H690">
        <f>IF(MOD(COUNTA($C$7:C690)-1,$J$2),H689,ROUND(F690*P690,-2))</f>
        <v>-300</v>
      </c>
      <c r="I690">
        <f t="shared" si="125"/>
        <v>0</v>
      </c>
      <c r="J690">
        <f t="shared" si="126"/>
        <v>0</v>
      </c>
      <c r="K690">
        <f t="shared" si="127"/>
        <v>903.41610959786897</v>
      </c>
      <c r="L690">
        <f t="shared" si="128"/>
        <v>223.31610959786894</v>
      </c>
      <c r="M690">
        <f t="shared" si="129"/>
        <v>0</v>
      </c>
      <c r="N690">
        <f t="shared" si="131"/>
        <v>223.31610959786894</v>
      </c>
      <c r="O690" s="5">
        <f t="shared" si="122"/>
        <v>3.2802070136862121E-3</v>
      </c>
      <c r="P690">
        <f t="shared" si="130"/>
        <v>10000</v>
      </c>
      <c r="Q690">
        <f t="shared" si="123"/>
        <v>32.80207013686212</v>
      </c>
    </row>
    <row r="691" spans="1:17" x14ac:dyDescent="0.15">
      <c r="A691" s="10">
        <v>45892.440972222015</v>
      </c>
      <c r="B691">
        <f>COUNT(A691:$A$1158)/(48*252)</f>
        <v>3.8690476190476192E-2</v>
      </c>
      <c r="C691">
        <v>2.2650000000000001</v>
      </c>
      <c r="D691">
        <v>8.7999999999999995E-2</v>
      </c>
      <c r="E691">
        <f t="shared" si="120"/>
        <v>1.8541030216611736</v>
      </c>
      <c r="F691">
        <f t="shared" si="121"/>
        <v>-3.186221125312827E-2</v>
      </c>
      <c r="G691">
        <f t="shared" si="124"/>
        <v>-1.9999999999997797E-3</v>
      </c>
      <c r="H691">
        <f>IF(MOD(COUNTA($C$7:C691)-1,$J$2),H690,ROUND(F691*P691,-2))</f>
        <v>-300</v>
      </c>
      <c r="I691">
        <f t="shared" si="125"/>
        <v>0</v>
      </c>
      <c r="J691">
        <f t="shared" si="126"/>
        <v>0</v>
      </c>
      <c r="K691">
        <f t="shared" si="127"/>
        <v>903.41610959786897</v>
      </c>
      <c r="L691">
        <f t="shared" si="128"/>
        <v>223.91610959786897</v>
      </c>
      <c r="M691">
        <f t="shared" si="129"/>
        <v>0.60000000000002274</v>
      </c>
      <c r="N691">
        <f t="shared" si="131"/>
        <v>223.91610959786897</v>
      </c>
      <c r="O691" s="5">
        <f t="shared" si="122"/>
        <v>3.3242044882627469E-3</v>
      </c>
      <c r="P691">
        <f t="shared" si="130"/>
        <v>10000</v>
      </c>
      <c r="Q691">
        <f t="shared" si="123"/>
        <v>33.242044882627468</v>
      </c>
    </row>
    <row r="692" spans="1:17" x14ac:dyDescent="0.15">
      <c r="A692" s="10">
        <v>45892.444444444962</v>
      </c>
      <c r="B692">
        <f>COUNT(A692:$A$1158)/(48*252)</f>
        <v>3.860780423280423E-2</v>
      </c>
      <c r="C692">
        <v>2.2690000000000001</v>
      </c>
      <c r="D692">
        <v>0.09</v>
      </c>
      <c r="E692">
        <f t="shared" si="120"/>
        <v>1.8715419702409812</v>
      </c>
      <c r="F692">
        <f t="shared" si="121"/>
        <v>-3.06349990822401E-2</v>
      </c>
      <c r="G692">
        <f t="shared" si="124"/>
        <v>4.0000000000000036E-3</v>
      </c>
      <c r="H692">
        <f>IF(MOD(COUNTA($C$7:C692)-1,$J$2),H691,ROUND(F692*P692,-2))</f>
        <v>-300</v>
      </c>
      <c r="I692">
        <f t="shared" si="125"/>
        <v>0</v>
      </c>
      <c r="J692">
        <f t="shared" si="126"/>
        <v>0</v>
      </c>
      <c r="K692">
        <f t="shared" si="127"/>
        <v>903.41610959786897</v>
      </c>
      <c r="L692">
        <f t="shared" si="128"/>
        <v>222.71610959786892</v>
      </c>
      <c r="M692">
        <f t="shared" si="129"/>
        <v>-1.2000000000000455</v>
      </c>
      <c r="N692">
        <f t="shared" si="131"/>
        <v>222.71610959786892</v>
      </c>
      <c r="O692" s="5">
        <f t="shared" si="122"/>
        <v>3.1800955447086748E-3</v>
      </c>
      <c r="P692">
        <f t="shared" si="130"/>
        <v>10000</v>
      </c>
      <c r="Q692">
        <f t="shared" si="123"/>
        <v>31.80095544708675</v>
      </c>
    </row>
    <row r="693" spans="1:17" x14ac:dyDescent="0.15">
      <c r="A693" s="10">
        <v>45892.447916666977</v>
      </c>
      <c r="B693">
        <f>COUNT(A693:$A$1158)/(48*252)</f>
        <v>3.8525132275132275E-2</v>
      </c>
      <c r="C693">
        <v>2.27</v>
      </c>
      <c r="D693">
        <v>0.09</v>
      </c>
      <c r="E693">
        <f t="shared" si="120"/>
        <v>1.8773051566172525</v>
      </c>
      <c r="F693">
        <f t="shared" si="121"/>
        <v>-3.0238140941493685E-2</v>
      </c>
      <c r="G693">
        <f t="shared" si="124"/>
        <v>9.9999999999988987E-4</v>
      </c>
      <c r="H693">
        <f>IF(MOD(COUNTA($C$7:C693)-1,$J$2),H692,ROUND(F693*P693,-2))</f>
        <v>-300</v>
      </c>
      <c r="I693">
        <f t="shared" si="125"/>
        <v>0</v>
      </c>
      <c r="J693">
        <f t="shared" si="126"/>
        <v>0</v>
      </c>
      <c r="K693">
        <f t="shared" si="127"/>
        <v>903.41610959786897</v>
      </c>
      <c r="L693">
        <f t="shared" si="128"/>
        <v>222.41610959786897</v>
      </c>
      <c r="M693">
        <f t="shared" si="129"/>
        <v>-0.29999999999995453</v>
      </c>
      <c r="N693">
        <f t="shared" si="131"/>
        <v>222.41610959786897</v>
      </c>
      <c r="O693" s="5">
        <f t="shared" si="122"/>
        <v>3.1309005558754488E-3</v>
      </c>
      <c r="P693">
        <f t="shared" si="130"/>
        <v>10000</v>
      </c>
      <c r="Q693">
        <f t="shared" si="123"/>
        <v>31.309005558754489</v>
      </c>
    </row>
    <row r="694" spans="1:17" x14ac:dyDescent="0.15">
      <c r="A694" s="10">
        <v>45892.451388888992</v>
      </c>
      <c r="B694">
        <f>COUNT(A694:$A$1158)/(48*252)</f>
        <v>3.844246031746032E-2</v>
      </c>
      <c r="C694">
        <v>2.2709999999999999</v>
      </c>
      <c r="D694">
        <v>9.0999999999999998E-2</v>
      </c>
      <c r="E694">
        <f t="shared" si="120"/>
        <v>1.8830811679621324</v>
      </c>
      <c r="F694">
        <f t="shared" si="121"/>
        <v>-2.9844684458633197E-2</v>
      </c>
      <c r="G694">
        <f t="shared" si="124"/>
        <v>9.9999999999988987E-4</v>
      </c>
      <c r="H694">
        <f>IF(MOD(COUNTA($C$7:C694)-1,$J$2),H693,ROUND(F694*P694,-2))</f>
        <v>-300</v>
      </c>
      <c r="I694">
        <f t="shared" si="125"/>
        <v>0</v>
      </c>
      <c r="J694">
        <f t="shared" si="126"/>
        <v>0</v>
      </c>
      <c r="K694">
        <f t="shared" si="127"/>
        <v>903.41610959786897</v>
      </c>
      <c r="L694">
        <f t="shared" si="128"/>
        <v>222.11610959786901</v>
      </c>
      <c r="M694">
        <f t="shared" si="129"/>
        <v>-0.29999999999995453</v>
      </c>
      <c r="N694">
        <f t="shared" si="131"/>
        <v>222.11610959786901</v>
      </c>
      <c r="O694" s="5">
        <f t="shared" si="122"/>
        <v>3.0822740915136398E-3</v>
      </c>
      <c r="P694">
        <f t="shared" si="130"/>
        <v>10000</v>
      </c>
      <c r="Q694">
        <f t="shared" si="123"/>
        <v>30.8227409151364</v>
      </c>
    </row>
    <row r="695" spans="1:17" x14ac:dyDescent="0.15">
      <c r="A695" s="10">
        <v>45892.454861111008</v>
      </c>
      <c r="B695">
        <f>COUNT(A695:$A$1158)/(48*252)</f>
        <v>3.8359788359788358E-2</v>
      </c>
      <c r="C695">
        <v>2.27</v>
      </c>
      <c r="D695">
        <v>8.8999999999999996E-2</v>
      </c>
      <c r="E695">
        <f t="shared" si="120"/>
        <v>1.8810597210525712</v>
      </c>
      <c r="F695">
        <f t="shared" si="121"/>
        <v>-2.9981897689623005E-2</v>
      </c>
      <c r="G695">
        <f t="shared" si="124"/>
        <v>-9.9999999999988987E-4</v>
      </c>
      <c r="H695">
        <f>IF(MOD(COUNTA($C$7:C695)-1,$J$2),H694,ROUND(F695*P695,-2))</f>
        <v>-300</v>
      </c>
      <c r="I695">
        <f t="shared" si="125"/>
        <v>0</v>
      </c>
      <c r="J695">
        <f t="shared" si="126"/>
        <v>0</v>
      </c>
      <c r="K695">
        <f t="shared" si="127"/>
        <v>903.41610959786897</v>
      </c>
      <c r="L695">
        <f t="shared" si="128"/>
        <v>222.41610959786897</v>
      </c>
      <c r="M695">
        <f t="shared" si="129"/>
        <v>0.29999999999995453</v>
      </c>
      <c r="N695">
        <f t="shared" si="131"/>
        <v>222.41610959786897</v>
      </c>
      <c r="O695" s="5">
        <f t="shared" si="122"/>
        <v>3.0936473212471172E-3</v>
      </c>
      <c r="P695">
        <f t="shared" si="130"/>
        <v>10000</v>
      </c>
      <c r="Q695">
        <f t="shared" si="123"/>
        <v>30.936473212471171</v>
      </c>
    </row>
    <row r="696" spans="1:17" x14ac:dyDescent="0.15">
      <c r="A696" s="10">
        <v>45892.458333333023</v>
      </c>
      <c r="B696">
        <f>COUNT(A696:$A$1158)/(48*252)</f>
        <v>3.8277116402116403E-2</v>
      </c>
      <c r="C696">
        <v>2.2709999999999999</v>
      </c>
      <c r="D696">
        <v>0.09</v>
      </c>
      <c r="E696">
        <f t="shared" si="120"/>
        <v>1.8868566040589192</v>
      </c>
      <c r="F696">
        <f t="shared" si="121"/>
        <v>-2.9589807653870204E-2</v>
      </c>
      <c r="G696">
        <f t="shared" si="124"/>
        <v>9.9999999999988987E-4</v>
      </c>
      <c r="H696">
        <f>IF(MOD(COUNTA($C$7:C696)-1,$J$2),H695,ROUND(F696*P696,-2))</f>
        <v>-300</v>
      </c>
      <c r="I696">
        <f t="shared" si="125"/>
        <v>0</v>
      </c>
      <c r="J696">
        <f t="shared" si="126"/>
        <v>0</v>
      </c>
      <c r="K696">
        <f t="shared" si="127"/>
        <v>903.41610959786897</v>
      </c>
      <c r="L696">
        <f t="shared" si="128"/>
        <v>222.11610959786901</v>
      </c>
      <c r="M696">
        <f t="shared" si="129"/>
        <v>-0.29999999999995453</v>
      </c>
      <c r="N696">
        <f t="shared" si="131"/>
        <v>222.11610959786901</v>
      </c>
      <c r="O696" s="5">
        <f t="shared" si="122"/>
        <v>3.0453672144094418E-3</v>
      </c>
      <c r="P696">
        <f t="shared" si="130"/>
        <v>10000</v>
      </c>
      <c r="Q696">
        <f t="shared" si="123"/>
        <v>30.453672144094419</v>
      </c>
    </row>
    <row r="697" spans="1:17" x14ac:dyDescent="0.15">
      <c r="A697" s="10">
        <v>45892.461805555969</v>
      </c>
      <c r="B697">
        <f>COUNT(A697:$A$1158)/(48*252)</f>
        <v>3.8194444444444448E-2</v>
      </c>
      <c r="C697">
        <v>2.27</v>
      </c>
      <c r="D697">
        <v>0.09</v>
      </c>
      <c r="E697">
        <f t="shared" si="120"/>
        <v>1.8848392600123767</v>
      </c>
      <c r="F697">
        <f t="shared" si="121"/>
        <v>-2.9725771333117712E-2</v>
      </c>
      <c r="G697">
        <f t="shared" si="124"/>
        <v>-9.9999999999988987E-4</v>
      </c>
      <c r="H697">
        <f>IF(MOD(COUNTA($C$7:C697)-1,$J$2),H696,ROUND(F697*P697,-2))</f>
        <v>-300</v>
      </c>
      <c r="I697">
        <f t="shared" si="125"/>
        <v>0</v>
      </c>
      <c r="J697">
        <f t="shared" si="126"/>
        <v>0</v>
      </c>
      <c r="K697">
        <f t="shared" si="127"/>
        <v>903.41610959786897</v>
      </c>
      <c r="L697">
        <f t="shared" si="128"/>
        <v>222.41610959786897</v>
      </c>
      <c r="M697">
        <f t="shared" si="129"/>
        <v>0.29999999999995453</v>
      </c>
      <c r="N697">
        <f t="shared" si="131"/>
        <v>222.41610959786897</v>
      </c>
      <c r="O697" s="5">
        <f t="shared" si="122"/>
        <v>3.0565759984400032E-3</v>
      </c>
      <c r="P697">
        <f t="shared" si="130"/>
        <v>10000</v>
      </c>
      <c r="Q697">
        <f t="shared" si="123"/>
        <v>30.565759984400032</v>
      </c>
    </row>
    <row r="698" spans="1:17" x14ac:dyDescent="0.15">
      <c r="A698" s="10">
        <v>45892.465277777985</v>
      </c>
      <c r="B698">
        <f>COUNT(A698:$A$1158)/(48*252)</f>
        <v>3.8111772486772486E-2</v>
      </c>
      <c r="C698">
        <v>2.278</v>
      </c>
      <c r="D698">
        <v>9.5000000000000001E-2</v>
      </c>
      <c r="E698">
        <f t="shared" si="120"/>
        <v>1.9180400616964366</v>
      </c>
      <c r="F698">
        <f t="shared" si="121"/>
        <v>-2.7552965783354311E-2</v>
      </c>
      <c r="G698">
        <f t="shared" si="124"/>
        <v>8.0000000000000071E-3</v>
      </c>
      <c r="H698">
        <f>IF(MOD(COUNTA($C$7:C698)-1,$J$2),H697,ROUND(F698*P698,-2))</f>
        <v>-300</v>
      </c>
      <c r="I698">
        <f t="shared" si="125"/>
        <v>0</v>
      </c>
      <c r="J698">
        <f t="shared" si="126"/>
        <v>0</v>
      </c>
      <c r="K698">
        <f t="shared" si="127"/>
        <v>903.41610959786897</v>
      </c>
      <c r="L698">
        <f t="shared" si="128"/>
        <v>220.01610959786899</v>
      </c>
      <c r="M698">
        <f t="shared" si="129"/>
        <v>-2.3999999999999773</v>
      </c>
      <c r="N698">
        <f t="shared" si="131"/>
        <v>220.01610959786899</v>
      </c>
      <c r="O698" s="5">
        <f t="shared" si="122"/>
        <v>2.8095919595544916E-3</v>
      </c>
      <c r="P698">
        <f t="shared" si="130"/>
        <v>10000</v>
      </c>
      <c r="Q698">
        <f t="shared" si="123"/>
        <v>28.095919595544917</v>
      </c>
    </row>
    <row r="699" spans="1:17" x14ac:dyDescent="0.15">
      <c r="A699" s="10">
        <v>45892.46875</v>
      </c>
      <c r="B699">
        <f>COUNT(A699:$A$1158)/(48*252)</f>
        <v>3.802910052910053E-2</v>
      </c>
      <c r="C699">
        <v>2.2770000000000001</v>
      </c>
      <c r="D699">
        <v>9.4E-2</v>
      </c>
      <c r="E699">
        <f t="shared" si="120"/>
        <v>1.916068707845334</v>
      </c>
      <c r="F699">
        <f t="shared" si="121"/>
        <v>-2.7678175362017776E-2</v>
      </c>
      <c r="G699">
        <f t="shared" si="124"/>
        <v>-9.9999999999988987E-4</v>
      </c>
      <c r="H699">
        <f>IF(MOD(COUNTA($C$7:C699)-1,$J$2),H698,ROUND(F699*P699,-2))</f>
        <v>-300</v>
      </c>
      <c r="I699">
        <f t="shared" si="125"/>
        <v>0</v>
      </c>
      <c r="J699">
        <f t="shared" si="126"/>
        <v>0</v>
      </c>
      <c r="K699">
        <f t="shared" si="127"/>
        <v>903.41610959786897</v>
      </c>
      <c r="L699">
        <f t="shared" si="128"/>
        <v>220.31610959786894</v>
      </c>
      <c r="M699">
        <f t="shared" si="129"/>
        <v>0.29999999999995453</v>
      </c>
      <c r="N699">
        <f t="shared" si="131"/>
        <v>220.31610959786894</v>
      </c>
      <c r="O699" s="5">
        <f t="shared" si="122"/>
        <v>2.8197275529118354E-3</v>
      </c>
      <c r="P699">
        <f t="shared" si="130"/>
        <v>10000</v>
      </c>
      <c r="Q699">
        <f t="shared" si="123"/>
        <v>28.197275529118354</v>
      </c>
    </row>
    <row r="700" spans="1:17" x14ac:dyDescent="0.15">
      <c r="A700" s="10">
        <v>45892.472222222015</v>
      </c>
      <c r="B700">
        <f>COUNT(A700:$A$1158)/(48*252)</f>
        <v>3.7946428571428568E-2</v>
      </c>
      <c r="C700">
        <v>2.2770000000000001</v>
      </c>
      <c r="D700">
        <v>9.5000000000000001E-2</v>
      </c>
      <c r="E700">
        <f t="shared" si="120"/>
        <v>1.9180105128900315</v>
      </c>
      <c r="F700">
        <f t="shared" si="121"/>
        <v>-2.7554839069744208E-2</v>
      </c>
      <c r="G700">
        <f t="shared" si="124"/>
        <v>0</v>
      </c>
      <c r="H700">
        <f>IF(MOD(COUNTA($C$7:C700)-1,$J$2),H699,ROUND(F700*P700,-2))</f>
        <v>-300</v>
      </c>
      <c r="I700">
        <f t="shared" si="125"/>
        <v>0</v>
      </c>
      <c r="J700">
        <f t="shared" si="126"/>
        <v>0</v>
      </c>
      <c r="K700">
        <f t="shared" si="127"/>
        <v>903.41610959786897</v>
      </c>
      <c r="L700">
        <f t="shared" si="128"/>
        <v>220.31610959786894</v>
      </c>
      <c r="M700">
        <f t="shared" si="129"/>
        <v>0</v>
      </c>
      <c r="N700">
        <f t="shared" si="131"/>
        <v>220.31610959786894</v>
      </c>
      <c r="O700" s="5">
        <f t="shared" si="122"/>
        <v>2.8022317672545261E-3</v>
      </c>
      <c r="P700">
        <f t="shared" si="130"/>
        <v>10000</v>
      </c>
      <c r="Q700">
        <f t="shared" si="123"/>
        <v>28.02231767254526</v>
      </c>
    </row>
    <row r="701" spans="1:17" x14ac:dyDescent="0.15">
      <c r="A701" s="10">
        <v>45892.475694444962</v>
      </c>
      <c r="B701">
        <f>COUNT(A701:$A$1158)/(48*252)</f>
        <v>3.7863756613756613E-2</v>
      </c>
      <c r="C701">
        <v>2.2799999999999998</v>
      </c>
      <c r="D701">
        <v>9.6000000000000002E-2</v>
      </c>
      <c r="E701">
        <f t="shared" si="120"/>
        <v>1.9317120366986962</v>
      </c>
      <c r="F701">
        <f t="shared" si="121"/>
        <v>-2.6697529142693299E-2</v>
      </c>
      <c r="G701">
        <f t="shared" si="124"/>
        <v>2.9999999999996696E-3</v>
      </c>
      <c r="H701">
        <f>IF(MOD(COUNTA($C$7:C701)-1,$J$2),H700,ROUND(F701*P701,-2))</f>
        <v>-300</v>
      </c>
      <c r="I701">
        <f t="shared" si="125"/>
        <v>0</v>
      </c>
      <c r="J701">
        <f t="shared" si="126"/>
        <v>0</v>
      </c>
      <c r="K701">
        <f t="shared" si="127"/>
        <v>903.41610959786897</v>
      </c>
      <c r="L701">
        <f t="shared" si="128"/>
        <v>219.41610959786908</v>
      </c>
      <c r="M701">
        <f t="shared" si="129"/>
        <v>-0.89999999999986358</v>
      </c>
      <c r="N701">
        <f t="shared" si="131"/>
        <v>219.41610959786908</v>
      </c>
      <c r="O701" s="5">
        <f t="shared" si="122"/>
        <v>2.7035925992508827E-3</v>
      </c>
      <c r="P701">
        <f t="shared" si="130"/>
        <v>10000</v>
      </c>
      <c r="Q701">
        <f t="shared" si="123"/>
        <v>27.035925992508826</v>
      </c>
    </row>
    <row r="702" spans="1:17" x14ac:dyDescent="0.15">
      <c r="A702" s="10">
        <v>45892.479166666977</v>
      </c>
      <c r="B702">
        <f>COUNT(A702:$A$1158)/(48*252)</f>
        <v>3.7781084656084658E-2</v>
      </c>
      <c r="C702">
        <v>2.2850000000000001</v>
      </c>
      <c r="D702">
        <v>0.1</v>
      </c>
      <c r="E702">
        <f t="shared" si="120"/>
        <v>1.9532554911612279</v>
      </c>
      <c r="F702">
        <f t="shared" si="121"/>
        <v>-2.5394664330831818E-2</v>
      </c>
      <c r="G702">
        <f t="shared" si="124"/>
        <v>5.0000000000003375E-3</v>
      </c>
      <c r="H702">
        <f>IF(MOD(COUNTA($C$7:C702)-1,$J$2),H701,ROUND(F702*P702,-2))</f>
        <v>-300</v>
      </c>
      <c r="I702">
        <f t="shared" si="125"/>
        <v>0</v>
      </c>
      <c r="J702">
        <f t="shared" si="126"/>
        <v>0</v>
      </c>
      <c r="K702">
        <f t="shared" si="127"/>
        <v>903.41610959786897</v>
      </c>
      <c r="L702">
        <f t="shared" si="128"/>
        <v>217.91610959786897</v>
      </c>
      <c r="M702">
        <f t="shared" si="129"/>
        <v>-1.5000000000001137</v>
      </c>
      <c r="N702">
        <f t="shared" si="131"/>
        <v>217.91610959786897</v>
      </c>
      <c r="O702" s="5">
        <f t="shared" si="122"/>
        <v>2.5566478893965516E-3</v>
      </c>
      <c r="P702">
        <f t="shared" si="130"/>
        <v>10000</v>
      </c>
      <c r="Q702">
        <f t="shared" si="123"/>
        <v>25.566478893965517</v>
      </c>
    </row>
    <row r="703" spans="1:17" x14ac:dyDescent="0.15">
      <c r="A703" s="10">
        <v>45892.545138888992</v>
      </c>
      <c r="B703">
        <f>COUNT(A703:$A$1158)/(48*252)</f>
        <v>3.7698412698412696E-2</v>
      </c>
      <c r="C703">
        <v>2.2869999999999999</v>
      </c>
      <c r="D703">
        <v>0.10199999999999999</v>
      </c>
      <c r="E703">
        <f t="shared" si="120"/>
        <v>1.9630781622646234</v>
      </c>
      <c r="F703">
        <f t="shared" si="121"/>
        <v>-2.4818546289922194E-2</v>
      </c>
      <c r="G703">
        <f t="shared" si="124"/>
        <v>1.9999999999997797E-3</v>
      </c>
      <c r="H703">
        <f>IF(MOD(COUNTA($C$7:C703)-1,$J$2),H702,ROUND(F703*P703,-2))</f>
        <v>-200</v>
      </c>
      <c r="I703">
        <f t="shared" si="125"/>
        <v>100</v>
      </c>
      <c r="J703">
        <f t="shared" si="126"/>
        <v>0</v>
      </c>
      <c r="K703">
        <f t="shared" si="127"/>
        <v>674.70581809786904</v>
      </c>
      <c r="L703">
        <f t="shared" si="128"/>
        <v>217.30581809786906</v>
      </c>
      <c r="M703">
        <f t="shared" si="129"/>
        <v>-0.61029149999990295</v>
      </c>
      <c r="N703">
        <f t="shared" si="131"/>
        <v>217.30581809786906</v>
      </c>
      <c r="O703" s="5">
        <f t="shared" si="122"/>
        <v>2.4901605063989973E-3</v>
      </c>
      <c r="P703">
        <f t="shared" si="130"/>
        <v>10000</v>
      </c>
      <c r="Q703">
        <f t="shared" si="123"/>
        <v>24.901605063989972</v>
      </c>
    </row>
    <row r="704" spans="1:17" x14ac:dyDescent="0.15">
      <c r="A704" s="10">
        <v>45892.548611111008</v>
      </c>
      <c r="B704">
        <f>COUNT(A704:$A$1158)/(48*252)</f>
        <v>3.7615740740740741E-2</v>
      </c>
      <c r="C704">
        <v>2.2869999999999999</v>
      </c>
      <c r="D704">
        <v>0.104</v>
      </c>
      <c r="E704">
        <f t="shared" si="120"/>
        <v>1.9650892940376128</v>
      </c>
      <c r="F704">
        <f t="shared" si="121"/>
        <v>-2.4701951753367091E-2</v>
      </c>
      <c r="G704">
        <f t="shared" si="124"/>
        <v>0</v>
      </c>
      <c r="H704">
        <f>IF(MOD(COUNTA($C$7:C704)-1,$J$2),H703,ROUND(F704*P704,-2))</f>
        <v>-200</v>
      </c>
      <c r="I704">
        <f t="shared" si="125"/>
        <v>0</v>
      </c>
      <c r="J704">
        <f t="shared" si="126"/>
        <v>0</v>
      </c>
      <c r="K704">
        <f t="shared" si="127"/>
        <v>674.70581809786904</v>
      </c>
      <c r="L704">
        <f t="shared" si="128"/>
        <v>217.30581809786906</v>
      </c>
      <c r="M704">
        <f t="shared" si="129"/>
        <v>0</v>
      </c>
      <c r="N704">
        <f t="shared" si="131"/>
        <v>217.30581809786906</v>
      </c>
      <c r="O704" s="5">
        <f t="shared" si="122"/>
        <v>2.4740473777929983E-3</v>
      </c>
      <c r="P704">
        <f t="shared" si="130"/>
        <v>10000</v>
      </c>
      <c r="Q704">
        <f t="shared" si="123"/>
        <v>24.740473777929985</v>
      </c>
    </row>
    <row r="705" spans="1:17" x14ac:dyDescent="0.15">
      <c r="A705" s="10">
        <v>45892.552083333023</v>
      </c>
      <c r="B705">
        <f>COUNT(A705:$A$1158)/(48*252)</f>
        <v>3.7533068783068786E-2</v>
      </c>
      <c r="C705">
        <v>2.2869999999999999</v>
      </c>
      <c r="D705">
        <v>0.10199999999999999</v>
      </c>
      <c r="E705">
        <f t="shared" si="120"/>
        <v>1.9671072263735945</v>
      </c>
      <c r="F705">
        <f t="shared" si="121"/>
        <v>-2.4585425169029729E-2</v>
      </c>
      <c r="G705">
        <f t="shared" si="124"/>
        <v>0</v>
      </c>
      <c r="H705">
        <f>IF(MOD(COUNTA($C$7:C705)-1,$J$2),H704,ROUND(F705*P705,-2))</f>
        <v>-200</v>
      </c>
      <c r="I705">
        <f t="shared" si="125"/>
        <v>0</v>
      </c>
      <c r="J705">
        <f t="shared" si="126"/>
        <v>0</v>
      </c>
      <c r="K705">
        <f t="shared" si="127"/>
        <v>674.70581809786904</v>
      </c>
      <c r="L705">
        <f t="shared" si="128"/>
        <v>217.30581809786906</v>
      </c>
      <c r="M705">
        <f t="shared" si="129"/>
        <v>0</v>
      </c>
      <c r="N705">
        <f t="shared" si="131"/>
        <v>217.30581809786906</v>
      </c>
      <c r="O705" s="5">
        <f t="shared" si="122"/>
        <v>2.4579799817164572E-3</v>
      </c>
      <c r="P705">
        <f t="shared" si="130"/>
        <v>10000</v>
      </c>
      <c r="Q705">
        <f t="shared" si="123"/>
        <v>24.57979981716457</v>
      </c>
    </row>
    <row r="706" spans="1:17" x14ac:dyDescent="0.15">
      <c r="A706" s="10">
        <v>45892.555555555969</v>
      </c>
      <c r="B706">
        <f>COUNT(A706:$A$1158)/(48*252)</f>
        <v>3.7450396825396824E-2</v>
      </c>
      <c r="C706">
        <v>2.2839999999999998</v>
      </c>
      <c r="D706">
        <v>0.10100000000000001</v>
      </c>
      <c r="E706">
        <f t="shared" si="120"/>
        <v>1.9573503023079639</v>
      </c>
      <c r="F706">
        <f t="shared" si="121"/>
        <v>-2.5153148600375874E-2</v>
      </c>
      <c r="G706">
        <f t="shared" si="124"/>
        <v>-3.0000000000001137E-3</v>
      </c>
      <c r="H706">
        <f>IF(MOD(COUNTA($C$7:C706)-1,$J$2),H705,ROUND(F706*P706,-2))</f>
        <v>-200</v>
      </c>
      <c r="I706">
        <f t="shared" si="125"/>
        <v>0</v>
      </c>
      <c r="J706">
        <f t="shared" si="126"/>
        <v>0</v>
      </c>
      <c r="K706">
        <f t="shared" si="127"/>
        <v>674.70581809786904</v>
      </c>
      <c r="L706">
        <f t="shared" si="128"/>
        <v>217.90581809786909</v>
      </c>
      <c r="M706">
        <f t="shared" si="129"/>
        <v>0.60000000000002274</v>
      </c>
      <c r="N706">
        <f t="shared" si="131"/>
        <v>217.90581809786909</v>
      </c>
      <c r="O706" s="5">
        <f t="shared" si="122"/>
        <v>2.5163874231693972E-3</v>
      </c>
      <c r="P706">
        <f t="shared" si="130"/>
        <v>10000</v>
      </c>
      <c r="Q706">
        <f t="shared" si="123"/>
        <v>25.163874231693974</v>
      </c>
    </row>
    <row r="707" spans="1:17" x14ac:dyDescent="0.15">
      <c r="A707" s="10">
        <v>45892.559027777985</v>
      </c>
      <c r="B707">
        <f>COUNT(A707:$A$1158)/(48*252)</f>
        <v>3.7367724867724869E-2</v>
      </c>
      <c r="C707">
        <v>2.286</v>
      </c>
      <c r="D707">
        <v>0.10299999999999999</v>
      </c>
      <c r="E707">
        <f t="shared" si="120"/>
        <v>1.9672337903119173</v>
      </c>
      <c r="F707">
        <f t="shared" si="121"/>
        <v>-2.4578132065453673E-2</v>
      </c>
      <c r="G707">
        <f t="shared" si="124"/>
        <v>2.0000000000002238E-3</v>
      </c>
      <c r="H707">
        <f>IF(MOD(COUNTA($C$7:C707)-1,$J$2),H706,ROUND(F707*P707,-2))</f>
        <v>-200</v>
      </c>
      <c r="I707">
        <f t="shared" si="125"/>
        <v>0</v>
      </c>
      <c r="J707">
        <f t="shared" si="126"/>
        <v>0</v>
      </c>
      <c r="K707">
        <f t="shared" si="127"/>
        <v>674.70581809786904</v>
      </c>
      <c r="L707">
        <f t="shared" si="128"/>
        <v>217.50581809786905</v>
      </c>
      <c r="M707">
        <f t="shared" si="129"/>
        <v>-0.40000000000003411</v>
      </c>
      <c r="N707">
        <f t="shared" si="131"/>
        <v>217.50581809786905</v>
      </c>
      <c r="O707" s="5">
        <f t="shared" si="122"/>
        <v>2.4504480351637756E-3</v>
      </c>
      <c r="P707">
        <f t="shared" si="130"/>
        <v>10000</v>
      </c>
      <c r="Q707">
        <f t="shared" si="123"/>
        <v>24.504480351637756</v>
      </c>
    </row>
    <row r="708" spans="1:17" x14ac:dyDescent="0.15">
      <c r="A708" s="10">
        <v>45892.5625</v>
      </c>
      <c r="B708">
        <f>COUNT(A708:$A$1158)/(48*252)</f>
        <v>3.7285052910052907E-2</v>
      </c>
      <c r="C708">
        <v>2.2919999999999998</v>
      </c>
      <c r="D708">
        <v>0.106</v>
      </c>
      <c r="E708">
        <f t="shared" si="120"/>
        <v>1.9928474763719084</v>
      </c>
      <c r="F708">
        <f t="shared" si="121"/>
        <v>-2.3139075603550219E-2</v>
      </c>
      <c r="G708">
        <f t="shared" si="124"/>
        <v>5.9999999999997833E-3</v>
      </c>
      <c r="H708">
        <f>IF(MOD(COUNTA($C$7:C708)-1,$J$2),H707,ROUND(F708*P708,-2))</f>
        <v>-200</v>
      </c>
      <c r="I708">
        <f t="shared" si="125"/>
        <v>0</v>
      </c>
      <c r="J708">
        <f t="shared" si="126"/>
        <v>0</v>
      </c>
      <c r="K708">
        <f t="shared" si="127"/>
        <v>674.70581809786904</v>
      </c>
      <c r="L708">
        <f t="shared" si="128"/>
        <v>216.30581809786906</v>
      </c>
      <c r="M708">
        <f t="shared" si="129"/>
        <v>-1.1999999999999886</v>
      </c>
      <c r="N708">
        <f t="shared" si="131"/>
        <v>216.30581809786906</v>
      </c>
      <c r="O708" s="5">
        <f t="shared" si="122"/>
        <v>2.291633758847729E-3</v>
      </c>
      <c r="P708">
        <f t="shared" si="130"/>
        <v>10000</v>
      </c>
      <c r="Q708">
        <f t="shared" si="123"/>
        <v>22.91633758847729</v>
      </c>
    </row>
    <row r="709" spans="1:17" x14ac:dyDescent="0.15">
      <c r="A709" s="10">
        <v>45892.565972222015</v>
      </c>
      <c r="B709">
        <f>COUNT(A709:$A$1158)/(48*252)</f>
        <v>3.7202380952380952E-2</v>
      </c>
      <c r="C709">
        <v>2.29</v>
      </c>
      <c r="D709">
        <v>0.104</v>
      </c>
      <c r="E709">
        <f t="shared" si="120"/>
        <v>1.9870531251456653</v>
      </c>
      <c r="F709">
        <f t="shared" si="121"/>
        <v>-2.345825499590759E-2</v>
      </c>
      <c r="G709">
        <f t="shared" si="124"/>
        <v>-1.9999999999997797E-3</v>
      </c>
      <c r="H709">
        <f>IF(MOD(COUNTA($C$7:C709)-1,$J$2),H708,ROUND(F709*P709,-2))</f>
        <v>-200</v>
      </c>
      <c r="I709">
        <f t="shared" si="125"/>
        <v>0</v>
      </c>
      <c r="J709">
        <f t="shared" si="126"/>
        <v>0</v>
      </c>
      <c r="K709">
        <f t="shared" si="127"/>
        <v>674.70581809786904</v>
      </c>
      <c r="L709">
        <f t="shared" si="128"/>
        <v>216.70581809786904</v>
      </c>
      <c r="M709">
        <f t="shared" si="129"/>
        <v>0.39999999999997726</v>
      </c>
      <c r="N709">
        <f t="shared" si="131"/>
        <v>216.70581809786904</v>
      </c>
      <c r="O709" s="5">
        <f t="shared" si="122"/>
        <v>2.3228066211161275E-3</v>
      </c>
      <c r="P709">
        <f t="shared" si="130"/>
        <v>10000</v>
      </c>
      <c r="Q709">
        <f t="shared" si="123"/>
        <v>23.228066211161273</v>
      </c>
    </row>
    <row r="710" spans="1:17" x14ac:dyDescent="0.15">
      <c r="A710" s="10">
        <v>45892.569444444962</v>
      </c>
      <c r="B710">
        <f>COUNT(A710:$A$1158)/(48*252)</f>
        <v>3.7119708994708997E-2</v>
      </c>
      <c r="C710">
        <v>2.29</v>
      </c>
      <c r="D710">
        <v>0.104</v>
      </c>
      <c r="E710">
        <f t="shared" si="120"/>
        <v>1.9891187704950153</v>
      </c>
      <c r="F710">
        <f t="shared" si="121"/>
        <v>-2.3344047481192676E-2</v>
      </c>
      <c r="G710">
        <f t="shared" si="124"/>
        <v>0</v>
      </c>
      <c r="H710">
        <f>IF(MOD(COUNTA($C$7:C710)-1,$J$2),H709,ROUND(F710*P710,-2))</f>
        <v>-200</v>
      </c>
      <c r="I710">
        <f t="shared" si="125"/>
        <v>0</v>
      </c>
      <c r="J710">
        <f t="shared" si="126"/>
        <v>0</v>
      </c>
      <c r="K710">
        <f t="shared" si="127"/>
        <v>674.70581809786904</v>
      </c>
      <c r="L710">
        <f t="shared" si="128"/>
        <v>216.70581809786904</v>
      </c>
      <c r="M710">
        <f t="shared" si="129"/>
        <v>0</v>
      </c>
      <c r="N710">
        <f t="shared" si="131"/>
        <v>216.70581809786904</v>
      </c>
      <c r="O710" s="5">
        <f t="shared" si="122"/>
        <v>2.3073151192694319E-3</v>
      </c>
      <c r="P710">
        <f t="shared" si="130"/>
        <v>10000</v>
      </c>
      <c r="Q710">
        <f t="shared" si="123"/>
        <v>23.073151192694318</v>
      </c>
    </row>
    <row r="711" spans="1:17" x14ac:dyDescent="0.15">
      <c r="A711" s="10">
        <v>45892.572916666977</v>
      </c>
      <c r="B711">
        <f>COUNT(A711:$A$1158)/(48*252)</f>
        <v>3.7037037037037035E-2</v>
      </c>
      <c r="C711">
        <v>2.2869999999999999</v>
      </c>
      <c r="D711">
        <v>0.10100000000000001</v>
      </c>
      <c r="E711">
        <f t="shared" si="120"/>
        <v>1.9793597632487028</v>
      </c>
      <c r="F711">
        <f t="shared" si="121"/>
        <v>-2.3887757660283504E-2</v>
      </c>
      <c r="G711">
        <f t="shared" si="124"/>
        <v>-3.0000000000001137E-3</v>
      </c>
      <c r="H711">
        <f>IF(MOD(COUNTA($C$7:C711)-1,$J$2),H710,ROUND(F711*P711,-2))</f>
        <v>-200</v>
      </c>
      <c r="I711">
        <f t="shared" si="125"/>
        <v>0</v>
      </c>
      <c r="J711">
        <f t="shared" si="126"/>
        <v>0</v>
      </c>
      <c r="K711">
        <f t="shared" si="127"/>
        <v>674.70581809786904</v>
      </c>
      <c r="L711">
        <f t="shared" si="128"/>
        <v>217.30581809786906</v>
      </c>
      <c r="M711">
        <f t="shared" si="129"/>
        <v>0.60000000000002274</v>
      </c>
      <c r="N711">
        <f t="shared" si="131"/>
        <v>217.30581809786906</v>
      </c>
      <c r="O711" s="5">
        <f t="shared" si="122"/>
        <v>2.3625422231619633E-3</v>
      </c>
      <c r="P711">
        <f t="shared" si="130"/>
        <v>10000</v>
      </c>
      <c r="Q711">
        <f t="shared" si="123"/>
        <v>23.625422231619634</v>
      </c>
    </row>
    <row r="712" spans="1:17" x14ac:dyDescent="0.15">
      <c r="A712" s="10">
        <v>45892.576388888992</v>
      </c>
      <c r="B712">
        <f>COUNT(A712:$A$1158)/(48*252)</f>
        <v>3.695436507936508E-2</v>
      </c>
      <c r="C712">
        <v>2.2850000000000001</v>
      </c>
      <c r="D712">
        <v>0.10100000000000001</v>
      </c>
      <c r="E712">
        <f t="shared" ref="E712:E775" si="132">(LN(C712/$B$2)+($B$1+0.5*$D$1*$D$1)*B712)/($D$1*SQRT(B712))</f>
        <v>1.9735210994753412</v>
      </c>
      <c r="F712">
        <f t="shared" ref="F712:F775" si="133">NORMSDIST(E712)-1</f>
        <v>-2.4218111542195553E-2</v>
      </c>
      <c r="G712">
        <f t="shared" si="124"/>
        <v>-1.9999999999997797E-3</v>
      </c>
      <c r="H712">
        <f>IF(MOD(COUNTA($C$7:C712)-1,$J$2),H711,ROUND(F712*P712,-2))</f>
        <v>-200</v>
      </c>
      <c r="I712">
        <f t="shared" si="125"/>
        <v>0</v>
      </c>
      <c r="J712">
        <f t="shared" si="126"/>
        <v>0</v>
      </c>
      <c r="K712">
        <f t="shared" si="127"/>
        <v>674.70581809786904</v>
      </c>
      <c r="L712">
        <f t="shared" si="128"/>
        <v>217.70581809786904</v>
      </c>
      <c r="M712">
        <f t="shared" si="129"/>
        <v>0.39999999999997726</v>
      </c>
      <c r="N712">
        <f t="shared" si="131"/>
        <v>217.70581809786904</v>
      </c>
      <c r="O712" s="5">
        <f t="shared" ref="O712:O775" si="134">put_bs($B$1,$J$1,C712,$B$2,B712)</f>
        <v>2.3947866945634166E-3</v>
      </c>
      <c r="P712">
        <f t="shared" si="130"/>
        <v>10000</v>
      </c>
      <c r="Q712">
        <f t="shared" ref="Q712:Q775" si="135">P712*O712</f>
        <v>23.947866945634168</v>
      </c>
    </row>
    <row r="713" spans="1:17" x14ac:dyDescent="0.15">
      <c r="A713" s="10">
        <v>45892.579861111008</v>
      </c>
      <c r="B713">
        <f>COUNT(A713:$A$1158)/(48*252)</f>
        <v>3.6871693121693125E-2</v>
      </c>
      <c r="C713">
        <v>2.2879999999999998</v>
      </c>
      <c r="D713">
        <v>0.10299999999999999</v>
      </c>
      <c r="E713">
        <f t="shared" si="132"/>
        <v>1.9874545594146786</v>
      </c>
      <c r="F713">
        <f t="shared" si="133"/>
        <v>-2.3436023358647029E-2</v>
      </c>
      <c r="G713">
        <f t="shared" ref="G713:G776" si="136">C713-C712</f>
        <v>2.9999999999996696E-3</v>
      </c>
      <c r="H713">
        <f>IF(MOD(COUNTA($C$7:C713)-1,$J$2),H712,ROUND(F713*P713,-2))</f>
        <v>-200</v>
      </c>
      <c r="I713">
        <f t="shared" ref="I713:I776" si="137">H713-H712</f>
        <v>0</v>
      </c>
      <c r="J713">
        <f t="shared" ref="J713:J776" si="138">J712</f>
        <v>0</v>
      </c>
      <c r="K713">
        <f t="shared" ref="K713:K776" si="139">K712-I713*C713-ABS(I713*C713*$F$2)</f>
        <v>674.70581809786904</v>
      </c>
      <c r="L713">
        <f t="shared" ref="L713:L776" si="140">K713+H713*C713</f>
        <v>217.10581809786908</v>
      </c>
      <c r="M713">
        <f t="shared" ref="M713:M776" si="141">L713-L712</f>
        <v>-0.59999999999996589</v>
      </c>
      <c r="N713">
        <f t="shared" si="131"/>
        <v>217.10581809786908</v>
      </c>
      <c r="O713" s="5">
        <f t="shared" si="134"/>
        <v>2.3075547837879823E-3</v>
      </c>
      <c r="P713">
        <f t="shared" ref="P713:P776" si="142">P712</f>
        <v>10000</v>
      </c>
      <c r="Q713">
        <f t="shared" si="135"/>
        <v>23.075547837879824</v>
      </c>
    </row>
    <row r="714" spans="1:17" x14ac:dyDescent="0.15">
      <c r="A714" s="10">
        <v>45892.583333333023</v>
      </c>
      <c r="B714">
        <f>COUNT(A714:$A$1158)/(48*252)</f>
        <v>3.6789021164021163E-2</v>
      </c>
      <c r="C714">
        <v>2.2869999999999999</v>
      </c>
      <c r="D714">
        <v>0.10299999999999999</v>
      </c>
      <c r="E714">
        <f t="shared" si="132"/>
        <v>1.9855809587233251</v>
      </c>
      <c r="F714">
        <f t="shared" si="133"/>
        <v>-2.3539936238673009E-2</v>
      </c>
      <c r="G714">
        <f t="shared" si="136"/>
        <v>-9.9999999999988987E-4</v>
      </c>
      <c r="H714">
        <f>IF(MOD(COUNTA($C$7:C714)-1,$J$2),H713,ROUND(F714*P714,-2))</f>
        <v>-200</v>
      </c>
      <c r="I714">
        <f t="shared" si="137"/>
        <v>0</v>
      </c>
      <c r="J714">
        <f t="shared" si="138"/>
        <v>0</v>
      </c>
      <c r="K714">
        <f t="shared" si="139"/>
        <v>674.70581809786904</v>
      </c>
      <c r="L714">
        <f t="shared" si="140"/>
        <v>217.30581809786906</v>
      </c>
      <c r="M714">
        <f t="shared" si="141"/>
        <v>0.19999999999998863</v>
      </c>
      <c r="N714">
        <f t="shared" ref="N714:N777" si="143">L714-$F$1</f>
        <v>217.30581809786906</v>
      </c>
      <c r="O714" s="5">
        <f t="shared" si="134"/>
        <v>2.3154497480145989E-3</v>
      </c>
      <c r="P714">
        <f t="shared" si="142"/>
        <v>10000</v>
      </c>
      <c r="Q714">
        <f t="shared" si="135"/>
        <v>23.154497480145988</v>
      </c>
    </row>
    <row r="715" spans="1:17" x14ac:dyDescent="0.15">
      <c r="A715" s="10">
        <v>45892.586805555969</v>
      </c>
      <c r="B715">
        <f>COUNT(A715:$A$1158)/(48*252)</f>
        <v>3.6706349206349208E-2</v>
      </c>
      <c r="C715">
        <v>2.29</v>
      </c>
      <c r="D715">
        <v>0.105</v>
      </c>
      <c r="E715">
        <f t="shared" si="132"/>
        <v>1.9995539228743615</v>
      </c>
      <c r="F715">
        <f t="shared" si="133"/>
        <v>-2.2774226829110011E-2</v>
      </c>
      <c r="G715">
        <f t="shared" si="136"/>
        <v>3.0000000000001137E-3</v>
      </c>
      <c r="H715">
        <f>IF(MOD(COUNTA($C$7:C715)-1,$J$2),H714,ROUND(F715*P715,-2))</f>
        <v>-200</v>
      </c>
      <c r="I715">
        <f t="shared" si="137"/>
        <v>0</v>
      </c>
      <c r="J715">
        <f t="shared" si="138"/>
        <v>0</v>
      </c>
      <c r="K715">
        <f t="shared" si="139"/>
        <v>674.70581809786904</v>
      </c>
      <c r="L715">
        <f t="shared" si="140"/>
        <v>216.70581809786904</v>
      </c>
      <c r="M715">
        <f t="shared" si="141"/>
        <v>-0.60000000000002274</v>
      </c>
      <c r="N715">
        <f t="shared" si="143"/>
        <v>216.70581809786904</v>
      </c>
      <c r="O715" s="5">
        <f t="shared" si="134"/>
        <v>2.2305522898811991E-3</v>
      </c>
      <c r="P715">
        <f t="shared" si="142"/>
        <v>10000</v>
      </c>
      <c r="Q715">
        <f t="shared" si="135"/>
        <v>22.30552289881199</v>
      </c>
    </row>
    <row r="716" spans="1:17" x14ac:dyDescent="0.15">
      <c r="A716" s="10">
        <v>45892.590277777985</v>
      </c>
      <c r="B716">
        <f>COUNT(A716:$A$1158)/(48*252)</f>
        <v>3.6623677248677246E-2</v>
      </c>
      <c r="C716">
        <v>2.2890000000000001</v>
      </c>
      <c r="D716">
        <v>0.105</v>
      </c>
      <c r="E716">
        <f t="shared" si="132"/>
        <v>1.997698250198553</v>
      </c>
      <c r="F716">
        <f t="shared" si="133"/>
        <v>-2.2874692020917409E-2</v>
      </c>
      <c r="G716">
        <f t="shared" si="136"/>
        <v>-9.9999999999988987E-4</v>
      </c>
      <c r="H716">
        <f>IF(MOD(COUNTA($C$7:C716)-1,$J$2),H715,ROUND(F716*P716,-2))</f>
        <v>-200</v>
      </c>
      <c r="I716">
        <f t="shared" si="137"/>
        <v>0</v>
      </c>
      <c r="J716">
        <f t="shared" si="138"/>
        <v>0</v>
      </c>
      <c r="K716">
        <f t="shared" si="139"/>
        <v>674.70581809786904</v>
      </c>
      <c r="L716">
        <f t="shared" si="140"/>
        <v>216.90581809786903</v>
      </c>
      <c r="M716">
        <f t="shared" si="141"/>
        <v>0.19999999999998863</v>
      </c>
      <c r="N716">
        <f t="shared" si="143"/>
        <v>216.90581809786903</v>
      </c>
      <c r="O716" s="5">
        <f t="shared" si="134"/>
        <v>2.2381068662881282E-3</v>
      </c>
      <c r="P716">
        <f t="shared" si="142"/>
        <v>10000</v>
      </c>
      <c r="Q716">
        <f t="shared" si="135"/>
        <v>22.381068662881283</v>
      </c>
    </row>
    <row r="717" spans="1:17" x14ac:dyDescent="0.15">
      <c r="A717" s="10">
        <v>45892.59375</v>
      </c>
      <c r="B717">
        <f>COUNT(A717:$A$1158)/(48*252)</f>
        <v>3.6541005291005291E-2</v>
      </c>
      <c r="C717">
        <v>2.2909999999999999</v>
      </c>
      <c r="D717">
        <v>0.106</v>
      </c>
      <c r="E717">
        <f t="shared" si="132"/>
        <v>2.0077457574312527</v>
      </c>
      <c r="F717">
        <f t="shared" si="133"/>
        <v>-2.2335157771959047E-2</v>
      </c>
      <c r="G717">
        <f t="shared" si="136"/>
        <v>1.9999999999997797E-3</v>
      </c>
      <c r="H717">
        <f>IF(MOD(COUNTA($C$7:C717)-1,$J$2),H716,ROUND(F717*P717,-2))</f>
        <v>-200</v>
      </c>
      <c r="I717">
        <f t="shared" si="137"/>
        <v>0</v>
      </c>
      <c r="J717">
        <f t="shared" si="138"/>
        <v>0</v>
      </c>
      <c r="K717">
        <f t="shared" si="139"/>
        <v>674.70581809786904</v>
      </c>
      <c r="L717">
        <f t="shared" si="140"/>
        <v>216.50581809786905</v>
      </c>
      <c r="M717">
        <f t="shared" si="141"/>
        <v>-0.39999999999997726</v>
      </c>
      <c r="N717">
        <f t="shared" si="143"/>
        <v>216.50581809786905</v>
      </c>
      <c r="O717" s="5">
        <f t="shared" si="134"/>
        <v>2.1777324725265959E-3</v>
      </c>
      <c r="P717">
        <f t="shared" si="142"/>
        <v>10000</v>
      </c>
      <c r="Q717">
        <f t="shared" si="135"/>
        <v>21.777324725265959</v>
      </c>
    </row>
    <row r="718" spans="1:17" x14ac:dyDescent="0.15">
      <c r="A718" s="10">
        <v>45892.597222222015</v>
      </c>
      <c r="B718">
        <f>COUNT(A718:$A$1158)/(48*252)</f>
        <v>3.6458333333333336E-2</v>
      </c>
      <c r="C718">
        <v>2.294</v>
      </c>
      <c r="D718">
        <v>0.11</v>
      </c>
      <c r="E718">
        <f t="shared" si="132"/>
        <v>2.021778082098141</v>
      </c>
      <c r="F718">
        <f t="shared" si="133"/>
        <v>-2.159964153110816E-2</v>
      </c>
      <c r="G718">
        <f t="shared" si="136"/>
        <v>3.0000000000001137E-3</v>
      </c>
      <c r="H718">
        <f>IF(MOD(COUNTA($C$7:C718)-1,$J$2),H717,ROUND(F718*P718,-2))</f>
        <v>-200</v>
      </c>
      <c r="I718">
        <f t="shared" si="137"/>
        <v>0</v>
      </c>
      <c r="J718">
        <f t="shared" si="138"/>
        <v>0</v>
      </c>
      <c r="K718">
        <f t="shared" si="139"/>
        <v>674.70581809786904</v>
      </c>
      <c r="L718">
        <f t="shared" si="140"/>
        <v>215.90581809786903</v>
      </c>
      <c r="M718">
        <f t="shared" si="141"/>
        <v>-0.60000000000002274</v>
      </c>
      <c r="N718">
        <f t="shared" si="143"/>
        <v>215.90581809786903</v>
      </c>
      <c r="O718" s="5">
        <f t="shared" si="134"/>
        <v>2.096997587157777E-3</v>
      </c>
      <c r="P718">
        <f t="shared" si="142"/>
        <v>10000</v>
      </c>
      <c r="Q718">
        <f t="shared" si="135"/>
        <v>20.96997587157777</v>
      </c>
    </row>
    <row r="719" spans="1:17" x14ac:dyDescent="0.15">
      <c r="A719" s="10">
        <v>45892.600694444962</v>
      </c>
      <c r="B719">
        <f>COUNT(A719:$A$1158)/(48*252)</f>
        <v>3.6375661375661374E-2</v>
      </c>
      <c r="C719">
        <v>2.2949999999999999</v>
      </c>
      <c r="D719">
        <v>0.11</v>
      </c>
      <c r="E719">
        <f t="shared" si="132"/>
        <v>2.0278960853775705</v>
      </c>
      <c r="F719">
        <f t="shared" si="133"/>
        <v>-2.1285427382832345E-2</v>
      </c>
      <c r="G719">
        <f t="shared" si="136"/>
        <v>9.9999999999988987E-4</v>
      </c>
      <c r="H719">
        <f>IF(MOD(COUNTA($C$7:C719)-1,$J$2),H718,ROUND(F719*P719,-2))</f>
        <v>-200</v>
      </c>
      <c r="I719">
        <f t="shared" si="137"/>
        <v>0</v>
      </c>
      <c r="J719">
        <f t="shared" si="138"/>
        <v>0</v>
      </c>
      <c r="K719">
        <f t="shared" si="139"/>
        <v>674.70581809786904</v>
      </c>
      <c r="L719">
        <f t="shared" si="140"/>
        <v>215.70581809786904</v>
      </c>
      <c r="M719">
        <f t="shared" si="141"/>
        <v>-0.19999999999998863</v>
      </c>
      <c r="N719">
        <f t="shared" si="143"/>
        <v>215.70581809786904</v>
      </c>
      <c r="O719" s="5">
        <f t="shared" si="134"/>
        <v>2.060986976185869E-3</v>
      </c>
      <c r="P719">
        <f t="shared" si="142"/>
        <v>10000</v>
      </c>
      <c r="Q719">
        <f t="shared" si="135"/>
        <v>20.60986976185869</v>
      </c>
    </row>
    <row r="720" spans="1:17" x14ac:dyDescent="0.15">
      <c r="A720" s="10">
        <v>45892.604166666977</v>
      </c>
      <c r="B720">
        <f>COUNT(A720:$A$1158)/(48*252)</f>
        <v>3.6292989417989419E-2</v>
      </c>
      <c r="C720">
        <v>2.2949999999999999</v>
      </c>
      <c r="D720">
        <v>0.109</v>
      </c>
      <c r="E720">
        <f t="shared" si="132"/>
        <v>2.0300569180654784</v>
      </c>
      <c r="F720">
        <f t="shared" si="133"/>
        <v>-2.117537701163652E-2</v>
      </c>
      <c r="G720">
        <f t="shared" si="136"/>
        <v>0</v>
      </c>
      <c r="H720">
        <f>IF(MOD(COUNTA($C$7:C720)-1,$J$2),H719,ROUND(F720*P720,-2))</f>
        <v>-200</v>
      </c>
      <c r="I720">
        <f t="shared" si="137"/>
        <v>0</v>
      </c>
      <c r="J720">
        <f t="shared" si="138"/>
        <v>0</v>
      </c>
      <c r="K720">
        <f t="shared" si="139"/>
        <v>674.70581809786904</v>
      </c>
      <c r="L720">
        <f t="shared" si="140"/>
        <v>215.70581809786904</v>
      </c>
      <c r="M720">
        <f t="shared" si="141"/>
        <v>0</v>
      </c>
      <c r="N720">
        <f t="shared" si="143"/>
        <v>215.70581809786904</v>
      </c>
      <c r="O720" s="5">
        <f t="shared" si="134"/>
        <v>2.0465204932813424E-3</v>
      </c>
      <c r="P720">
        <f t="shared" si="142"/>
        <v>10000</v>
      </c>
      <c r="Q720">
        <f t="shared" si="135"/>
        <v>20.465204932813425</v>
      </c>
    </row>
    <row r="721" spans="1:17" x14ac:dyDescent="0.15">
      <c r="A721" s="10">
        <v>45892.607638888992</v>
      </c>
      <c r="B721">
        <f>COUNT(A721:$A$1158)/(48*252)</f>
        <v>3.6210317460317464E-2</v>
      </c>
      <c r="C721">
        <v>2.2949999999999999</v>
      </c>
      <c r="D721">
        <v>0.109</v>
      </c>
      <c r="E721">
        <f t="shared" si="132"/>
        <v>2.0322253149654284</v>
      </c>
      <c r="F721">
        <f t="shared" si="133"/>
        <v>-2.1065425619411382E-2</v>
      </c>
      <c r="G721">
        <f t="shared" si="136"/>
        <v>0</v>
      </c>
      <c r="H721">
        <f>IF(MOD(COUNTA($C$7:C721)-1,$J$2),H720,ROUND(F721*P721,-2))</f>
        <v>-200</v>
      </c>
      <c r="I721">
        <f t="shared" si="137"/>
        <v>0</v>
      </c>
      <c r="J721">
        <f t="shared" si="138"/>
        <v>0</v>
      </c>
      <c r="K721">
        <f t="shared" si="139"/>
        <v>674.70581809786904</v>
      </c>
      <c r="L721">
        <f t="shared" si="140"/>
        <v>215.70581809786904</v>
      </c>
      <c r="M721">
        <f t="shared" si="141"/>
        <v>0</v>
      </c>
      <c r="N721">
        <f t="shared" si="143"/>
        <v>215.70581809786904</v>
      </c>
      <c r="O721" s="5">
        <f t="shared" si="134"/>
        <v>2.0321007743403785E-3</v>
      </c>
      <c r="P721">
        <f t="shared" si="142"/>
        <v>10000</v>
      </c>
      <c r="Q721">
        <f t="shared" si="135"/>
        <v>20.321007743403786</v>
      </c>
    </row>
    <row r="722" spans="1:17" x14ac:dyDescent="0.15">
      <c r="A722" s="10">
        <v>45892.611111111008</v>
      </c>
      <c r="B722">
        <f>COUNT(A722:$A$1158)/(48*252)</f>
        <v>3.6127645502645502E-2</v>
      </c>
      <c r="C722">
        <v>2.298</v>
      </c>
      <c r="D722">
        <v>0.112</v>
      </c>
      <c r="E722">
        <f t="shared" si="132"/>
        <v>2.046339301542988</v>
      </c>
      <c r="F722">
        <f t="shared" si="133"/>
        <v>-2.036149974532564E-2</v>
      </c>
      <c r="G722">
        <f t="shared" si="136"/>
        <v>3.0000000000001137E-3</v>
      </c>
      <c r="H722">
        <f>IF(MOD(COUNTA($C$7:C722)-1,$J$2),H721,ROUND(F722*P722,-2))</f>
        <v>-200</v>
      </c>
      <c r="I722">
        <f t="shared" si="137"/>
        <v>0</v>
      </c>
      <c r="J722">
        <f t="shared" si="138"/>
        <v>0</v>
      </c>
      <c r="K722">
        <f t="shared" si="139"/>
        <v>674.70581809786904</v>
      </c>
      <c r="L722">
        <f t="shared" si="140"/>
        <v>215.10581809786902</v>
      </c>
      <c r="M722">
        <f t="shared" si="141"/>
        <v>-0.60000000000002274</v>
      </c>
      <c r="N722">
        <f t="shared" si="143"/>
        <v>215.10581809786902</v>
      </c>
      <c r="O722" s="5">
        <f t="shared" si="134"/>
        <v>1.9557561199991039E-3</v>
      </c>
      <c r="P722">
        <f t="shared" si="142"/>
        <v>10000</v>
      </c>
      <c r="Q722">
        <f t="shared" si="135"/>
        <v>19.557561199991039</v>
      </c>
    </row>
    <row r="723" spans="1:17" x14ac:dyDescent="0.15">
      <c r="A723" s="10">
        <v>45892.614583333023</v>
      </c>
      <c r="B723">
        <f>COUNT(A723:$A$1158)/(48*252)</f>
        <v>3.6044973544973546E-2</v>
      </c>
      <c r="C723">
        <v>2.3010000000000002</v>
      </c>
      <c r="D723">
        <v>0.112</v>
      </c>
      <c r="E723">
        <f t="shared" si="132"/>
        <v>2.0604727120533584</v>
      </c>
      <c r="F723">
        <f t="shared" si="133"/>
        <v>-1.9676685973024077E-2</v>
      </c>
      <c r="G723">
        <f t="shared" si="136"/>
        <v>3.0000000000001137E-3</v>
      </c>
      <c r="H723">
        <f>IF(MOD(COUNTA($C$7:C723)-1,$J$2),H722,ROUND(F723*P723,-2))</f>
        <v>-200</v>
      </c>
      <c r="I723">
        <f t="shared" si="137"/>
        <v>0</v>
      </c>
      <c r="J723">
        <f t="shared" si="138"/>
        <v>0</v>
      </c>
      <c r="K723">
        <f t="shared" si="139"/>
        <v>674.70581809786904</v>
      </c>
      <c r="L723">
        <f t="shared" si="140"/>
        <v>214.505818097869</v>
      </c>
      <c r="M723">
        <f t="shared" si="141"/>
        <v>-0.60000000000002274</v>
      </c>
      <c r="N723">
        <f t="shared" si="143"/>
        <v>214.505818097869</v>
      </c>
      <c r="O723" s="5">
        <f t="shared" si="134"/>
        <v>1.8818646276455436E-3</v>
      </c>
      <c r="P723">
        <f t="shared" si="142"/>
        <v>10000</v>
      </c>
      <c r="Q723">
        <f t="shared" si="135"/>
        <v>18.818646276455436</v>
      </c>
    </row>
    <row r="724" spans="1:17" x14ac:dyDescent="0.15">
      <c r="A724" s="10">
        <v>45892.618055555969</v>
      </c>
      <c r="B724">
        <f>COUNT(A724:$A$1158)/(48*252)</f>
        <v>3.5962301587301584E-2</v>
      </c>
      <c r="C724">
        <v>2.3010000000000002</v>
      </c>
      <c r="D724">
        <v>0.113</v>
      </c>
      <c r="E724">
        <f t="shared" si="132"/>
        <v>2.0626915050440955</v>
      </c>
      <c r="F724">
        <f t="shared" si="133"/>
        <v>-1.9570973766653621E-2</v>
      </c>
      <c r="G724">
        <f t="shared" si="136"/>
        <v>0</v>
      </c>
      <c r="H724">
        <f>IF(MOD(COUNTA($C$7:C724)-1,$J$2),H723,ROUND(F724*P724,-2))</f>
        <v>-200</v>
      </c>
      <c r="I724">
        <f t="shared" si="137"/>
        <v>0</v>
      </c>
      <c r="J724">
        <f t="shared" si="138"/>
        <v>0</v>
      </c>
      <c r="K724">
        <f t="shared" si="139"/>
        <v>674.70581809786904</v>
      </c>
      <c r="L724">
        <f t="shared" si="140"/>
        <v>214.505818097869</v>
      </c>
      <c r="M724">
        <f t="shared" si="141"/>
        <v>0</v>
      </c>
      <c r="N724">
        <f t="shared" si="143"/>
        <v>214.505818097869</v>
      </c>
      <c r="O724" s="5">
        <f t="shared" si="134"/>
        <v>1.8682318415459004E-3</v>
      </c>
      <c r="P724">
        <f t="shared" si="142"/>
        <v>10000</v>
      </c>
      <c r="Q724">
        <f t="shared" si="135"/>
        <v>18.682318415459005</v>
      </c>
    </row>
    <row r="725" spans="1:17" x14ac:dyDescent="0.15">
      <c r="A725" s="10">
        <v>45892.621527777985</v>
      </c>
      <c r="B725">
        <f>COUNT(A725:$A$1158)/(48*252)</f>
        <v>3.5879629629629629E-2</v>
      </c>
      <c r="C725">
        <v>2.2999999999999998</v>
      </c>
      <c r="D725">
        <v>0.111</v>
      </c>
      <c r="E725">
        <f t="shared" si="132"/>
        <v>2.0609320192612843</v>
      </c>
      <c r="F725">
        <f t="shared" si="133"/>
        <v>-1.9654763031210165E-2</v>
      </c>
      <c r="G725">
        <f t="shared" si="136"/>
        <v>-1.000000000000334E-3</v>
      </c>
      <c r="H725">
        <f>IF(MOD(COUNTA($C$7:C725)-1,$J$2),H724,ROUND(F725*P725,-2))</f>
        <v>-200</v>
      </c>
      <c r="I725">
        <f t="shared" si="137"/>
        <v>0</v>
      </c>
      <c r="J725">
        <f t="shared" si="138"/>
        <v>0</v>
      </c>
      <c r="K725">
        <f t="shared" si="139"/>
        <v>674.70581809786904</v>
      </c>
      <c r="L725">
        <f t="shared" si="140"/>
        <v>214.7058180978691</v>
      </c>
      <c r="M725">
        <f t="shared" si="141"/>
        <v>0.20000000000010232</v>
      </c>
      <c r="N725">
        <f t="shared" si="143"/>
        <v>214.7058180978691</v>
      </c>
      <c r="O725" s="5">
        <f t="shared" si="134"/>
        <v>1.8742055031641947E-3</v>
      </c>
      <c r="P725">
        <f t="shared" si="142"/>
        <v>10000</v>
      </c>
      <c r="Q725">
        <f t="shared" si="135"/>
        <v>18.742055031641947</v>
      </c>
    </row>
    <row r="726" spans="1:17" x14ac:dyDescent="0.15">
      <c r="A726" s="10">
        <v>45892.625</v>
      </c>
      <c r="B726">
        <f>COUNT(A726:$A$1158)/(48*252)</f>
        <v>3.5796957671957674E-2</v>
      </c>
      <c r="C726">
        <v>2.3039999999999998</v>
      </c>
      <c r="D726">
        <v>0.112</v>
      </c>
      <c r="E726">
        <f t="shared" si="132"/>
        <v>2.0791143850018754</v>
      </c>
      <c r="F726">
        <f t="shared" si="133"/>
        <v>-1.8803419117837228E-2</v>
      </c>
      <c r="G726">
        <f t="shared" si="136"/>
        <v>4.0000000000000036E-3</v>
      </c>
      <c r="H726">
        <f>IF(MOD(COUNTA($C$7:C726)-1,$J$2),H725,ROUND(F726*P726,-2))</f>
        <v>-200</v>
      </c>
      <c r="I726">
        <f t="shared" si="137"/>
        <v>0</v>
      </c>
      <c r="J726">
        <f t="shared" si="138"/>
        <v>0</v>
      </c>
      <c r="K726">
        <f t="shared" si="139"/>
        <v>674.70581809786904</v>
      </c>
      <c r="L726">
        <f t="shared" si="140"/>
        <v>213.90581809786909</v>
      </c>
      <c r="M726">
        <f t="shared" si="141"/>
        <v>-0.80000000000001137</v>
      </c>
      <c r="N726">
        <f t="shared" si="143"/>
        <v>213.90581809786909</v>
      </c>
      <c r="O726" s="5">
        <f t="shared" si="134"/>
        <v>1.783864582129091E-3</v>
      </c>
      <c r="P726">
        <f t="shared" si="142"/>
        <v>10000</v>
      </c>
      <c r="Q726">
        <f t="shared" si="135"/>
        <v>17.83864582129091</v>
      </c>
    </row>
    <row r="727" spans="1:17" x14ac:dyDescent="0.15">
      <c r="A727" s="10">
        <v>45893.399305555969</v>
      </c>
      <c r="B727">
        <f>COUNT(A727:$A$1158)/(48*252)</f>
        <v>3.5714285714285712E-2</v>
      </c>
      <c r="C727">
        <v>2.3159999999999998</v>
      </c>
      <c r="D727">
        <v>0.12</v>
      </c>
      <c r="E727">
        <f t="shared" si="132"/>
        <v>2.1291175516187293</v>
      </c>
      <c r="F727">
        <f t="shared" si="133"/>
        <v>-1.6622267989554462E-2</v>
      </c>
      <c r="G727">
        <f t="shared" si="136"/>
        <v>1.2000000000000011E-2</v>
      </c>
      <c r="H727">
        <f>IF(MOD(COUNTA($C$7:C727)-1,$J$2),H726,ROUND(F727*P727,-2))</f>
        <v>-200</v>
      </c>
      <c r="I727">
        <f t="shared" si="137"/>
        <v>0</v>
      </c>
      <c r="J727">
        <f t="shared" si="138"/>
        <v>0</v>
      </c>
      <c r="K727">
        <f t="shared" si="139"/>
        <v>674.70581809786904</v>
      </c>
      <c r="L727">
        <f t="shared" si="140"/>
        <v>211.50581809786905</v>
      </c>
      <c r="M727">
        <f t="shared" si="141"/>
        <v>-2.4000000000000341</v>
      </c>
      <c r="N727">
        <f t="shared" si="143"/>
        <v>211.50581809786905</v>
      </c>
      <c r="O727" s="5">
        <f t="shared" si="134"/>
        <v>1.5589708145766906E-3</v>
      </c>
      <c r="P727">
        <f t="shared" si="142"/>
        <v>10000</v>
      </c>
      <c r="Q727">
        <f t="shared" si="135"/>
        <v>15.589708145766906</v>
      </c>
    </row>
    <row r="728" spans="1:17" x14ac:dyDescent="0.15">
      <c r="A728" s="10">
        <v>45893.402777777985</v>
      </c>
      <c r="B728">
        <f>COUNT(A728:$A$1158)/(48*252)</f>
        <v>3.5631613756613757E-2</v>
      </c>
      <c r="C728">
        <v>2.3180000000000001</v>
      </c>
      <c r="D728">
        <v>0.127</v>
      </c>
      <c r="E728">
        <f t="shared" si="132"/>
        <v>2.1393801569448816</v>
      </c>
      <c r="F728">
        <f t="shared" si="133"/>
        <v>-1.6202446331118447E-2</v>
      </c>
      <c r="G728">
        <f t="shared" si="136"/>
        <v>2.0000000000002238E-3</v>
      </c>
      <c r="H728">
        <f>IF(MOD(COUNTA($C$7:C728)-1,$J$2),H727,ROUND(F728*P728,-2))</f>
        <v>-200</v>
      </c>
      <c r="I728">
        <f t="shared" si="137"/>
        <v>0</v>
      </c>
      <c r="J728">
        <f t="shared" si="138"/>
        <v>0</v>
      </c>
      <c r="K728">
        <f t="shared" si="139"/>
        <v>674.70581809786904</v>
      </c>
      <c r="L728">
        <f t="shared" si="140"/>
        <v>211.10581809786902</v>
      </c>
      <c r="M728">
        <f t="shared" si="141"/>
        <v>-0.40000000000003411</v>
      </c>
      <c r="N728">
        <f t="shared" si="143"/>
        <v>211.10581809786902</v>
      </c>
      <c r="O728" s="5">
        <f t="shared" si="134"/>
        <v>1.5143030948257113E-3</v>
      </c>
      <c r="P728">
        <f t="shared" si="142"/>
        <v>10000</v>
      </c>
      <c r="Q728">
        <f t="shared" si="135"/>
        <v>15.143030948257113</v>
      </c>
    </row>
    <row r="729" spans="1:17" x14ac:dyDescent="0.15">
      <c r="A729" s="10">
        <v>45893.40625</v>
      </c>
      <c r="B729">
        <f>COUNT(A729:$A$1158)/(48*252)</f>
        <v>3.5548941798941802E-2</v>
      </c>
      <c r="C729">
        <v>2.3220000000000001</v>
      </c>
      <c r="D729">
        <v>0.13100000000000001</v>
      </c>
      <c r="E729">
        <f t="shared" si="132"/>
        <v>2.1576011066896918</v>
      </c>
      <c r="F729">
        <f t="shared" si="133"/>
        <v>-1.5479429294438685E-2</v>
      </c>
      <c r="G729">
        <f t="shared" si="136"/>
        <v>4.0000000000000036E-3</v>
      </c>
      <c r="H729">
        <f>IF(MOD(COUNTA($C$7:C729)-1,$J$2),H728,ROUND(F729*P729,-2))</f>
        <v>-200</v>
      </c>
      <c r="I729">
        <f t="shared" si="137"/>
        <v>0</v>
      </c>
      <c r="J729">
        <f t="shared" si="138"/>
        <v>0</v>
      </c>
      <c r="K729">
        <f t="shared" si="139"/>
        <v>674.70581809786904</v>
      </c>
      <c r="L729">
        <f t="shared" si="140"/>
        <v>210.30581809786901</v>
      </c>
      <c r="M729">
        <f t="shared" si="141"/>
        <v>-0.80000000000001137</v>
      </c>
      <c r="N729">
        <f t="shared" si="143"/>
        <v>210.30581809786901</v>
      </c>
      <c r="O729" s="5">
        <f t="shared" si="134"/>
        <v>1.4394307347771682E-3</v>
      </c>
      <c r="P729">
        <f t="shared" si="142"/>
        <v>10000</v>
      </c>
      <c r="Q729">
        <f t="shared" si="135"/>
        <v>14.394307347771681</v>
      </c>
    </row>
    <row r="730" spans="1:17" x14ac:dyDescent="0.15">
      <c r="A730" s="10">
        <v>45893.409722222015</v>
      </c>
      <c r="B730">
        <f>COUNT(A730:$A$1158)/(48*252)</f>
        <v>3.546626984126984E-2</v>
      </c>
      <c r="C730">
        <v>2.3199999999999998</v>
      </c>
      <c r="D730">
        <v>0.13</v>
      </c>
      <c r="E730">
        <f t="shared" si="132"/>
        <v>2.152017361632796</v>
      </c>
      <c r="F730">
        <f t="shared" si="133"/>
        <v>-1.5697993489266593E-2</v>
      </c>
      <c r="G730">
        <f t="shared" si="136"/>
        <v>-2.0000000000002238E-3</v>
      </c>
      <c r="H730">
        <f>IF(MOD(COUNTA($C$7:C730)-1,$J$2),H729,ROUND(F730*P730,-2))</f>
        <v>-200</v>
      </c>
      <c r="I730">
        <f t="shared" si="137"/>
        <v>0</v>
      </c>
      <c r="J730">
        <f t="shared" si="138"/>
        <v>0</v>
      </c>
      <c r="K730">
        <f t="shared" si="139"/>
        <v>674.70581809786904</v>
      </c>
      <c r="L730">
        <f t="shared" si="140"/>
        <v>210.7058180978691</v>
      </c>
      <c r="M730">
        <f t="shared" si="141"/>
        <v>0.40000000000009095</v>
      </c>
      <c r="N730">
        <f t="shared" si="143"/>
        <v>210.7058180978691</v>
      </c>
      <c r="O730" s="5">
        <f t="shared" si="134"/>
        <v>1.4592273539863754E-3</v>
      </c>
      <c r="P730">
        <f t="shared" si="142"/>
        <v>10000</v>
      </c>
      <c r="Q730">
        <f t="shared" si="135"/>
        <v>14.592273539863754</v>
      </c>
    </row>
    <row r="731" spans="1:17" x14ac:dyDescent="0.15">
      <c r="A731" s="10">
        <v>45893.413194444962</v>
      </c>
      <c r="B731">
        <f>COUNT(A731:$A$1158)/(48*252)</f>
        <v>3.5383597883597885E-2</v>
      </c>
      <c r="C731">
        <v>2.3210000000000002</v>
      </c>
      <c r="D731">
        <v>0.129</v>
      </c>
      <c r="E731">
        <f t="shared" si="132"/>
        <v>2.158359880737581</v>
      </c>
      <c r="F731">
        <f t="shared" si="133"/>
        <v>-1.5449931199442601E-2</v>
      </c>
      <c r="G731">
        <f t="shared" si="136"/>
        <v>1.000000000000334E-3</v>
      </c>
      <c r="H731">
        <f>IF(MOD(COUNTA($C$7:C731)-1,$J$2),H730,ROUND(F731*P731,-2))</f>
        <v>-200</v>
      </c>
      <c r="I731">
        <f t="shared" si="137"/>
        <v>0</v>
      </c>
      <c r="J731">
        <f t="shared" si="138"/>
        <v>0</v>
      </c>
      <c r="K731">
        <f t="shared" si="139"/>
        <v>674.70581809786904</v>
      </c>
      <c r="L731">
        <f t="shared" si="140"/>
        <v>210.505818097869</v>
      </c>
      <c r="M731">
        <f t="shared" si="141"/>
        <v>-0.20000000000010232</v>
      </c>
      <c r="N731">
        <f t="shared" si="143"/>
        <v>210.505818097869</v>
      </c>
      <c r="O731" s="5">
        <f t="shared" si="134"/>
        <v>1.4322716734587529E-3</v>
      </c>
      <c r="P731">
        <f t="shared" si="142"/>
        <v>10000</v>
      </c>
      <c r="Q731">
        <f t="shared" si="135"/>
        <v>14.322716734587528</v>
      </c>
    </row>
    <row r="732" spans="1:17" x14ac:dyDescent="0.15">
      <c r="A732" s="10">
        <v>45893.416666666977</v>
      </c>
      <c r="B732">
        <f>COUNT(A732:$A$1158)/(48*252)</f>
        <v>3.5300925925925923E-2</v>
      </c>
      <c r="C732">
        <v>2.3159999999999998</v>
      </c>
      <c r="D732">
        <v>0.128</v>
      </c>
      <c r="E732">
        <f t="shared" si="132"/>
        <v>2.1407988874864072</v>
      </c>
      <c r="F732">
        <f t="shared" si="133"/>
        <v>-1.6145129864876928E-2</v>
      </c>
      <c r="G732">
        <f t="shared" si="136"/>
        <v>-5.0000000000003375E-3</v>
      </c>
      <c r="H732">
        <f>IF(MOD(COUNTA($C$7:C732)-1,$J$2),H731,ROUND(F732*P732,-2))</f>
        <v>-200</v>
      </c>
      <c r="I732">
        <f t="shared" si="137"/>
        <v>0</v>
      </c>
      <c r="J732">
        <f t="shared" si="138"/>
        <v>0</v>
      </c>
      <c r="K732">
        <f t="shared" si="139"/>
        <v>674.70581809786904</v>
      </c>
      <c r="L732">
        <f t="shared" si="140"/>
        <v>211.50581809786905</v>
      </c>
      <c r="M732">
        <f t="shared" si="141"/>
        <v>1.0000000000000568</v>
      </c>
      <c r="N732">
        <f t="shared" si="143"/>
        <v>211.50581809786905</v>
      </c>
      <c r="O732" s="5">
        <f t="shared" si="134"/>
        <v>1.4997231643819886E-3</v>
      </c>
      <c r="P732">
        <f t="shared" si="142"/>
        <v>10000</v>
      </c>
      <c r="Q732">
        <f t="shared" si="135"/>
        <v>14.997231643819886</v>
      </c>
    </row>
    <row r="733" spans="1:17" x14ac:dyDescent="0.15">
      <c r="A733" s="10">
        <v>45893.420138888992</v>
      </c>
      <c r="B733">
        <f>COUNT(A733:$A$1158)/(48*252)</f>
        <v>3.5218253968253968E-2</v>
      </c>
      <c r="C733">
        <v>2.3210000000000002</v>
      </c>
      <c r="D733">
        <v>0.128</v>
      </c>
      <c r="E733">
        <f t="shared" si="132"/>
        <v>2.1631209919295311</v>
      </c>
      <c r="F733">
        <f t="shared" si="133"/>
        <v>-1.5265937469788438E-2</v>
      </c>
      <c r="G733">
        <f t="shared" si="136"/>
        <v>5.0000000000003375E-3</v>
      </c>
      <c r="H733">
        <f>IF(MOD(COUNTA($C$7:C733)-1,$J$2),H732,ROUND(F733*P733,-2))</f>
        <v>-200</v>
      </c>
      <c r="I733">
        <f t="shared" si="137"/>
        <v>0</v>
      </c>
      <c r="J733">
        <f t="shared" si="138"/>
        <v>0</v>
      </c>
      <c r="K733">
        <f t="shared" si="139"/>
        <v>674.70581809786904</v>
      </c>
      <c r="L733">
        <f t="shared" si="140"/>
        <v>210.505818097869</v>
      </c>
      <c r="M733">
        <f t="shared" si="141"/>
        <v>-1.0000000000000568</v>
      </c>
      <c r="N733">
        <f t="shared" si="143"/>
        <v>210.505818097869</v>
      </c>
      <c r="O733" s="5">
        <f t="shared" si="134"/>
        <v>1.4097338146251831E-3</v>
      </c>
      <c r="P733">
        <f t="shared" si="142"/>
        <v>10000</v>
      </c>
      <c r="Q733">
        <f t="shared" si="135"/>
        <v>14.097338146251831</v>
      </c>
    </row>
    <row r="734" spans="1:17" x14ac:dyDescent="0.15">
      <c r="A734" s="10">
        <v>45893.423611111008</v>
      </c>
      <c r="B734">
        <f>COUNT(A734:$A$1158)/(48*252)</f>
        <v>3.5135582010582013E-2</v>
      </c>
      <c r="C734">
        <v>2.323</v>
      </c>
      <c r="D734">
        <v>0.13</v>
      </c>
      <c r="E734">
        <f t="shared" si="132"/>
        <v>2.1734960074401797</v>
      </c>
      <c r="F734">
        <f t="shared" si="133"/>
        <v>-1.4871502993478725E-2</v>
      </c>
      <c r="G734">
        <f t="shared" si="136"/>
        <v>1.9999999999997797E-3</v>
      </c>
      <c r="H734">
        <f>IF(MOD(COUNTA($C$7:C734)-1,$J$2),H733,ROUND(F734*P734,-2))</f>
        <v>-200</v>
      </c>
      <c r="I734">
        <f t="shared" si="137"/>
        <v>0</v>
      </c>
      <c r="J734">
        <f t="shared" si="138"/>
        <v>0</v>
      </c>
      <c r="K734">
        <f t="shared" si="139"/>
        <v>674.70581809786904</v>
      </c>
      <c r="L734">
        <f t="shared" si="140"/>
        <v>210.10581809786908</v>
      </c>
      <c r="M734">
        <f t="shared" si="141"/>
        <v>-0.39999999999992042</v>
      </c>
      <c r="N734">
        <f t="shared" si="143"/>
        <v>210.10581809786908</v>
      </c>
      <c r="O734" s="5">
        <f t="shared" si="134"/>
        <v>1.3684870715435921E-3</v>
      </c>
      <c r="P734">
        <f t="shared" si="142"/>
        <v>10000</v>
      </c>
      <c r="Q734">
        <f t="shared" si="135"/>
        <v>13.68487071543592</v>
      </c>
    </row>
    <row r="735" spans="1:17" x14ac:dyDescent="0.15">
      <c r="A735" s="10">
        <v>45893.427083333023</v>
      </c>
      <c r="B735">
        <f>COUNT(A735:$A$1158)/(48*252)</f>
        <v>3.5052910052910051E-2</v>
      </c>
      <c r="C735">
        <v>2.3279999999999998</v>
      </c>
      <c r="D735">
        <v>0.13300000000000001</v>
      </c>
      <c r="E735">
        <f t="shared" si="132"/>
        <v>2.1958549289808023</v>
      </c>
      <c r="F735">
        <f t="shared" si="133"/>
        <v>-1.4051164300754149E-2</v>
      </c>
      <c r="G735">
        <f t="shared" si="136"/>
        <v>4.9999999999998934E-3</v>
      </c>
      <c r="H735">
        <f>IF(MOD(COUNTA($C$7:C735)-1,$J$2),H734,ROUND(F735*P735,-2))</f>
        <v>-100</v>
      </c>
      <c r="I735">
        <f t="shared" si="137"/>
        <v>100</v>
      </c>
      <c r="J735">
        <f t="shared" si="138"/>
        <v>0</v>
      </c>
      <c r="K735">
        <f t="shared" si="139"/>
        <v>441.8953420978691</v>
      </c>
      <c r="L735">
        <f t="shared" si="140"/>
        <v>209.09534209786912</v>
      </c>
      <c r="M735">
        <f t="shared" si="141"/>
        <v>-1.0104759999999544</v>
      </c>
      <c r="N735">
        <f t="shared" si="143"/>
        <v>209.09534209786912</v>
      </c>
      <c r="O735" s="5">
        <f t="shared" si="134"/>
        <v>1.2854451001784936E-3</v>
      </c>
      <c r="P735">
        <f t="shared" si="142"/>
        <v>10000</v>
      </c>
      <c r="Q735">
        <f t="shared" si="135"/>
        <v>12.854451001784936</v>
      </c>
    </row>
    <row r="736" spans="1:17" x14ac:dyDescent="0.15">
      <c r="A736" s="10">
        <v>45893.430555555969</v>
      </c>
      <c r="B736">
        <f>COUNT(A736:$A$1158)/(48*252)</f>
        <v>3.4970238095238096E-2</v>
      </c>
      <c r="C736">
        <v>2.3250000000000002</v>
      </c>
      <c r="D736">
        <v>0.13300000000000001</v>
      </c>
      <c r="E736">
        <f t="shared" si="132"/>
        <v>2.1863212123164986</v>
      </c>
      <c r="F736">
        <f t="shared" si="133"/>
        <v>-1.4396056641099664E-2</v>
      </c>
      <c r="G736">
        <f t="shared" si="136"/>
        <v>-2.9999999999996696E-3</v>
      </c>
      <c r="H736">
        <f>IF(MOD(COUNTA($C$7:C736)-1,$J$2),H735,ROUND(F736*P736,-2))</f>
        <v>-100</v>
      </c>
      <c r="I736">
        <f t="shared" si="137"/>
        <v>0</v>
      </c>
      <c r="J736">
        <f t="shared" si="138"/>
        <v>0</v>
      </c>
      <c r="K736">
        <f t="shared" si="139"/>
        <v>441.8953420978691</v>
      </c>
      <c r="L736">
        <f t="shared" si="140"/>
        <v>209.39534209786908</v>
      </c>
      <c r="M736">
        <f t="shared" si="141"/>
        <v>0.29999999999995453</v>
      </c>
      <c r="N736">
        <f t="shared" si="143"/>
        <v>209.39534209786908</v>
      </c>
      <c r="O736" s="5">
        <f t="shared" si="134"/>
        <v>1.3174950614765757E-3</v>
      </c>
      <c r="P736">
        <f t="shared" si="142"/>
        <v>10000</v>
      </c>
      <c r="Q736">
        <f t="shared" si="135"/>
        <v>13.174950614765757</v>
      </c>
    </row>
    <row r="737" spans="1:17" x14ac:dyDescent="0.15">
      <c r="A737" s="10">
        <v>45893.434027777985</v>
      </c>
      <c r="B737">
        <f>COUNT(A737:$A$1158)/(48*252)</f>
        <v>3.4887566137566141E-2</v>
      </c>
      <c r="C737">
        <v>2.3279999999999998</v>
      </c>
      <c r="D737">
        <v>0.13400000000000001</v>
      </c>
      <c r="E737">
        <f t="shared" si="132"/>
        <v>2.2007512812701151</v>
      </c>
      <c r="F737">
        <f t="shared" si="133"/>
        <v>-1.3876818131667967E-2</v>
      </c>
      <c r="G737">
        <f t="shared" si="136"/>
        <v>2.9999999999996696E-3</v>
      </c>
      <c r="H737">
        <f>IF(MOD(COUNTA($C$7:C737)-1,$J$2),H736,ROUND(F737*P737,-2))</f>
        <v>-100</v>
      </c>
      <c r="I737">
        <f t="shared" si="137"/>
        <v>0</v>
      </c>
      <c r="J737">
        <f t="shared" si="138"/>
        <v>0</v>
      </c>
      <c r="K737">
        <f t="shared" si="139"/>
        <v>441.8953420978691</v>
      </c>
      <c r="L737">
        <f t="shared" si="140"/>
        <v>209.09534209786912</v>
      </c>
      <c r="M737">
        <f t="shared" si="141"/>
        <v>-0.29999999999995453</v>
      </c>
      <c r="N737">
        <f t="shared" si="143"/>
        <v>209.09534209786912</v>
      </c>
      <c r="O737" s="5">
        <f t="shared" si="134"/>
        <v>1.2645148356987268E-3</v>
      </c>
      <c r="P737">
        <f t="shared" si="142"/>
        <v>10000</v>
      </c>
      <c r="Q737">
        <f t="shared" si="135"/>
        <v>12.645148356987267</v>
      </c>
    </row>
    <row r="738" spans="1:17" x14ac:dyDescent="0.15">
      <c r="A738" s="10">
        <v>45893.4375</v>
      </c>
      <c r="B738">
        <f>COUNT(A738:$A$1158)/(48*252)</f>
        <v>3.4804894179894179E-2</v>
      </c>
      <c r="C738">
        <v>2.327</v>
      </c>
      <c r="D738">
        <v>0.13200000000000001</v>
      </c>
      <c r="E738">
        <f t="shared" si="132"/>
        <v>2.1992125589653808</v>
      </c>
      <c r="F738">
        <f t="shared" si="133"/>
        <v>-1.3931405870825531E-2</v>
      </c>
      <c r="G738">
        <f t="shared" si="136"/>
        <v>-9.9999999999988987E-4</v>
      </c>
      <c r="H738">
        <f>IF(MOD(COUNTA($C$7:C738)-1,$J$2),H737,ROUND(F738*P738,-2))</f>
        <v>-100</v>
      </c>
      <c r="I738">
        <f t="shared" si="137"/>
        <v>0</v>
      </c>
      <c r="J738">
        <f t="shared" si="138"/>
        <v>0</v>
      </c>
      <c r="K738">
        <f t="shared" si="139"/>
        <v>441.8953420978691</v>
      </c>
      <c r="L738">
        <f t="shared" si="140"/>
        <v>209.19534209786912</v>
      </c>
      <c r="M738">
        <f t="shared" si="141"/>
        <v>9.9999999999994316E-2</v>
      </c>
      <c r="N738">
        <f t="shared" si="143"/>
        <v>209.19534209786912</v>
      </c>
      <c r="O738" s="5">
        <f t="shared" si="134"/>
        <v>1.267975950409575E-3</v>
      </c>
      <c r="P738">
        <f t="shared" si="142"/>
        <v>10000</v>
      </c>
      <c r="Q738">
        <f t="shared" si="135"/>
        <v>12.679759504095751</v>
      </c>
    </row>
    <row r="739" spans="1:17" x14ac:dyDescent="0.15">
      <c r="A739" s="10">
        <v>45893.440972222015</v>
      </c>
      <c r="B739">
        <f>COUNT(A739:$A$1158)/(48*252)</f>
        <v>3.4722222222222224E-2</v>
      </c>
      <c r="C739">
        <v>2.3260000000000001</v>
      </c>
      <c r="D739">
        <v>0.13</v>
      </c>
      <c r="E739">
        <f t="shared" si="132"/>
        <v>2.1976715616223843</v>
      </c>
      <c r="F739">
        <f t="shared" si="133"/>
        <v>-1.3986259766642362E-2</v>
      </c>
      <c r="G739">
        <f t="shared" si="136"/>
        <v>-9.9999999999988987E-4</v>
      </c>
      <c r="H739">
        <f>IF(MOD(COUNTA($C$7:C739)-1,$J$2),H738,ROUND(F739*P739,-2))</f>
        <v>-100</v>
      </c>
      <c r="I739">
        <f t="shared" si="137"/>
        <v>0</v>
      </c>
      <c r="J739">
        <f t="shared" si="138"/>
        <v>0</v>
      </c>
      <c r="K739">
        <f t="shared" si="139"/>
        <v>441.8953420978691</v>
      </c>
      <c r="L739">
        <f t="shared" si="140"/>
        <v>209.29534209786911</v>
      </c>
      <c r="M739">
        <f t="shared" si="141"/>
        <v>9.9999999999994316E-2</v>
      </c>
      <c r="N739">
        <f t="shared" si="143"/>
        <v>209.29534209786911</v>
      </c>
      <c r="O739" s="5">
        <f t="shared" si="134"/>
        <v>1.2714483597209419E-3</v>
      </c>
      <c r="P739">
        <f t="shared" si="142"/>
        <v>10000</v>
      </c>
      <c r="Q739">
        <f t="shared" si="135"/>
        <v>12.714483597209419</v>
      </c>
    </row>
    <row r="740" spans="1:17" x14ac:dyDescent="0.15">
      <c r="A740" s="10">
        <v>45893.444444444962</v>
      </c>
      <c r="B740">
        <f>COUNT(A740:$A$1158)/(48*252)</f>
        <v>3.4639550264550262E-2</v>
      </c>
      <c r="C740">
        <v>2.327</v>
      </c>
      <c r="D740">
        <v>0.13100000000000001</v>
      </c>
      <c r="E740">
        <f t="shared" si="132"/>
        <v>2.2041530076080549</v>
      </c>
      <c r="F740">
        <f t="shared" si="133"/>
        <v>-1.3756792666811957E-2</v>
      </c>
      <c r="G740">
        <f t="shared" si="136"/>
        <v>9.9999999999988987E-4</v>
      </c>
      <c r="H740">
        <f>IF(MOD(COUNTA($C$7:C740)-1,$J$2),H739,ROUND(F740*P740,-2))</f>
        <v>-100</v>
      </c>
      <c r="I740">
        <f t="shared" si="137"/>
        <v>0</v>
      </c>
      <c r="J740">
        <f t="shared" si="138"/>
        <v>0</v>
      </c>
      <c r="K740">
        <f t="shared" si="139"/>
        <v>441.8953420978691</v>
      </c>
      <c r="L740">
        <f t="shared" si="140"/>
        <v>209.19534209786912</v>
      </c>
      <c r="M740">
        <f t="shared" si="141"/>
        <v>-9.9999999999994316E-2</v>
      </c>
      <c r="N740">
        <f t="shared" si="143"/>
        <v>209.19534209786912</v>
      </c>
      <c r="O740" s="5">
        <f t="shared" si="134"/>
        <v>1.2471347985058764E-3</v>
      </c>
      <c r="P740">
        <f t="shared" si="142"/>
        <v>10000</v>
      </c>
      <c r="Q740">
        <f t="shared" si="135"/>
        <v>12.471347985058765</v>
      </c>
    </row>
    <row r="741" spans="1:17" x14ac:dyDescent="0.15">
      <c r="A741" s="10">
        <v>45893.447916666977</v>
      </c>
      <c r="B741">
        <f>COUNT(A741:$A$1158)/(48*252)</f>
        <v>3.4556878306878307E-2</v>
      </c>
      <c r="C741">
        <v>2.3260000000000001</v>
      </c>
      <c r="D741">
        <v>0.13100000000000001</v>
      </c>
      <c r="E741">
        <f t="shared" si="132"/>
        <v>2.2026204938583853</v>
      </c>
      <c r="F741">
        <f t="shared" si="133"/>
        <v>-1.3810754116513224E-2</v>
      </c>
      <c r="G741">
        <f t="shared" si="136"/>
        <v>-9.9999999999988987E-4</v>
      </c>
      <c r="H741">
        <f>IF(MOD(COUNTA($C$7:C741)-1,$J$2),H740,ROUND(F741*P741,-2))</f>
        <v>-100</v>
      </c>
      <c r="I741">
        <f t="shared" si="137"/>
        <v>0</v>
      </c>
      <c r="J741">
        <f t="shared" si="138"/>
        <v>0</v>
      </c>
      <c r="K741">
        <f t="shared" si="139"/>
        <v>441.8953420978691</v>
      </c>
      <c r="L741">
        <f t="shared" si="140"/>
        <v>209.29534209786911</v>
      </c>
      <c r="M741">
        <f t="shared" si="141"/>
        <v>9.9999999999994316E-2</v>
      </c>
      <c r="N741">
        <f t="shared" si="143"/>
        <v>209.29534209786911</v>
      </c>
      <c r="O741" s="5">
        <f t="shared" si="134"/>
        <v>1.2505205419359663E-3</v>
      </c>
      <c r="P741">
        <f t="shared" si="142"/>
        <v>10000</v>
      </c>
      <c r="Q741">
        <f t="shared" si="135"/>
        <v>12.505205419359664</v>
      </c>
    </row>
    <row r="742" spans="1:17" x14ac:dyDescent="0.15">
      <c r="A742" s="10">
        <v>45893.451388888992</v>
      </c>
      <c r="B742">
        <f>COUNT(A742:$A$1158)/(48*252)</f>
        <v>3.4474206349206352E-2</v>
      </c>
      <c r="C742">
        <v>2.33</v>
      </c>
      <c r="D742">
        <v>0.13300000000000001</v>
      </c>
      <c r="E742">
        <f t="shared" si="132"/>
        <v>2.2211826428043708</v>
      </c>
      <c r="F742">
        <f t="shared" si="133"/>
        <v>-1.3169296664017782E-2</v>
      </c>
      <c r="G742">
        <f t="shared" si="136"/>
        <v>4.0000000000000036E-3</v>
      </c>
      <c r="H742">
        <f>IF(MOD(COUNTA($C$7:C742)-1,$J$2),H741,ROUND(F742*P742,-2))</f>
        <v>-100</v>
      </c>
      <c r="I742">
        <f t="shared" si="137"/>
        <v>0</v>
      </c>
      <c r="J742">
        <f t="shared" si="138"/>
        <v>0</v>
      </c>
      <c r="K742">
        <f t="shared" si="139"/>
        <v>441.8953420978691</v>
      </c>
      <c r="L742">
        <f t="shared" si="140"/>
        <v>208.8953420978691</v>
      </c>
      <c r="M742">
        <f t="shared" si="141"/>
        <v>-0.40000000000000568</v>
      </c>
      <c r="N742">
        <f t="shared" si="143"/>
        <v>208.8953420978691</v>
      </c>
      <c r="O742" s="5">
        <f t="shared" si="134"/>
        <v>1.1863449567290907E-3</v>
      </c>
      <c r="P742">
        <f t="shared" si="142"/>
        <v>10000</v>
      </c>
      <c r="Q742">
        <f t="shared" si="135"/>
        <v>11.863449567290907</v>
      </c>
    </row>
    <row r="743" spans="1:17" x14ac:dyDescent="0.15">
      <c r="A743" s="10">
        <v>45893.454861111008</v>
      </c>
      <c r="B743">
        <f>COUNT(A743:$A$1158)/(48*252)</f>
        <v>3.439153439153439E-2</v>
      </c>
      <c r="C743">
        <v>2.3319999999999999</v>
      </c>
      <c r="D743">
        <v>0.13300000000000001</v>
      </c>
      <c r="E743">
        <f t="shared" si="132"/>
        <v>2.231735509130095</v>
      </c>
      <c r="F743">
        <f t="shared" si="133"/>
        <v>-1.2816224448937374E-2</v>
      </c>
      <c r="G743">
        <f t="shared" si="136"/>
        <v>1.9999999999997797E-3</v>
      </c>
      <c r="H743">
        <f>IF(MOD(COUNTA($C$7:C743)-1,$J$2),H742,ROUND(F743*P743,-2))</f>
        <v>-100</v>
      </c>
      <c r="I743">
        <f t="shared" si="137"/>
        <v>0</v>
      </c>
      <c r="J743">
        <f t="shared" si="138"/>
        <v>0</v>
      </c>
      <c r="K743">
        <f t="shared" si="139"/>
        <v>441.8953420978691</v>
      </c>
      <c r="L743">
        <f t="shared" si="140"/>
        <v>208.69534209786912</v>
      </c>
      <c r="M743">
        <f t="shared" si="141"/>
        <v>-0.19999999999998863</v>
      </c>
      <c r="N743">
        <f t="shared" si="143"/>
        <v>208.69534209786912</v>
      </c>
      <c r="O743" s="5">
        <f t="shared" si="134"/>
        <v>1.1504368353721164E-3</v>
      </c>
      <c r="P743">
        <f t="shared" si="142"/>
        <v>10000</v>
      </c>
      <c r="Q743">
        <f t="shared" si="135"/>
        <v>11.504368353721164</v>
      </c>
    </row>
    <row r="744" spans="1:17" x14ac:dyDescent="0.15">
      <c r="A744" s="10">
        <v>45893.458333333023</v>
      </c>
      <c r="B744">
        <f>COUNT(A744:$A$1158)/(48*252)</f>
        <v>3.4308862433862435E-2</v>
      </c>
      <c r="C744">
        <v>2.33</v>
      </c>
      <c r="D744">
        <v>0.13100000000000001</v>
      </c>
      <c r="E744">
        <f t="shared" si="132"/>
        <v>2.2262249849090265</v>
      </c>
      <c r="F744">
        <f t="shared" si="133"/>
        <v>-1.2999557610839707E-2</v>
      </c>
      <c r="G744">
        <f t="shared" si="136"/>
        <v>-1.9999999999997797E-3</v>
      </c>
      <c r="H744">
        <f>IF(MOD(COUNTA($C$7:C744)-1,$J$2),H743,ROUND(F744*P744,-2))</f>
        <v>-100</v>
      </c>
      <c r="I744">
        <f t="shared" si="137"/>
        <v>0</v>
      </c>
      <c r="J744">
        <f t="shared" si="138"/>
        <v>0</v>
      </c>
      <c r="K744">
        <f t="shared" si="139"/>
        <v>441.8953420978691</v>
      </c>
      <c r="L744">
        <f t="shared" si="140"/>
        <v>208.8953420978691</v>
      </c>
      <c r="M744">
        <f t="shared" si="141"/>
        <v>0.19999999999998863</v>
      </c>
      <c r="N744">
        <f t="shared" si="143"/>
        <v>208.8953420978691</v>
      </c>
      <c r="O744" s="5">
        <f t="shared" si="134"/>
        <v>1.1663719917755777E-3</v>
      </c>
      <c r="P744">
        <f t="shared" si="142"/>
        <v>10000</v>
      </c>
      <c r="Q744">
        <f t="shared" si="135"/>
        <v>11.663719917755778</v>
      </c>
    </row>
    <row r="745" spans="1:17" x14ac:dyDescent="0.15">
      <c r="A745" s="10">
        <v>45893.461805555969</v>
      </c>
      <c r="B745">
        <f>COUNT(A745:$A$1158)/(48*252)</f>
        <v>3.4226190476190479E-2</v>
      </c>
      <c r="C745">
        <v>2.3250000000000002</v>
      </c>
      <c r="D745">
        <v>0.13</v>
      </c>
      <c r="E745">
        <f t="shared" si="132"/>
        <v>2.2085905309057097</v>
      </c>
      <c r="F745">
        <f t="shared" si="133"/>
        <v>-1.3601567285719818E-2</v>
      </c>
      <c r="G745">
        <f t="shared" si="136"/>
        <v>-4.9999999999998934E-3</v>
      </c>
      <c r="H745">
        <f>IF(MOD(COUNTA($C$7:C745)-1,$J$2),H744,ROUND(F745*P745,-2))</f>
        <v>-100</v>
      </c>
      <c r="I745">
        <f t="shared" si="137"/>
        <v>0</v>
      </c>
      <c r="J745">
        <f t="shared" si="138"/>
        <v>0</v>
      </c>
      <c r="K745">
        <f t="shared" si="139"/>
        <v>441.8953420978691</v>
      </c>
      <c r="L745">
        <f t="shared" si="140"/>
        <v>209.39534209786908</v>
      </c>
      <c r="M745">
        <f t="shared" si="141"/>
        <v>0.49999999999997158</v>
      </c>
      <c r="N745">
        <f t="shared" si="143"/>
        <v>209.39534209786908</v>
      </c>
      <c r="O745" s="5">
        <f t="shared" si="134"/>
        <v>1.2227291181651015E-3</v>
      </c>
      <c r="P745">
        <f t="shared" si="142"/>
        <v>10000</v>
      </c>
      <c r="Q745">
        <f t="shared" si="135"/>
        <v>12.227291181651015</v>
      </c>
    </row>
    <row r="746" spans="1:17" x14ac:dyDescent="0.15">
      <c r="A746" s="10">
        <v>45893.465277777985</v>
      </c>
      <c r="B746">
        <f>COUNT(A746:$A$1158)/(48*252)</f>
        <v>3.4143518518518517E-2</v>
      </c>
      <c r="C746">
        <v>2.3210000000000002</v>
      </c>
      <c r="D746">
        <v>0.126</v>
      </c>
      <c r="E746">
        <f t="shared" si="132"/>
        <v>2.1949241614464134</v>
      </c>
      <c r="F746">
        <f t="shared" si="133"/>
        <v>-1.4084519162079756E-2</v>
      </c>
      <c r="G746">
        <f t="shared" si="136"/>
        <v>-4.0000000000000036E-3</v>
      </c>
      <c r="H746">
        <f>IF(MOD(COUNTA($C$7:C746)-1,$J$2),H745,ROUND(F746*P746,-2))</f>
        <v>-100</v>
      </c>
      <c r="I746">
        <f t="shared" si="137"/>
        <v>0</v>
      </c>
      <c r="J746">
        <f t="shared" si="138"/>
        <v>0</v>
      </c>
      <c r="K746">
        <f t="shared" si="139"/>
        <v>441.8953420978691</v>
      </c>
      <c r="L746">
        <f t="shared" si="140"/>
        <v>209.79534209786908</v>
      </c>
      <c r="M746">
        <f t="shared" si="141"/>
        <v>0.40000000000000568</v>
      </c>
      <c r="N746">
        <f t="shared" si="143"/>
        <v>209.79534209786908</v>
      </c>
      <c r="O746" s="5">
        <f t="shared" si="134"/>
        <v>1.2676126116585446E-3</v>
      </c>
      <c r="P746">
        <f t="shared" si="142"/>
        <v>10000</v>
      </c>
      <c r="Q746">
        <f t="shared" si="135"/>
        <v>12.676126116585445</v>
      </c>
    </row>
    <row r="747" spans="1:17" x14ac:dyDescent="0.15">
      <c r="A747" s="10">
        <v>45893.46875</v>
      </c>
      <c r="B747">
        <f>COUNT(A747:$A$1158)/(48*252)</f>
        <v>3.4060846560846562E-2</v>
      </c>
      <c r="C747">
        <v>2.3170000000000002</v>
      </c>
      <c r="D747">
        <v>0.124</v>
      </c>
      <c r="E747">
        <f t="shared" si="132"/>
        <v>2.1811999286663419</v>
      </c>
      <c r="F747">
        <f t="shared" si="133"/>
        <v>-1.4584316054518487E-2</v>
      </c>
      <c r="G747">
        <f t="shared" si="136"/>
        <v>-4.0000000000000036E-3</v>
      </c>
      <c r="H747">
        <f>IF(MOD(COUNTA($C$7:C747)-1,$J$2),H746,ROUND(F747*P747,-2))</f>
        <v>-100</v>
      </c>
      <c r="I747">
        <f t="shared" si="137"/>
        <v>0</v>
      </c>
      <c r="J747">
        <f t="shared" si="138"/>
        <v>0</v>
      </c>
      <c r="K747">
        <f t="shared" si="139"/>
        <v>441.8953420978691</v>
      </c>
      <c r="L747">
        <f t="shared" si="140"/>
        <v>210.19534209786909</v>
      </c>
      <c r="M747">
        <f t="shared" si="141"/>
        <v>0.40000000000000568</v>
      </c>
      <c r="N747">
        <f t="shared" si="143"/>
        <v>210.19534209786909</v>
      </c>
      <c r="O747" s="5">
        <f t="shared" si="134"/>
        <v>1.3141473694514225E-3</v>
      </c>
      <c r="P747">
        <f t="shared" si="142"/>
        <v>10000</v>
      </c>
      <c r="Q747">
        <f t="shared" si="135"/>
        <v>13.141473694514225</v>
      </c>
    </row>
    <row r="748" spans="1:17" x14ac:dyDescent="0.15">
      <c r="A748" s="10">
        <v>45893.472222222015</v>
      </c>
      <c r="B748">
        <f>COUNT(A748:$A$1158)/(48*252)</f>
        <v>3.39781746031746E-2</v>
      </c>
      <c r="C748">
        <v>2.3140000000000001</v>
      </c>
      <c r="D748">
        <v>0.121</v>
      </c>
      <c r="E748">
        <f t="shared" si="132"/>
        <v>2.1714905882741653</v>
      </c>
      <c r="F748">
        <f t="shared" si="133"/>
        <v>-1.4947053916329445E-2</v>
      </c>
      <c r="G748">
        <f t="shared" si="136"/>
        <v>-3.0000000000001137E-3</v>
      </c>
      <c r="H748">
        <f>IF(MOD(COUNTA($C$7:C748)-1,$J$2),H747,ROUND(F748*P748,-2))</f>
        <v>-100</v>
      </c>
      <c r="I748">
        <f t="shared" si="137"/>
        <v>0</v>
      </c>
      <c r="J748">
        <f t="shared" si="138"/>
        <v>0</v>
      </c>
      <c r="K748">
        <f t="shared" si="139"/>
        <v>441.8953420978691</v>
      </c>
      <c r="L748">
        <f t="shared" si="140"/>
        <v>210.4953420978691</v>
      </c>
      <c r="M748">
        <f t="shared" si="141"/>
        <v>0.30000000000001137</v>
      </c>
      <c r="N748">
        <f t="shared" si="143"/>
        <v>210.4953420978691</v>
      </c>
      <c r="O748" s="5">
        <f t="shared" si="134"/>
        <v>1.3473689987032328E-3</v>
      </c>
      <c r="P748">
        <f t="shared" si="142"/>
        <v>10000</v>
      </c>
      <c r="Q748">
        <f t="shared" si="135"/>
        <v>13.473689987032328</v>
      </c>
    </row>
    <row r="749" spans="1:17" x14ac:dyDescent="0.15">
      <c r="A749" s="10">
        <v>45893.475694444962</v>
      </c>
      <c r="B749">
        <f>COUNT(A749:$A$1158)/(48*252)</f>
        <v>3.3895502645502645E-2</v>
      </c>
      <c r="C749">
        <v>2.3079999999999998</v>
      </c>
      <c r="D749">
        <v>0.11799999999999999</v>
      </c>
      <c r="E749">
        <f t="shared" si="132"/>
        <v>2.1494895355062242</v>
      </c>
      <c r="F749">
        <f t="shared" si="133"/>
        <v>-1.5797807364866689E-2</v>
      </c>
      <c r="G749">
        <f t="shared" si="136"/>
        <v>-6.0000000000002274E-3</v>
      </c>
      <c r="H749">
        <f>IF(MOD(COUNTA($C$7:C749)-1,$J$2),H748,ROUND(F749*P749,-2))</f>
        <v>-200</v>
      </c>
      <c r="I749">
        <f t="shared" si="137"/>
        <v>-100</v>
      </c>
      <c r="J749">
        <f t="shared" si="138"/>
        <v>0</v>
      </c>
      <c r="K749">
        <f t="shared" si="139"/>
        <v>672.68495609786908</v>
      </c>
      <c r="L749">
        <f t="shared" si="140"/>
        <v>211.08495609786911</v>
      </c>
      <c r="M749">
        <f t="shared" si="141"/>
        <v>0.58961400000001163</v>
      </c>
      <c r="N749">
        <f t="shared" si="143"/>
        <v>211.08495609786911</v>
      </c>
      <c r="O749" s="5">
        <f t="shared" si="134"/>
        <v>1.428128975451852E-3</v>
      </c>
      <c r="P749">
        <f t="shared" si="142"/>
        <v>10000</v>
      </c>
      <c r="Q749">
        <f t="shared" si="135"/>
        <v>14.28128975451852</v>
      </c>
    </row>
    <row r="750" spans="1:17" x14ac:dyDescent="0.15">
      <c r="A750" s="10">
        <v>45893.479166666977</v>
      </c>
      <c r="B750">
        <f>COUNT(A750:$A$1158)/(48*252)</f>
        <v>3.381283068783069E-2</v>
      </c>
      <c r="C750">
        <v>2.31</v>
      </c>
      <c r="D750">
        <v>0.12</v>
      </c>
      <c r="E750">
        <f t="shared" si="132"/>
        <v>2.1601448566989609</v>
      </c>
      <c r="F750">
        <f t="shared" si="133"/>
        <v>-1.5380728713625058E-2</v>
      </c>
      <c r="G750">
        <f t="shared" si="136"/>
        <v>2.0000000000002238E-3</v>
      </c>
      <c r="H750">
        <f>IF(MOD(COUNTA($C$7:C750)-1,$J$2),H749,ROUND(F750*P750,-2))</f>
        <v>-200</v>
      </c>
      <c r="I750">
        <f t="shared" si="137"/>
        <v>0</v>
      </c>
      <c r="J750">
        <f t="shared" si="138"/>
        <v>0</v>
      </c>
      <c r="K750">
        <f t="shared" si="139"/>
        <v>672.68495609786908</v>
      </c>
      <c r="L750">
        <f t="shared" si="140"/>
        <v>210.68495609786908</v>
      </c>
      <c r="M750">
        <f t="shared" si="141"/>
        <v>-0.40000000000003411</v>
      </c>
      <c r="N750">
        <f t="shared" si="143"/>
        <v>210.68495609786908</v>
      </c>
      <c r="O750" s="5">
        <f t="shared" si="134"/>
        <v>1.3853549939227966E-3</v>
      </c>
      <c r="P750">
        <f t="shared" si="142"/>
        <v>10000</v>
      </c>
      <c r="Q750">
        <f t="shared" si="135"/>
        <v>13.853549939227966</v>
      </c>
    </row>
    <row r="751" spans="1:17" x14ac:dyDescent="0.15">
      <c r="A751" s="10">
        <v>45893.545138888992</v>
      </c>
      <c r="B751">
        <f>COUNT(A751:$A$1158)/(48*252)</f>
        <v>3.3730158730158728E-2</v>
      </c>
      <c r="C751">
        <v>2.3090000000000002</v>
      </c>
      <c r="D751">
        <v>0.11899999999999999</v>
      </c>
      <c r="E751">
        <f t="shared" si="132"/>
        <v>2.1585423009223086</v>
      </c>
      <c r="F751">
        <f t="shared" si="133"/>
        <v>-1.5442846633198726E-2</v>
      </c>
      <c r="G751">
        <f t="shared" si="136"/>
        <v>-9.9999999999988987E-4</v>
      </c>
      <c r="H751">
        <f>IF(MOD(COUNTA($C$7:C751)-1,$J$2),H750,ROUND(F751*P751,-2))</f>
        <v>-200</v>
      </c>
      <c r="I751">
        <f t="shared" si="137"/>
        <v>0</v>
      </c>
      <c r="J751">
        <f t="shared" si="138"/>
        <v>0</v>
      </c>
      <c r="K751">
        <f t="shared" si="139"/>
        <v>672.68495609786908</v>
      </c>
      <c r="L751">
        <f t="shared" si="140"/>
        <v>210.88495609786906</v>
      </c>
      <c r="M751">
        <f t="shared" si="141"/>
        <v>0.19999999999998863</v>
      </c>
      <c r="N751">
        <f t="shared" si="143"/>
        <v>210.88495609786906</v>
      </c>
      <c r="O751" s="5">
        <f t="shared" si="134"/>
        <v>1.3892659263821105E-3</v>
      </c>
      <c r="P751">
        <f t="shared" si="142"/>
        <v>10000</v>
      </c>
      <c r="Q751">
        <f t="shared" si="135"/>
        <v>13.892659263821105</v>
      </c>
    </row>
    <row r="752" spans="1:17" x14ac:dyDescent="0.15">
      <c r="A752" s="10">
        <v>45893.548611111008</v>
      </c>
      <c r="B752">
        <f>COUNT(A752:$A$1158)/(48*252)</f>
        <v>3.3647486772486773E-2</v>
      </c>
      <c r="C752">
        <v>2.3069999999999999</v>
      </c>
      <c r="D752">
        <v>0.11899999999999999</v>
      </c>
      <c r="E752">
        <f t="shared" si="132"/>
        <v>2.1528335607507825</v>
      </c>
      <c r="F752">
        <f t="shared" si="133"/>
        <v>-1.5665880768828133E-2</v>
      </c>
      <c r="G752">
        <f t="shared" si="136"/>
        <v>-2.0000000000002238E-3</v>
      </c>
      <c r="H752">
        <f>IF(MOD(COUNTA($C$7:C752)-1,$J$2),H751,ROUND(F752*P752,-2))</f>
        <v>-200</v>
      </c>
      <c r="I752">
        <f t="shared" si="137"/>
        <v>0</v>
      </c>
      <c r="J752">
        <f t="shared" si="138"/>
        <v>0</v>
      </c>
      <c r="K752">
        <f t="shared" si="139"/>
        <v>672.68495609786908</v>
      </c>
      <c r="L752">
        <f t="shared" si="140"/>
        <v>211.2849560978691</v>
      </c>
      <c r="M752">
        <f t="shared" si="141"/>
        <v>0.40000000000003411</v>
      </c>
      <c r="N752">
        <f t="shared" si="143"/>
        <v>211.2849560978691</v>
      </c>
      <c r="O752" s="5">
        <f t="shared" si="134"/>
        <v>1.4087754917672252E-3</v>
      </c>
      <c r="P752">
        <f t="shared" si="142"/>
        <v>10000</v>
      </c>
      <c r="Q752">
        <f t="shared" si="135"/>
        <v>14.087754917672251</v>
      </c>
    </row>
    <row r="753" spans="1:17" x14ac:dyDescent="0.15">
      <c r="A753" s="10">
        <v>45893.552083333023</v>
      </c>
      <c r="B753">
        <f>COUNT(A753:$A$1158)/(48*252)</f>
        <v>3.3564814814814818E-2</v>
      </c>
      <c r="C753">
        <v>2.3109999999999999</v>
      </c>
      <c r="D753">
        <v>0.12</v>
      </c>
      <c r="E753">
        <f t="shared" si="132"/>
        <v>2.1717542098383191</v>
      </c>
      <c r="F753">
        <f t="shared" si="133"/>
        <v>-1.4937103601805224E-2</v>
      </c>
      <c r="G753">
        <f t="shared" si="136"/>
        <v>4.0000000000000036E-3</v>
      </c>
      <c r="H753">
        <f>IF(MOD(COUNTA($C$7:C753)-1,$J$2),H752,ROUND(F753*P753,-2))</f>
        <v>-100</v>
      </c>
      <c r="I753">
        <f t="shared" si="137"/>
        <v>100</v>
      </c>
      <c r="J753">
        <f t="shared" si="138"/>
        <v>0</v>
      </c>
      <c r="K753">
        <f t="shared" si="139"/>
        <v>441.57455659786905</v>
      </c>
      <c r="L753">
        <f t="shared" si="140"/>
        <v>210.47455659786905</v>
      </c>
      <c r="M753">
        <f t="shared" si="141"/>
        <v>-0.81039950000004524</v>
      </c>
      <c r="N753">
        <f t="shared" si="143"/>
        <v>210.47455659786905</v>
      </c>
      <c r="O753" s="5">
        <f t="shared" si="134"/>
        <v>1.3361249597257929E-3</v>
      </c>
      <c r="P753">
        <f t="shared" si="142"/>
        <v>10000</v>
      </c>
      <c r="Q753">
        <f t="shared" si="135"/>
        <v>13.361249597257929</v>
      </c>
    </row>
    <row r="754" spans="1:17" x14ac:dyDescent="0.15">
      <c r="A754" s="10">
        <v>45893.555555555969</v>
      </c>
      <c r="B754">
        <f>COUNT(A754:$A$1158)/(48*252)</f>
        <v>3.3482142857142856E-2</v>
      </c>
      <c r="C754">
        <v>2.3130000000000002</v>
      </c>
      <c r="D754">
        <v>0.12</v>
      </c>
      <c r="E754">
        <f t="shared" si="132"/>
        <v>2.1824918062395615</v>
      </c>
      <c r="F754">
        <f t="shared" si="133"/>
        <v>-1.4536627665287516E-2</v>
      </c>
      <c r="G754">
        <f t="shared" si="136"/>
        <v>2.0000000000002238E-3</v>
      </c>
      <c r="H754">
        <f>IF(MOD(COUNTA($C$7:C754)-1,$J$2),H753,ROUND(F754*P754,-2))</f>
        <v>-100</v>
      </c>
      <c r="I754">
        <f t="shared" si="137"/>
        <v>0</v>
      </c>
      <c r="J754">
        <f t="shared" si="138"/>
        <v>0</v>
      </c>
      <c r="K754">
        <f t="shared" si="139"/>
        <v>441.57455659786905</v>
      </c>
      <c r="L754">
        <f t="shared" si="140"/>
        <v>210.27455659786904</v>
      </c>
      <c r="M754">
        <f t="shared" si="141"/>
        <v>-0.20000000000001705</v>
      </c>
      <c r="N754">
        <f t="shared" si="143"/>
        <v>210.27455659786904</v>
      </c>
      <c r="O754" s="5">
        <f t="shared" si="134"/>
        <v>1.2955327454406626E-3</v>
      </c>
      <c r="P754">
        <f t="shared" si="142"/>
        <v>10000</v>
      </c>
      <c r="Q754">
        <f t="shared" si="135"/>
        <v>12.955327454406627</v>
      </c>
    </row>
    <row r="755" spans="1:17" x14ac:dyDescent="0.15">
      <c r="A755" s="10">
        <v>45893.559027777985</v>
      </c>
      <c r="B755">
        <f>COUNT(A755:$A$1158)/(48*252)</f>
        <v>3.3399470899470901E-2</v>
      </c>
      <c r="C755">
        <v>2.3170000000000002</v>
      </c>
      <c r="D755">
        <v>0.122</v>
      </c>
      <c r="E755">
        <f t="shared" si="132"/>
        <v>2.2014597984383615</v>
      </c>
      <c r="F755">
        <f t="shared" si="133"/>
        <v>-1.3851744844100566E-2</v>
      </c>
      <c r="G755">
        <f t="shared" si="136"/>
        <v>4.0000000000000036E-3</v>
      </c>
      <c r="H755">
        <f>IF(MOD(COUNTA($C$7:C755)-1,$J$2),H754,ROUND(F755*P755,-2))</f>
        <v>-100</v>
      </c>
      <c r="I755">
        <f t="shared" si="137"/>
        <v>0</v>
      </c>
      <c r="J755">
        <f t="shared" si="138"/>
        <v>0</v>
      </c>
      <c r="K755">
        <f t="shared" si="139"/>
        <v>441.57455659786905</v>
      </c>
      <c r="L755">
        <f t="shared" si="140"/>
        <v>209.87455659786903</v>
      </c>
      <c r="M755">
        <f t="shared" si="141"/>
        <v>-0.40000000000000568</v>
      </c>
      <c r="N755">
        <f t="shared" si="143"/>
        <v>209.87455659786903</v>
      </c>
      <c r="O755" s="5">
        <f t="shared" si="134"/>
        <v>1.2279721344248193E-3</v>
      </c>
      <c r="P755">
        <f t="shared" si="142"/>
        <v>10000</v>
      </c>
      <c r="Q755">
        <f t="shared" si="135"/>
        <v>12.279721344248193</v>
      </c>
    </row>
    <row r="756" spans="1:17" x14ac:dyDescent="0.15">
      <c r="A756" s="10">
        <v>45893.5625</v>
      </c>
      <c r="B756">
        <f>COUNT(A756:$A$1158)/(48*252)</f>
        <v>3.3316798941798939E-2</v>
      </c>
      <c r="C756">
        <v>2.3170000000000002</v>
      </c>
      <c r="D756">
        <v>0.123</v>
      </c>
      <c r="E756">
        <f t="shared" si="132"/>
        <v>2.2040354672167011</v>
      </c>
      <c r="F756">
        <f t="shared" si="133"/>
        <v>-1.3760924940544372E-2</v>
      </c>
      <c r="G756">
        <f t="shared" si="136"/>
        <v>0</v>
      </c>
      <c r="H756">
        <f>IF(MOD(COUNTA($C$7:C756)-1,$J$2),H755,ROUND(F756*P756,-2))</f>
        <v>-100</v>
      </c>
      <c r="I756">
        <f t="shared" si="137"/>
        <v>0</v>
      </c>
      <c r="J756">
        <f t="shared" si="138"/>
        <v>0</v>
      </c>
      <c r="K756">
        <f t="shared" si="139"/>
        <v>441.57455659786905</v>
      </c>
      <c r="L756">
        <f t="shared" si="140"/>
        <v>209.87455659786903</v>
      </c>
      <c r="M756">
        <f t="shared" si="141"/>
        <v>0</v>
      </c>
      <c r="N756">
        <f t="shared" si="143"/>
        <v>209.87455659786903</v>
      </c>
      <c r="O756" s="5">
        <f t="shared" si="134"/>
        <v>1.2174094204623342E-3</v>
      </c>
      <c r="P756">
        <f t="shared" si="142"/>
        <v>10000</v>
      </c>
      <c r="Q756">
        <f t="shared" si="135"/>
        <v>12.174094204623342</v>
      </c>
    </row>
    <row r="757" spans="1:17" x14ac:dyDescent="0.15">
      <c r="A757" s="10">
        <v>45893.565972222015</v>
      </c>
      <c r="B757">
        <f>COUNT(A757:$A$1158)/(48*252)</f>
        <v>3.3234126984126984E-2</v>
      </c>
      <c r="C757">
        <v>2.3149999999999999</v>
      </c>
      <c r="D757">
        <v>0.121</v>
      </c>
      <c r="E757">
        <f t="shared" si="132"/>
        <v>2.1983929145022714</v>
      </c>
      <c r="F757">
        <f t="shared" si="133"/>
        <v>-1.3960559094657654E-2</v>
      </c>
      <c r="G757">
        <f t="shared" si="136"/>
        <v>-2.0000000000002238E-3</v>
      </c>
      <c r="H757">
        <f>IF(MOD(COUNTA($C$7:C757)-1,$J$2),H756,ROUND(F757*P757,-2))</f>
        <v>-100</v>
      </c>
      <c r="I757">
        <f t="shared" si="137"/>
        <v>0</v>
      </c>
      <c r="J757">
        <f t="shared" si="138"/>
        <v>0</v>
      </c>
      <c r="K757">
        <f t="shared" si="139"/>
        <v>441.57455659786905</v>
      </c>
      <c r="L757">
        <f t="shared" si="140"/>
        <v>210.07455659786905</v>
      </c>
      <c r="M757">
        <f t="shared" si="141"/>
        <v>0.20000000000001705</v>
      </c>
      <c r="N757">
        <f t="shared" si="143"/>
        <v>210.07455659786905</v>
      </c>
      <c r="O757" s="5">
        <f t="shared" si="134"/>
        <v>1.2345233092439026E-3</v>
      </c>
      <c r="P757">
        <f t="shared" si="142"/>
        <v>10000</v>
      </c>
      <c r="Q757">
        <f t="shared" si="135"/>
        <v>12.345233092439026</v>
      </c>
    </row>
    <row r="758" spans="1:17" x14ac:dyDescent="0.15">
      <c r="A758" s="10">
        <v>45893.569444444962</v>
      </c>
      <c r="B758">
        <f>COUNT(A758:$A$1158)/(48*252)</f>
        <v>3.3151455026455029E-2</v>
      </c>
      <c r="C758">
        <v>2.3140000000000001</v>
      </c>
      <c r="D758">
        <v>0.121</v>
      </c>
      <c r="E758">
        <f t="shared" si="132"/>
        <v>2.1968561791606001</v>
      </c>
      <c r="F758">
        <f t="shared" si="133"/>
        <v>-1.401535966252343E-2</v>
      </c>
      <c r="G758">
        <f t="shared" si="136"/>
        <v>-9.9999999999988987E-4</v>
      </c>
      <c r="H758">
        <f>IF(MOD(COUNTA($C$7:C758)-1,$J$2),H757,ROUND(F758*P758,-2))</f>
        <v>-100</v>
      </c>
      <c r="I758">
        <f t="shared" si="137"/>
        <v>0</v>
      </c>
      <c r="J758">
        <f t="shared" si="138"/>
        <v>0</v>
      </c>
      <c r="K758">
        <f t="shared" si="139"/>
        <v>441.57455659786905</v>
      </c>
      <c r="L758">
        <f t="shared" si="140"/>
        <v>210.17455659786904</v>
      </c>
      <c r="M758">
        <f t="shared" si="141"/>
        <v>9.9999999999994316E-2</v>
      </c>
      <c r="N758">
        <f t="shared" si="143"/>
        <v>210.17455659786904</v>
      </c>
      <c r="O758" s="5">
        <f t="shared" si="134"/>
        <v>1.2378137428031913E-3</v>
      </c>
      <c r="P758">
        <f t="shared" si="142"/>
        <v>10000</v>
      </c>
      <c r="Q758">
        <f t="shared" si="135"/>
        <v>12.378137428031913</v>
      </c>
    </row>
    <row r="759" spans="1:17" x14ac:dyDescent="0.15">
      <c r="A759" s="10">
        <v>45893.572916666977</v>
      </c>
      <c r="B759">
        <f>COUNT(A759:$A$1158)/(48*252)</f>
        <v>3.3068783068783067E-2</v>
      </c>
      <c r="C759">
        <v>2.3149999999999999</v>
      </c>
      <c r="D759">
        <v>0.121</v>
      </c>
      <c r="E759">
        <f t="shared" si="132"/>
        <v>2.2035729339666741</v>
      </c>
      <c r="F759">
        <f t="shared" si="133"/>
        <v>-1.3777196251129276E-2</v>
      </c>
      <c r="G759">
        <f t="shared" si="136"/>
        <v>9.9999999999988987E-4</v>
      </c>
      <c r="H759">
        <f>IF(MOD(COUNTA($C$7:C759)-1,$J$2),H758,ROUND(F759*P759,-2))</f>
        <v>-100</v>
      </c>
      <c r="I759">
        <f t="shared" si="137"/>
        <v>0</v>
      </c>
      <c r="J759">
        <f t="shared" si="138"/>
        <v>0</v>
      </c>
      <c r="K759">
        <f t="shared" si="139"/>
        <v>441.57455659786905</v>
      </c>
      <c r="L759">
        <f t="shared" si="140"/>
        <v>210.07455659786905</v>
      </c>
      <c r="M759">
        <f t="shared" si="141"/>
        <v>-9.9999999999994316E-2</v>
      </c>
      <c r="N759">
        <f t="shared" si="143"/>
        <v>210.07455659786905</v>
      </c>
      <c r="O759" s="5">
        <f t="shared" si="134"/>
        <v>1.2132674059856657E-3</v>
      </c>
      <c r="P759">
        <f t="shared" si="142"/>
        <v>10000</v>
      </c>
      <c r="Q759">
        <f t="shared" si="135"/>
        <v>12.132674059856658</v>
      </c>
    </row>
    <row r="760" spans="1:17" x14ac:dyDescent="0.15">
      <c r="A760" s="10">
        <v>45893.576388888992</v>
      </c>
      <c r="B760">
        <f>COUNT(A760:$A$1158)/(48*252)</f>
        <v>3.2986111111111112E-2</v>
      </c>
      <c r="C760">
        <v>2.3220000000000001</v>
      </c>
      <c r="D760">
        <v>0.124</v>
      </c>
      <c r="E760">
        <f t="shared" si="132"/>
        <v>2.2350528004944441</v>
      </c>
      <c r="F760">
        <f t="shared" si="133"/>
        <v>-1.2706941274417072E-2</v>
      </c>
      <c r="G760">
        <f t="shared" si="136"/>
        <v>7.0000000000001172E-3</v>
      </c>
      <c r="H760">
        <f>IF(MOD(COUNTA($C$7:C760)-1,$J$2),H759,ROUND(F760*P760,-2))</f>
        <v>-100</v>
      </c>
      <c r="I760">
        <f t="shared" si="137"/>
        <v>0</v>
      </c>
      <c r="J760">
        <f t="shared" si="138"/>
        <v>0</v>
      </c>
      <c r="K760">
        <f t="shared" si="139"/>
        <v>441.57455659786905</v>
      </c>
      <c r="L760">
        <f t="shared" si="140"/>
        <v>209.37455659786903</v>
      </c>
      <c r="M760">
        <f t="shared" si="141"/>
        <v>-0.70000000000001705</v>
      </c>
      <c r="N760">
        <f t="shared" si="143"/>
        <v>209.37455659786903</v>
      </c>
      <c r="O760" s="5">
        <f t="shared" si="134"/>
        <v>1.1103740601825125E-3</v>
      </c>
      <c r="P760">
        <f t="shared" si="142"/>
        <v>10000</v>
      </c>
      <c r="Q760">
        <f t="shared" si="135"/>
        <v>11.103740601825125</v>
      </c>
    </row>
    <row r="761" spans="1:17" x14ac:dyDescent="0.15">
      <c r="A761" s="10">
        <v>45893.579861111008</v>
      </c>
      <c r="B761">
        <f>COUNT(A761:$A$1158)/(48*252)</f>
        <v>3.2903439153439157E-2</v>
      </c>
      <c r="C761">
        <v>2.3199999999999998</v>
      </c>
      <c r="D761">
        <v>0.124</v>
      </c>
      <c r="E761">
        <f t="shared" si="132"/>
        <v>2.2294525043557374</v>
      </c>
      <c r="F761">
        <f t="shared" si="133"/>
        <v>-1.2891906063342229E-2</v>
      </c>
      <c r="G761">
        <f t="shared" si="136"/>
        <v>-2.0000000000002238E-3</v>
      </c>
      <c r="H761">
        <f>IF(MOD(COUNTA($C$7:C761)-1,$J$2),H760,ROUND(F761*P761,-2))</f>
        <v>-100</v>
      </c>
      <c r="I761">
        <f t="shared" si="137"/>
        <v>0</v>
      </c>
      <c r="J761">
        <f t="shared" si="138"/>
        <v>0</v>
      </c>
      <c r="K761">
        <f t="shared" si="139"/>
        <v>441.57455659786905</v>
      </c>
      <c r="L761">
        <f t="shared" si="140"/>
        <v>209.57455659786908</v>
      </c>
      <c r="M761">
        <f t="shared" si="141"/>
        <v>0.20000000000004547</v>
      </c>
      <c r="N761">
        <f t="shared" si="143"/>
        <v>209.57455659786908</v>
      </c>
      <c r="O761" s="5">
        <f t="shared" si="134"/>
        <v>1.125998297109812E-3</v>
      </c>
      <c r="P761">
        <f t="shared" si="142"/>
        <v>10000</v>
      </c>
      <c r="Q761">
        <f t="shared" si="135"/>
        <v>11.25998297109812</v>
      </c>
    </row>
    <row r="762" spans="1:17" x14ac:dyDescent="0.15">
      <c r="A762" s="10">
        <v>45893.583333333023</v>
      </c>
      <c r="B762">
        <f>COUNT(A762:$A$1158)/(48*252)</f>
        <v>3.2820767195767195E-2</v>
      </c>
      <c r="C762">
        <v>2.3210000000000002</v>
      </c>
      <c r="D762">
        <v>0.124</v>
      </c>
      <c r="E762">
        <f t="shared" si="132"/>
        <v>2.2362352815369775</v>
      </c>
      <c r="F762">
        <f t="shared" si="133"/>
        <v>-1.2668181628596731E-2</v>
      </c>
      <c r="G762">
        <f t="shared" si="136"/>
        <v>1.000000000000334E-3</v>
      </c>
      <c r="H762">
        <f>IF(MOD(COUNTA($C$7:C762)-1,$J$2),H761,ROUND(F762*P762,-2))</f>
        <v>-100</v>
      </c>
      <c r="I762">
        <f t="shared" si="137"/>
        <v>0</v>
      </c>
      <c r="J762">
        <f t="shared" si="138"/>
        <v>0</v>
      </c>
      <c r="K762">
        <f t="shared" si="139"/>
        <v>441.57455659786905</v>
      </c>
      <c r="L762">
        <f t="shared" si="140"/>
        <v>209.47455659786903</v>
      </c>
      <c r="M762">
        <f t="shared" si="141"/>
        <v>-0.10000000000005116</v>
      </c>
      <c r="N762">
        <f t="shared" si="143"/>
        <v>209.47455659786903</v>
      </c>
      <c r="O762" s="5">
        <f t="shared" si="134"/>
        <v>1.1032469564639172E-3</v>
      </c>
      <c r="P762">
        <f t="shared" si="142"/>
        <v>10000</v>
      </c>
      <c r="Q762">
        <f t="shared" si="135"/>
        <v>11.032469564639172</v>
      </c>
    </row>
    <row r="763" spans="1:17" x14ac:dyDescent="0.15">
      <c r="A763" s="10">
        <v>45893.586805555969</v>
      </c>
      <c r="B763">
        <f>COUNT(A763:$A$1158)/(48*252)</f>
        <v>3.273809523809524E-2</v>
      </c>
      <c r="C763">
        <v>2.3199999999999998</v>
      </c>
      <c r="D763">
        <v>0.125</v>
      </c>
      <c r="E763">
        <f t="shared" si="132"/>
        <v>2.234764677114037</v>
      </c>
      <c r="F763">
        <f t="shared" si="133"/>
        <v>-1.2716400984517318E-2</v>
      </c>
      <c r="G763">
        <f t="shared" si="136"/>
        <v>-1.000000000000334E-3</v>
      </c>
      <c r="H763">
        <f>IF(MOD(COUNTA($C$7:C763)-1,$J$2),H762,ROUND(F763*P763,-2))</f>
        <v>-100</v>
      </c>
      <c r="I763">
        <f t="shared" si="137"/>
        <v>0</v>
      </c>
      <c r="J763">
        <f t="shared" si="138"/>
        <v>0</v>
      </c>
      <c r="K763">
        <f t="shared" si="139"/>
        <v>441.57455659786905</v>
      </c>
      <c r="L763">
        <f t="shared" si="140"/>
        <v>209.57455659786908</v>
      </c>
      <c r="M763">
        <f t="shared" si="141"/>
        <v>0.10000000000005116</v>
      </c>
      <c r="N763">
        <f t="shared" si="143"/>
        <v>209.57455659786908</v>
      </c>
      <c r="O763" s="5">
        <f t="shared" si="134"/>
        <v>1.1060141231865363E-3</v>
      </c>
      <c r="P763">
        <f t="shared" si="142"/>
        <v>10000</v>
      </c>
      <c r="Q763">
        <f t="shared" si="135"/>
        <v>11.060141231865362</v>
      </c>
    </row>
    <row r="764" spans="1:17" x14ac:dyDescent="0.15">
      <c r="A764" s="10">
        <v>45893.590277777985</v>
      </c>
      <c r="B764">
        <f>COUNT(A764:$A$1158)/(48*252)</f>
        <v>3.2655423280423278E-2</v>
      </c>
      <c r="C764">
        <v>2.3239999999999998</v>
      </c>
      <c r="D764">
        <v>0.126</v>
      </c>
      <c r="E764">
        <f t="shared" si="132"/>
        <v>2.2539944886985226</v>
      </c>
      <c r="F764">
        <f t="shared" si="133"/>
        <v>-1.2098257346823904E-2</v>
      </c>
      <c r="G764">
        <f t="shared" si="136"/>
        <v>4.0000000000000036E-3</v>
      </c>
      <c r="H764">
        <f>IF(MOD(COUNTA($C$7:C764)-1,$J$2),H763,ROUND(F764*P764,-2))</f>
        <v>-100</v>
      </c>
      <c r="I764">
        <f t="shared" si="137"/>
        <v>0</v>
      </c>
      <c r="J764">
        <f t="shared" si="138"/>
        <v>0</v>
      </c>
      <c r="K764">
        <f t="shared" si="139"/>
        <v>441.57455659786905</v>
      </c>
      <c r="L764">
        <f t="shared" si="140"/>
        <v>209.17455659786907</v>
      </c>
      <c r="M764">
        <f t="shared" si="141"/>
        <v>-0.40000000000000568</v>
      </c>
      <c r="N764">
        <f t="shared" si="143"/>
        <v>209.17455659786907</v>
      </c>
      <c r="O764" s="5">
        <f t="shared" si="134"/>
        <v>1.0466443308354556E-3</v>
      </c>
      <c r="P764">
        <f t="shared" si="142"/>
        <v>10000</v>
      </c>
      <c r="Q764">
        <f t="shared" si="135"/>
        <v>10.466443308354556</v>
      </c>
    </row>
    <row r="765" spans="1:17" x14ac:dyDescent="0.15">
      <c r="A765" s="10">
        <v>45893.59375</v>
      </c>
      <c r="B765">
        <f>COUNT(A765:$A$1158)/(48*252)</f>
        <v>3.2572751322751323E-2</v>
      </c>
      <c r="C765">
        <v>2.3220000000000001</v>
      </c>
      <c r="D765">
        <v>0.125</v>
      </c>
      <c r="E765">
        <f t="shared" si="132"/>
        <v>2.2484112610514964</v>
      </c>
      <c r="F765">
        <f t="shared" si="133"/>
        <v>-1.2274988890352834E-2</v>
      </c>
      <c r="G765">
        <f t="shared" si="136"/>
        <v>-1.9999999999997797E-3</v>
      </c>
      <c r="H765">
        <f>IF(MOD(COUNTA($C$7:C765)-1,$J$2),H764,ROUND(F765*P765,-2))</f>
        <v>-100</v>
      </c>
      <c r="I765">
        <f t="shared" si="137"/>
        <v>0</v>
      </c>
      <c r="J765">
        <f t="shared" si="138"/>
        <v>0</v>
      </c>
      <c r="K765">
        <f t="shared" si="139"/>
        <v>441.57455659786905</v>
      </c>
      <c r="L765">
        <f t="shared" si="140"/>
        <v>209.37455659786903</v>
      </c>
      <c r="M765">
        <f t="shared" si="141"/>
        <v>0.19999999999996021</v>
      </c>
      <c r="N765">
        <f t="shared" si="143"/>
        <v>209.37455659786903</v>
      </c>
      <c r="O765" s="5">
        <f t="shared" si="134"/>
        <v>1.0614003246956875E-3</v>
      </c>
      <c r="P765">
        <f t="shared" si="142"/>
        <v>10000</v>
      </c>
      <c r="Q765">
        <f t="shared" si="135"/>
        <v>10.614003246956875</v>
      </c>
    </row>
    <row r="766" spans="1:17" x14ac:dyDescent="0.15">
      <c r="A766" s="10">
        <v>45893.597222222015</v>
      </c>
      <c r="B766">
        <f>COUNT(A766:$A$1158)/(48*252)</f>
        <v>3.2490079365079368E-2</v>
      </c>
      <c r="C766">
        <v>2.319</v>
      </c>
      <c r="D766">
        <v>0.122</v>
      </c>
      <c r="E766">
        <f t="shared" si="132"/>
        <v>2.2386557506922307</v>
      </c>
      <c r="F766">
        <f t="shared" si="133"/>
        <v>-1.2589161872994303E-2</v>
      </c>
      <c r="G766">
        <f t="shared" si="136"/>
        <v>-3.0000000000001137E-3</v>
      </c>
      <c r="H766">
        <f>IF(MOD(COUNTA($C$7:C766)-1,$J$2),H765,ROUND(F766*P766,-2))</f>
        <v>-100</v>
      </c>
      <c r="I766">
        <f t="shared" si="137"/>
        <v>0</v>
      </c>
      <c r="J766">
        <f t="shared" si="138"/>
        <v>0</v>
      </c>
      <c r="K766">
        <f t="shared" si="139"/>
        <v>441.57455659786905</v>
      </c>
      <c r="L766">
        <f t="shared" si="140"/>
        <v>209.67455659786904</v>
      </c>
      <c r="M766">
        <f t="shared" si="141"/>
        <v>0.30000000000001137</v>
      </c>
      <c r="N766">
        <f t="shared" si="143"/>
        <v>209.67455659786904</v>
      </c>
      <c r="O766" s="5">
        <f t="shared" si="134"/>
        <v>1.0889087127087041E-3</v>
      </c>
      <c r="P766">
        <f t="shared" si="142"/>
        <v>10000</v>
      </c>
      <c r="Q766">
        <f t="shared" si="135"/>
        <v>10.889087127087041</v>
      </c>
    </row>
    <row r="767" spans="1:17" x14ac:dyDescent="0.15">
      <c r="A767" s="10">
        <v>45893.600694444962</v>
      </c>
      <c r="B767">
        <f>COUNT(A767:$A$1158)/(48*252)</f>
        <v>3.2407407407407406E-2</v>
      </c>
      <c r="C767">
        <v>2.3140000000000001</v>
      </c>
      <c r="D767">
        <v>0.11799999999999999</v>
      </c>
      <c r="E767">
        <f t="shared" si="132"/>
        <v>2.220526960682021</v>
      </c>
      <c r="F767">
        <f t="shared" si="133"/>
        <v>-1.3191508817959829E-2</v>
      </c>
      <c r="G767">
        <f t="shared" si="136"/>
        <v>-4.9999999999998934E-3</v>
      </c>
      <c r="H767">
        <f>IF(MOD(COUNTA($C$7:C767)-1,$J$2),H766,ROUND(F767*P767,-2))</f>
        <v>-100</v>
      </c>
      <c r="I767">
        <f t="shared" si="137"/>
        <v>0</v>
      </c>
      <c r="J767">
        <f t="shared" si="138"/>
        <v>0</v>
      </c>
      <c r="K767">
        <f t="shared" si="139"/>
        <v>441.57455659786905</v>
      </c>
      <c r="L767">
        <f t="shared" si="140"/>
        <v>210.17455659786904</v>
      </c>
      <c r="M767">
        <f t="shared" si="141"/>
        <v>0.5</v>
      </c>
      <c r="N767">
        <f t="shared" si="143"/>
        <v>210.17455659786904</v>
      </c>
      <c r="O767" s="5">
        <f t="shared" si="134"/>
        <v>1.1432578537453157E-3</v>
      </c>
      <c r="P767">
        <f t="shared" si="142"/>
        <v>10000</v>
      </c>
      <c r="Q767">
        <f t="shared" si="135"/>
        <v>11.432578537453157</v>
      </c>
    </row>
    <row r="768" spans="1:17" x14ac:dyDescent="0.15">
      <c r="A768" s="10">
        <v>45893.604166666977</v>
      </c>
      <c r="B768">
        <f>COUNT(A768:$A$1158)/(48*252)</f>
        <v>3.2324735449735451E-2</v>
      </c>
      <c r="C768">
        <v>2.3159999999999998</v>
      </c>
      <c r="D768">
        <v>0.11799999999999999</v>
      </c>
      <c r="E768">
        <f t="shared" si="132"/>
        <v>2.2315549304493447</v>
      </c>
      <c r="F768">
        <f t="shared" si="133"/>
        <v>-1.282219660412931E-2</v>
      </c>
      <c r="G768">
        <f t="shared" si="136"/>
        <v>1.9999999999997797E-3</v>
      </c>
      <c r="H768">
        <f>IF(MOD(COUNTA($C$7:C768)-1,$J$2),H767,ROUND(F768*P768,-2))</f>
        <v>-100</v>
      </c>
      <c r="I768">
        <f t="shared" si="137"/>
        <v>0</v>
      </c>
      <c r="J768">
        <f t="shared" si="138"/>
        <v>0</v>
      </c>
      <c r="K768">
        <f t="shared" si="139"/>
        <v>441.57455659786905</v>
      </c>
      <c r="L768">
        <f t="shared" si="140"/>
        <v>209.97455659786905</v>
      </c>
      <c r="M768">
        <f t="shared" si="141"/>
        <v>-0.19999999999998863</v>
      </c>
      <c r="N768">
        <f t="shared" si="143"/>
        <v>209.97455659786905</v>
      </c>
      <c r="O768" s="5">
        <f t="shared" si="134"/>
        <v>1.1070679646709922E-3</v>
      </c>
      <c r="P768">
        <f t="shared" si="142"/>
        <v>10000</v>
      </c>
      <c r="Q768">
        <f t="shared" si="135"/>
        <v>11.070679646709921</v>
      </c>
    </row>
    <row r="769" spans="1:17" x14ac:dyDescent="0.15">
      <c r="A769" s="10">
        <v>45893.607638888992</v>
      </c>
      <c r="B769">
        <f>COUNT(A769:$A$1158)/(48*252)</f>
        <v>3.2242063492063495E-2</v>
      </c>
      <c r="C769">
        <v>2.319</v>
      </c>
      <c r="D769">
        <v>0.11799999999999999</v>
      </c>
      <c r="E769">
        <f t="shared" si="132"/>
        <v>2.2467798986476235</v>
      </c>
      <c r="F769">
        <f t="shared" si="133"/>
        <v>-1.2327048517944195E-2</v>
      </c>
      <c r="G769">
        <f t="shared" si="136"/>
        <v>3.0000000000001137E-3</v>
      </c>
      <c r="H769">
        <f>IF(MOD(COUNTA($C$7:C769)-1,$J$2),H768,ROUND(F769*P769,-2))</f>
        <v>-100</v>
      </c>
      <c r="I769">
        <f t="shared" si="137"/>
        <v>0</v>
      </c>
      <c r="J769">
        <f t="shared" si="138"/>
        <v>0</v>
      </c>
      <c r="K769">
        <f t="shared" si="139"/>
        <v>441.57455659786905</v>
      </c>
      <c r="L769">
        <f t="shared" si="140"/>
        <v>209.67455659786904</v>
      </c>
      <c r="M769">
        <f t="shared" si="141"/>
        <v>-0.30000000000001137</v>
      </c>
      <c r="N769">
        <f t="shared" si="143"/>
        <v>209.67455659786904</v>
      </c>
      <c r="O769" s="5">
        <f t="shared" si="134"/>
        <v>1.0594405339514126E-3</v>
      </c>
      <c r="P769">
        <f t="shared" si="142"/>
        <v>10000</v>
      </c>
      <c r="Q769">
        <f t="shared" si="135"/>
        <v>10.594405339514127</v>
      </c>
    </row>
    <row r="770" spans="1:17" x14ac:dyDescent="0.15">
      <c r="A770" s="10">
        <v>45893.611111111008</v>
      </c>
      <c r="B770">
        <f>COUNT(A770:$A$1158)/(48*252)</f>
        <v>3.2159391534391533E-2</v>
      </c>
      <c r="C770">
        <v>2.3180000000000001</v>
      </c>
      <c r="D770">
        <v>0.12</v>
      </c>
      <c r="E770">
        <f t="shared" si="132"/>
        <v>2.2453315348012506</v>
      </c>
      <c r="F770">
        <f t="shared" si="133"/>
        <v>-1.2373428525536245E-2</v>
      </c>
      <c r="G770">
        <f t="shared" si="136"/>
        <v>-9.9999999999988987E-4</v>
      </c>
      <c r="H770">
        <f>IF(MOD(COUNTA($C$7:C770)-1,$J$2),H769,ROUND(F770*P770,-2))</f>
        <v>-100</v>
      </c>
      <c r="I770">
        <f t="shared" si="137"/>
        <v>0</v>
      </c>
      <c r="J770">
        <f t="shared" si="138"/>
        <v>0</v>
      </c>
      <c r="K770">
        <f t="shared" si="139"/>
        <v>441.57455659786905</v>
      </c>
      <c r="L770">
        <f t="shared" si="140"/>
        <v>209.77455659786904</v>
      </c>
      <c r="M770">
        <f t="shared" si="141"/>
        <v>9.9999999999994316E-2</v>
      </c>
      <c r="N770">
        <f t="shared" si="143"/>
        <v>209.77455659786904</v>
      </c>
      <c r="O770" s="5">
        <f t="shared" si="134"/>
        <v>1.0620184042003447E-3</v>
      </c>
      <c r="P770">
        <f t="shared" si="142"/>
        <v>10000</v>
      </c>
      <c r="Q770">
        <f t="shared" si="135"/>
        <v>10.620184042003448</v>
      </c>
    </row>
    <row r="771" spans="1:17" x14ac:dyDescent="0.15">
      <c r="A771" s="10">
        <v>45893.614583333023</v>
      </c>
      <c r="B771">
        <f>COUNT(A771:$A$1158)/(48*252)</f>
        <v>3.2076719576719578E-2</v>
      </c>
      <c r="C771">
        <v>2.3210000000000002</v>
      </c>
      <c r="D771">
        <v>0.11799999999999999</v>
      </c>
      <c r="E771">
        <f t="shared" si="132"/>
        <v>2.2606099777481106</v>
      </c>
      <c r="F771">
        <f t="shared" si="133"/>
        <v>-1.1891709672732009E-2</v>
      </c>
      <c r="G771">
        <f t="shared" si="136"/>
        <v>3.0000000000001137E-3</v>
      </c>
      <c r="H771">
        <f>IF(MOD(COUNTA($C$7:C771)-1,$J$2),H770,ROUND(F771*P771,-2))</f>
        <v>-100</v>
      </c>
      <c r="I771">
        <f t="shared" si="137"/>
        <v>0</v>
      </c>
      <c r="J771">
        <f t="shared" si="138"/>
        <v>0</v>
      </c>
      <c r="K771">
        <f t="shared" si="139"/>
        <v>441.57455659786905</v>
      </c>
      <c r="L771">
        <f t="shared" si="140"/>
        <v>209.47455659786903</v>
      </c>
      <c r="M771">
        <f t="shared" si="141"/>
        <v>-0.30000000000001137</v>
      </c>
      <c r="N771">
        <f t="shared" si="143"/>
        <v>209.47455659786903</v>
      </c>
      <c r="O771" s="5">
        <f t="shared" si="134"/>
        <v>1.0159859540989254E-3</v>
      </c>
      <c r="P771">
        <f t="shared" si="142"/>
        <v>10000</v>
      </c>
      <c r="Q771">
        <f t="shared" si="135"/>
        <v>10.159859540989254</v>
      </c>
    </row>
    <row r="772" spans="1:17" x14ac:dyDescent="0.15">
      <c r="A772" s="10">
        <v>45893.618055555969</v>
      </c>
      <c r="B772">
        <f>COUNT(A772:$A$1158)/(48*252)</f>
        <v>3.1994047619047616E-2</v>
      </c>
      <c r="C772">
        <v>2.323</v>
      </c>
      <c r="D772">
        <v>0.12</v>
      </c>
      <c r="E772">
        <f t="shared" si="132"/>
        <v>2.2717359390242935</v>
      </c>
      <c r="F772">
        <f t="shared" si="133"/>
        <v>-1.1551232062352645E-2</v>
      </c>
      <c r="G772">
        <f t="shared" si="136"/>
        <v>1.9999999999997797E-3</v>
      </c>
      <c r="H772">
        <f>IF(MOD(COUNTA($C$7:C772)-1,$J$2),H771,ROUND(F772*P772,-2))</f>
        <v>-100</v>
      </c>
      <c r="I772">
        <f t="shared" si="137"/>
        <v>0</v>
      </c>
      <c r="J772">
        <f t="shared" si="138"/>
        <v>0</v>
      </c>
      <c r="K772">
        <f t="shared" si="139"/>
        <v>441.57455659786905</v>
      </c>
      <c r="L772">
        <f t="shared" si="140"/>
        <v>209.27455659786906</v>
      </c>
      <c r="M772">
        <f t="shared" si="141"/>
        <v>-0.19999999999996021</v>
      </c>
      <c r="N772">
        <f t="shared" si="143"/>
        <v>209.27455659786906</v>
      </c>
      <c r="O772" s="5">
        <f t="shared" si="134"/>
        <v>9.8316648885252156E-4</v>
      </c>
      <c r="P772">
        <f t="shared" si="142"/>
        <v>10000</v>
      </c>
      <c r="Q772">
        <f t="shared" si="135"/>
        <v>9.831664888525216</v>
      </c>
    </row>
    <row r="773" spans="1:17" x14ac:dyDescent="0.15">
      <c r="A773" s="10">
        <v>45893.621527777985</v>
      </c>
      <c r="B773">
        <f>COUNT(A773:$A$1158)/(48*252)</f>
        <v>3.1911375661375661E-2</v>
      </c>
      <c r="C773">
        <v>2.323</v>
      </c>
      <c r="D773">
        <v>0.12</v>
      </c>
      <c r="E773">
        <f t="shared" si="132"/>
        <v>2.2745193659226954</v>
      </c>
      <c r="F773">
        <f t="shared" si="133"/>
        <v>-1.1467389037854381E-2</v>
      </c>
      <c r="G773">
        <f t="shared" si="136"/>
        <v>0</v>
      </c>
      <c r="H773">
        <f>IF(MOD(COUNTA($C$7:C773)-1,$J$2),H772,ROUND(F773*P773,-2))</f>
        <v>-100</v>
      </c>
      <c r="I773">
        <f t="shared" si="137"/>
        <v>0</v>
      </c>
      <c r="J773">
        <f t="shared" si="138"/>
        <v>0</v>
      </c>
      <c r="K773">
        <f t="shared" si="139"/>
        <v>441.57455659786905</v>
      </c>
      <c r="L773">
        <f t="shared" si="140"/>
        <v>209.27455659786906</v>
      </c>
      <c r="M773">
        <f t="shared" si="141"/>
        <v>0</v>
      </c>
      <c r="N773">
        <f t="shared" si="143"/>
        <v>209.27455659786906</v>
      </c>
      <c r="O773" s="5">
        <f t="shared" si="134"/>
        <v>9.7391952520966066E-4</v>
      </c>
      <c r="P773">
        <f t="shared" si="142"/>
        <v>10000</v>
      </c>
      <c r="Q773">
        <f t="shared" si="135"/>
        <v>9.7391952520966072</v>
      </c>
    </row>
    <row r="774" spans="1:17" x14ac:dyDescent="0.15">
      <c r="A774" s="10">
        <v>45893.625</v>
      </c>
      <c r="B774">
        <f>COUNT(A774:$A$1158)/(48*252)</f>
        <v>3.1828703703703706E-2</v>
      </c>
      <c r="C774">
        <v>2.3220000000000001</v>
      </c>
      <c r="D774">
        <v>0.11700000000000001</v>
      </c>
      <c r="E774">
        <f t="shared" si="132"/>
        <v>2.2731217436031557</v>
      </c>
      <c r="F774">
        <f t="shared" si="133"/>
        <v>-1.1509422229236121E-2</v>
      </c>
      <c r="G774">
        <f t="shared" si="136"/>
        <v>-9.9999999999988987E-4</v>
      </c>
      <c r="H774">
        <f>IF(MOD(COUNTA($C$7:C774)-1,$J$2),H773,ROUND(F774*P774,-2))</f>
        <v>-100</v>
      </c>
      <c r="I774">
        <f t="shared" si="137"/>
        <v>0</v>
      </c>
      <c r="J774">
        <f t="shared" si="138"/>
        <v>0</v>
      </c>
      <c r="K774">
        <f t="shared" si="139"/>
        <v>441.57455659786905</v>
      </c>
      <c r="L774">
        <f t="shared" si="140"/>
        <v>209.37455659786903</v>
      </c>
      <c r="M774">
        <f t="shared" si="141"/>
        <v>9.9999999999965894E-2</v>
      </c>
      <c r="N774">
        <f t="shared" si="143"/>
        <v>209.37455659786903</v>
      </c>
      <c r="O774" s="5">
        <f t="shared" si="134"/>
        <v>9.7616544440773043E-4</v>
      </c>
      <c r="P774">
        <f t="shared" si="142"/>
        <v>10000</v>
      </c>
      <c r="Q774">
        <f t="shared" si="135"/>
        <v>9.7616544440773048</v>
      </c>
    </row>
    <row r="775" spans="1:17" x14ac:dyDescent="0.15">
      <c r="A775" s="10">
        <v>45896.399305555969</v>
      </c>
      <c r="B775">
        <f>COUNT(A775:$A$1158)/(48*252)</f>
        <v>3.1746031746031744E-2</v>
      </c>
      <c r="C775">
        <v>2.323</v>
      </c>
      <c r="D775">
        <v>0.12</v>
      </c>
      <c r="E775">
        <f t="shared" si="132"/>
        <v>2.2801194168844718</v>
      </c>
      <c r="F775">
        <f t="shared" si="133"/>
        <v>-1.1300303462474681E-2</v>
      </c>
      <c r="G775">
        <f t="shared" si="136"/>
        <v>9.9999999999988987E-4</v>
      </c>
      <c r="H775">
        <f>IF(MOD(COUNTA($C$7:C775)-1,$J$2),H774,ROUND(F775*P775,-2))</f>
        <v>-100</v>
      </c>
      <c r="I775">
        <f t="shared" si="137"/>
        <v>0</v>
      </c>
      <c r="J775">
        <f t="shared" si="138"/>
        <v>0</v>
      </c>
      <c r="K775">
        <f t="shared" si="139"/>
        <v>441.57455659786905</v>
      </c>
      <c r="L775">
        <f t="shared" si="140"/>
        <v>209.27455659786906</v>
      </c>
      <c r="M775">
        <f t="shared" si="141"/>
        <v>-9.9999999999965894E-2</v>
      </c>
      <c r="N775">
        <f t="shared" si="143"/>
        <v>209.27455659786906</v>
      </c>
      <c r="O775" s="5">
        <f t="shared" si="134"/>
        <v>9.5556484632031494E-4</v>
      </c>
      <c r="P775">
        <f t="shared" si="142"/>
        <v>10000</v>
      </c>
      <c r="Q775">
        <f t="shared" si="135"/>
        <v>9.5556484632031502</v>
      </c>
    </row>
    <row r="776" spans="1:17" x14ac:dyDescent="0.15">
      <c r="A776" s="10">
        <v>45896.402777777985</v>
      </c>
      <c r="B776">
        <f>COUNT(A776:$A$1158)/(48*252)</f>
        <v>3.1663359788359789E-2</v>
      </c>
      <c r="C776">
        <v>2.3260000000000001</v>
      </c>
      <c r="D776">
        <v>0.123</v>
      </c>
      <c r="E776">
        <f t="shared" ref="E776:E839" si="144">(LN(C776/$B$2)+($B$1+0.5*$D$1*$D$1)*B776)/($D$1*SQRT(B776))</f>
        <v>2.2955344047092154</v>
      </c>
      <c r="F776">
        <f t="shared" ref="F776:F839" si="145">NORMSDIST(E776)-1</f>
        <v>-1.0851258531621388E-2</v>
      </c>
      <c r="G776">
        <f t="shared" si="136"/>
        <v>3.0000000000001137E-3</v>
      </c>
      <c r="H776">
        <f>IF(MOD(COUNTA($C$7:C776)-1,$J$2),H775,ROUND(F776*P776,-2))</f>
        <v>-100</v>
      </c>
      <c r="I776">
        <f t="shared" si="137"/>
        <v>0</v>
      </c>
      <c r="J776">
        <f t="shared" si="138"/>
        <v>0</v>
      </c>
      <c r="K776">
        <f t="shared" si="139"/>
        <v>441.57455659786905</v>
      </c>
      <c r="L776">
        <f t="shared" si="140"/>
        <v>208.97455659786905</v>
      </c>
      <c r="M776">
        <f t="shared" si="141"/>
        <v>-0.30000000000001137</v>
      </c>
      <c r="N776">
        <f t="shared" si="143"/>
        <v>208.97455659786905</v>
      </c>
      <c r="O776" s="5">
        <f t="shared" ref="O776:O839" si="146">put_bs($B$1,$J$1,C776,$B$2,B776)</f>
        <v>9.1335747940618148E-4</v>
      </c>
      <c r="P776">
        <f t="shared" si="142"/>
        <v>10000</v>
      </c>
      <c r="Q776">
        <f t="shared" ref="Q776:Q839" si="147">P776*O776</f>
        <v>9.1335747940618148</v>
      </c>
    </row>
    <row r="777" spans="1:17" x14ac:dyDescent="0.15">
      <c r="A777" s="10">
        <v>45896.40625</v>
      </c>
      <c r="B777">
        <f>COUNT(A777:$A$1158)/(48*252)</f>
        <v>3.1580687830687834E-2</v>
      </c>
      <c r="C777">
        <v>2.3210000000000002</v>
      </c>
      <c r="D777">
        <v>0.12</v>
      </c>
      <c r="E777">
        <f t="shared" si="144"/>
        <v>2.2773453622892625</v>
      </c>
      <c r="F777">
        <f t="shared" si="145"/>
        <v>-1.1382805042185473E-2</v>
      </c>
      <c r="G777">
        <f t="shared" ref="G777:G840" si="148">C777-C776</f>
        <v>-4.9999999999998934E-3</v>
      </c>
      <c r="H777">
        <f>IF(MOD(COUNTA($C$7:C777)-1,$J$2),H776,ROUND(F777*P777,-2))</f>
        <v>-100</v>
      </c>
      <c r="I777">
        <f t="shared" ref="I777:I840" si="149">H777-H776</f>
        <v>0</v>
      </c>
      <c r="J777">
        <f t="shared" ref="J777:J840" si="150">J776</f>
        <v>0</v>
      </c>
      <c r="K777">
        <f t="shared" ref="K777:K840" si="151">K776-I777*C777-ABS(I777*C777*$F$2)</f>
        <v>441.57455659786905</v>
      </c>
      <c r="L777">
        <f t="shared" ref="L777:L840" si="152">K777+H777*C777</f>
        <v>209.47455659786903</v>
      </c>
      <c r="M777">
        <f t="shared" ref="M777:M840" si="153">L777-L776</f>
        <v>0.49999999999997158</v>
      </c>
      <c r="N777">
        <f t="shared" si="143"/>
        <v>209.47455659786903</v>
      </c>
      <c r="O777" s="5">
        <f t="shared" si="146"/>
        <v>9.5991208627991056E-4</v>
      </c>
      <c r="P777">
        <f t="shared" ref="P777:P840" si="154">P776</f>
        <v>10000</v>
      </c>
      <c r="Q777">
        <f t="shared" si="147"/>
        <v>9.599120862799106</v>
      </c>
    </row>
    <row r="778" spans="1:17" x14ac:dyDescent="0.15">
      <c r="A778" s="10">
        <v>45896.409722222015</v>
      </c>
      <c r="B778">
        <f>COUNT(A778:$A$1158)/(48*252)</f>
        <v>3.1498015873015872E-2</v>
      </c>
      <c r="C778">
        <v>2.3159999999999998</v>
      </c>
      <c r="D778">
        <v>0.11600000000000001</v>
      </c>
      <c r="E778">
        <f t="shared" si="144"/>
        <v>2.2590671290286721</v>
      </c>
      <c r="F778">
        <f t="shared" si="145"/>
        <v>-1.1939604740743848E-2</v>
      </c>
      <c r="G778">
        <f t="shared" si="148"/>
        <v>-5.0000000000003375E-3</v>
      </c>
      <c r="H778">
        <f>IF(MOD(COUNTA($C$7:C778)-1,$J$2),H777,ROUND(F778*P778,-2))</f>
        <v>-100</v>
      </c>
      <c r="I778">
        <f t="shared" si="149"/>
        <v>0</v>
      </c>
      <c r="J778">
        <f t="shared" si="150"/>
        <v>0</v>
      </c>
      <c r="K778">
        <f t="shared" si="151"/>
        <v>441.57455659786905</v>
      </c>
      <c r="L778">
        <f t="shared" si="152"/>
        <v>209.97455659786905</v>
      </c>
      <c r="M778">
        <f t="shared" si="153"/>
        <v>0.50000000000002842</v>
      </c>
      <c r="N778">
        <f t="shared" ref="N778:N841" si="155">L778-$F$1</f>
        <v>209.97455659786905</v>
      </c>
      <c r="O778" s="5">
        <f t="shared" si="146"/>
        <v>1.0088129597173486E-3</v>
      </c>
      <c r="P778">
        <f t="shared" si="154"/>
        <v>10000</v>
      </c>
      <c r="Q778">
        <f t="shared" si="147"/>
        <v>10.088129597173486</v>
      </c>
    </row>
    <row r="779" spans="1:17" x14ac:dyDescent="0.15">
      <c r="A779" s="10">
        <v>45896.413194444962</v>
      </c>
      <c r="B779">
        <f>COUNT(A779:$A$1158)/(48*252)</f>
        <v>3.1415343915343917E-2</v>
      </c>
      <c r="C779">
        <v>2.3180000000000001</v>
      </c>
      <c r="D779">
        <v>0.11700000000000001</v>
      </c>
      <c r="E779">
        <f t="shared" si="144"/>
        <v>2.2703382562853283</v>
      </c>
      <c r="F779">
        <f t="shared" si="145"/>
        <v>-1.1593533793621824E-2</v>
      </c>
      <c r="G779">
        <f t="shared" si="148"/>
        <v>2.0000000000002238E-3</v>
      </c>
      <c r="H779">
        <f>IF(MOD(COUNTA($C$7:C779)-1,$J$2),H778,ROUND(F779*P779,-2))</f>
        <v>-100</v>
      </c>
      <c r="I779">
        <f t="shared" si="149"/>
        <v>0</v>
      </c>
      <c r="J779">
        <f t="shared" si="150"/>
        <v>0</v>
      </c>
      <c r="K779">
        <f t="shared" si="151"/>
        <v>441.57455659786905</v>
      </c>
      <c r="L779">
        <f t="shared" si="152"/>
        <v>209.77455659786904</v>
      </c>
      <c r="M779">
        <f t="shared" si="153"/>
        <v>-0.20000000000001705</v>
      </c>
      <c r="N779">
        <f t="shared" si="155"/>
        <v>209.77455659786904</v>
      </c>
      <c r="O779" s="5">
        <f t="shared" si="146"/>
        <v>9.75805704109E-4</v>
      </c>
      <c r="P779">
        <f t="shared" si="154"/>
        <v>10000</v>
      </c>
      <c r="Q779">
        <f t="shared" si="147"/>
        <v>9.7580570410899998</v>
      </c>
    </row>
    <row r="780" spans="1:17" x14ac:dyDescent="0.15">
      <c r="A780" s="10">
        <v>45896.416666666977</v>
      </c>
      <c r="B780">
        <f>COUNT(A780:$A$1158)/(48*252)</f>
        <v>3.1332671957671955E-2</v>
      </c>
      <c r="C780">
        <v>2.3239999999999998</v>
      </c>
      <c r="D780">
        <v>0.12</v>
      </c>
      <c r="E780">
        <f t="shared" si="144"/>
        <v>2.2985399308652559</v>
      </c>
      <c r="F780">
        <f t="shared" si="145"/>
        <v>-1.0765538964008003E-2</v>
      </c>
      <c r="G780">
        <f t="shared" si="148"/>
        <v>5.9999999999997833E-3</v>
      </c>
      <c r="H780">
        <f>IF(MOD(COUNTA($C$7:C780)-1,$J$2),H779,ROUND(F780*P780,-2))</f>
        <v>-100</v>
      </c>
      <c r="I780">
        <f t="shared" si="149"/>
        <v>0</v>
      </c>
      <c r="J780">
        <f t="shared" si="150"/>
        <v>0</v>
      </c>
      <c r="K780">
        <f t="shared" si="151"/>
        <v>441.57455659786905</v>
      </c>
      <c r="L780">
        <f t="shared" si="152"/>
        <v>209.17455659786907</v>
      </c>
      <c r="M780">
        <f t="shared" si="153"/>
        <v>-0.59999999999996589</v>
      </c>
      <c r="N780">
        <f t="shared" si="155"/>
        <v>209.17455659786907</v>
      </c>
      <c r="O780" s="5">
        <f t="shared" si="146"/>
        <v>8.9966643014285572E-4</v>
      </c>
      <c r="P780">
        <f t="shared" si="154"/>
        <v>10000</v>
      </c>
      <c r="Q780">
        <f t="shared" si="147"/>
        <v>8.9966643014285577</v>
      </c>
    </row>
    <row r="781" spans="1:17" x14ac:dyDescent="0.15">
      <c r="A781" s="10">
        <v>45896.420138888992</v>
      </c>
      <c r="B781">
        <f>COUNT(A781:$A$1158)/(48*252)</f>
        <v>3.125E-2</v>
      </c>
      <c r="C781">
        <v>2.327</v>
      </c>
      <c r="D781">
        <v>0.123</v>
      </c>
      <c r="E781">
        <f t="shared" si="144"/>
        <v>2.3140951439811346</v>
      </c>
      <c r="F781">
        <f t="shared" si="145"/>
        <v>-1.0331251867226166E-2</v>
      </c>
      <c r="G781">
        <f t="shared" si="148"/>
        <v>3.0000000000001137E-3</v>
      </c>
      <c r="H781">
        <f>IF(MOD(COUNTA($C$7:C781)-1,$J$2),H780,ROUND(F781*P781,-2))</f>
        <v>-100</v>
      </c>
      <c r="I781">
        <f t="shared" si="149"/>
        <v>0</v>
      </c>
      <c r="J781">
        <f t="shared" si="150"/>
        <v>0</v>
      </c>
      <c r="K781">
        <f t="shared" si="151"/>
        <v>441.57455659786905</v>
      </c>
      <c r="L781">
        <f t="shared" si="152"/>
        <v>208.87455659786906</v>
      </c>
      <c r="M781">
        <f t="shared" si="153"/>
        <v>-0.30000000000001137</v>
      </c>
      <c r="N781">
        <f t="shared" si="155"/>
        <v>208.87455659786906</v>
      </c>
      <c r="O781" s="5">
        <f t="shared" si="146"/>
        <v>8.5935347646088137E-4</v>
      </c>
      <c r="P781">
        <f t="shared" si="154"/>
        <v>10000</v>
      </c>
      <c r="Q781">
        <f t="shared" si="147"/>
        <v>8.5935347646088136</v>
      </c>
    </row>
    <row r="782" spans="1:17" x14ac:dyDescent="0.15">
      <c r="A782" s="10">
        <v>45896.423611111008</v>
      </c>
      <c r="B782">
        <f>COUNT(A782:$A$1158)/(48*252)</f>
        <v>3.1167328042328041E-2</v>
      </c>
      <c r="C782">
        <v>2.3380000000000001</v>
      </c>
      <c r="D782">
        <v>0.128</v>
      </c>
      <c r="E782">
        <f t="shared" si="144"/>
        <v>2.3634029985644056</v>
      </c>
      <c r="F782">
        <f t="shared" si="145"/>
        <v>-9.0539832011748977E-3</v>
      </c>
      <c r="G782">
        <f t="shared" si="148"/>
        <v>1.1000000000000121E-2</v>
      </c>
      <c r="H782">
        <f>IF(MOD(COUNTA($C$7:C782)-1,$J$2),H781,ROUND(F782*P782,-2))</f>
        <v>-100</v>
      </c>
      <c r="I782">
        <f t="shared" si="149"/>
        <v>0</v>
      </c>
      <c r="J782">
        <f t="shared" si="150"/>
        <v>0</v>
      </c>
      <c r="K782">
        <f t="shared" si="151"/>
        <v>441.57455659786905</v>
      </c>
      <c r="L782">
        <f t="shared" si="152"/>
        <v>207.77455659786904</v>
      </c>
      <c r="M782">
        <f t="shared" si="153"/>
        <v>-1.1000000000000227</v>
      </c>
      <c r="N782">
        <f t="shared" si="155"/>
        <v>207.77455659786904</v>
      </c>
      <c r="O782" s="5">
        <f t="shared" si="146"/>
        <v>7.4479102105252243E-4</v>
      </c>
      <c r="P782">
        <f t="shared" si="154"/>
        <v>10000</v>
      </c>
      <c r="Q782">
        <f t="shared" si="147"/>
        <v>7.4479102105252242</v>
      </c>
    </row>
    <row r="783" spans="1:17" x14ac:dyDescent="0.15">
      <c r="A783" s="10">
        <v>45896.427083333023</v>
      </c>
      <c r="B783">
        <f>COUNT(A783:$A$1158)/(48*252)</f>
        <v>3.1084656084656083E-2</v>
      </c>
      <c r="C783">
        <v>2.335</v>
      </c>
      <c r="D783">
        <v>0.127</v>
      </c>
      <c r="E783">
        <f t="shared" si="144"/>
        <v>2.3537346773360279</v>
      </c>
      <c r="F783">
        <f t="shared" si="145"/>
        <v>-9.2929359249247501E-3</v>
      </c>
      <c r="G783">
        <f t="shared" si="148"/>
        <v>-3.0000000000001137E-3</v>
      </c>
      <c r="H783">
        <f>IF(MOD(COUNTA($C$7:C783)-1,$J$2),H782,ROUND(F783*P783,-2))</f>
        <v>-100</v>
      </c>
      <c r="I783">
        <f t="shared" si="149"/>
        <v>0</v>
      </c>
      <c r="J783">
        <f t="shared" si="150"/>
        <v>0</v>
      </c>
      <c r="K783">
        <f t="shared" si="151"/>
        <v>441.57455659786905</v>
      </c>
      <c r="L783">
        <f t="shared" si="152"/>
        <v>208.07455659786905</v>
      </c>
      <c r="M783">
        <f t="shared" si="153"/>
        <v>0.30000000000001137</v>
      </c>
      <c r="N783">
        <f t="shared" si="155"/>
        <v>208.07455659786905</v>
      </c>
      <c r="O783" s="5">
        <f t="shared" si="146"/>
        <v>7.6457560614652184E-4</v>
      </c>
      <c r="P783">
        <f t="shared" si="154"/>
        <v>10000</v>
      </c>
      <c r="Q783">
        <f t="shared" si="147"/>
        <v>7.6457560614652182</v>
      </c>
    </row>
    <row r="784" spans="1:17" x14ac:dyDescent="0.15">
      <c r="A784" s="10">
        <v>45896.430555555969</v>
      </c>
      <c r="B784">
        <f>COUNT(A784:$A$1158)/(48*252)</f>
        <v>3.1001984126984128E-2</v>
      </c>
      <c r="C784">
        <v>2.3330000000000002</v>
      </c>
      <c r="D784">
        <v>0.125</v>
      </c>
      <c r="E784">
        <f t="shared" si="144"/>
        <v>2.3482578987307301</v>
      </c>
      <c r="F784">
        <f t="shared" si="145"/>
        <v>-9.430728257178056E-3</v>
      </c>
      <c r="G784">
        <f t="shared" si="148"/>
        <v>-1.9999999999997797E-3</v>
      </c>
      <c r="H784">
        <f>IF(MOD(COUNTA($C$7:C784)-1,$J$2),H783,ROUND(F784*P784,-2))</f>
        <v>-100</v>
      </c>
      <c r="I784">
        <f t="shared" si="149"/>
        <v>0</v>
      </c>
      <c r="J784">
        <f t="shared" si="150"/>
        <v>0</v>
      </c>
      <c r="K784">
        <f t="shared" si="151"/>
        <v>441.57455659786905</v>
      </c>
      <c r="L784">
        <f t="shared" si="152"/>
        <v>208.27455659786904</v>
      </c>
      <c r="M784">
        <f t="shared" si="153"/>
        <v>0.19999999999998863</v>
      </c>
      <c r="N784">
        <f t="shared" si="155"/>
        <v>208.27455659786904</v>
      </c>
      <c r="O784" s="5">
        <f t="shared" si="146"/>
        <v>7.7542364026013735E-4</v>
      </c>
      <c r="P784">
        <f t="shared" si="154"/>
        <v>10000</v>
      </c>
      <c r="Q784">
        <f t="shared" si="147"/>
        <v>7.7542364026013733</v>
      </c>
    </row>
    <row r="785" spans="1:17" x14ac:dyDescent="0.15">
      <c r="A785" s="10">
        <v>45896.434027777985</v>
      </c>
      <c r="B785">
        <f>COUNT(A785:$A$1158)/(48*252)</f>
        <v>3.0919312169312169E-2</v>
      </c>
      <c r="C785">
        <v>2.3290000000000002</v>
      </c>
      <c r="D785">
        <v>0.122</v>
      </c>
      <c r="E785">
        <f t="shared" si="144"/>
        <v>2.3342842127658425</v>
      </c>
      <c r="F785">
        <f t="shared" si="145"/>
        <v>-9.7904224175349164E-3</v>
      </c>
      <c r="G785">
        <f t="shared" si="148"/>
        <v>-4.0000000000000036E-3</v>
      </c>
      <c r="H785">
        <f>IF(MOD(COUNTA($C$7:C785)-1,$J$2),H784,ROUND(F785*P785,-2))</f>
        <v>-100</v>
      </c>
      <c r="I785">
        <f t="shared" si="149"/>
        <v>0</v>
      </c>
      <c r="J785">
        <f t="shared" si="150"/>
        <v>0</v>
      </c>
      <c r="K785">
        <f t="shared" si="151"/>
        <v>441.57455659786905</v>
      </c>
      <c r="L785">
        <f t="shared" si="152"/>
        <v>208.67455659786904</v>
      </c>
      <c r="M785">
        <f t="shared" si="153"/>
        <v>0.40000000000000568</v>
      </c>
      <c r="N785">
        <f t="shared" si="155"/>
        <v>208.67455659786904</v>
      </c>
      <c r="O785" s="5">
        <f t="shared" si="146"/>
        <v>8.0580404201168604E-4</v>
      </c>
      <c r="P785">
        <f t="shared" si="154"/>
        <v>10000</v>
      </c>
      <c r="Q785">
        <f t="shared" si="147"/>
        <v>8.0580404201168605</v>
      </c>
    </row>
    <row r="786" spans="1:17" x14ac:dyDescent="0.15">
      <c r="A786" s="10">
        <v>45896.4375</v>
      </c>
      <c r="B786">
        <f>COUNT(A786:$A$1158)/(48*252)</f>
        <v>3.0836640211640211E-2</v>
      </c>
      <c r="C786">
        <v>2.3330000000000002</v>
      </c>
      <c r="D786">
        <v>0.123</v>
      </c>
      <c r="E786">
        <f t="shared" si="144"/>
        <v>2.3542249775786352</v>
      </c>
      <c r="F786">
        <f t="shared" si="145"/>
        <v>-9.2806866230970009E-3</v>
      </c>
      <c r="G786">
        <f t="shared" si="148"/>
        <v>4.0000000000000036E-3</v>
      </c>
      <c r="H786">
        <f>IF(MOD(COUNTA($C$7:C786)-1,$J$2),H785,ROUND(F786*P786,-2))</f>
        <v>-100</v>
      </c>
      <c r="I786">
        <f t="shared" si="149"/>
        <v>0</v>
      </c>
      <c r="J786">
        <f t="shared" si="150"/>
        <v>0</v>
      </c>
      <c r="K786">
        <f t="shared" si="151"/>
        <v>441.57455659786905</v>
      </c>
      <c r="L786">
        <f t="shared" si="152"/>
        <v>208.27455659786904</v>
      </c>
      <c r="M786">
        <f t="shared" si="153"/>
        <v>-0.40000000000000568</v>
      </c>
      <c r="N786">
        <f t="shared" si="155"/>
        <v>208.27455659786904</v>
      </c>
      <c r="O786" s="5">
        <f t="shared" si="146"/>
        <v>7.5965699989417879E-4</v>
      </c>
      <c r="P786">
        <f t="shared" si="154"/>
        <v>10000</v>
      </c>
      <c r="Q786">
        <f t="shared" si="147"/>
        <v>7.5965699989417876</v>
      </c>
    </row>
    <row r="787" spans="1:17" x14ac:dyDescent="0.15">
      <c r="A787" s="10">
        <v>45896.440972222015</v>
      </c>
      <c r="B787">
        <f>COUNT(A787:$A$1158)/(48*252)</f>
        <v>3.0753968253968252E-2</v>
      </c>
      <c r="C787">
        <v>2.3380000000000001</v>
      </c>
      <c r="D787">
        <v>0.127</v>
      </c>
      <c r="E787">
        <f t="shared" si="144"/>
        <v>2.3784317380839064</v>
      </c>
      <c r="F787">
        <f t="shared" si="145"/>
        <v>-8.6932278657081419E-3</v>
      </c>
      <c r="G787">
        <f t="shared" si="148"/>
        <v>4.9999999999998934E-3</v>
      </c>
      <c r="H787">
        <f>IF(MOD(COUNTA($C$7:C787)-1,$J$2),H786,ROUND(F787*P787,-2))</f>
        <v>-100</v>
      </c>
      <c r="I787">
        <f t="shared" si="149"/>
        <v>0</v>
      </c>
      <c r="J787">
        <f t="shared" si="150"/>
        <v>0</v>
      </c>
      <c r="K787">
        <f t="shared" si="151"/>
        <v>441.57455659786905</v>
      </c>
      <c r="L787">
        <f t="shared" si="152"/>
        <v>207.77455659786904</v>
      </c>
      <c r="M787">
        <f t="shared" si="153"/>
        <v>-0.5</v>
      </c>
      <c r="N787">
        <f t="shared" si="155"/>
        <v>207.77455659786904</v>
      </c>
      <c r="O787" s="5">
        <f t="shared" si="146"/>
        <v>7.0710375574851644E-4</v>
      </c>
      <c r="P787">
        <f t="shared" si="154"/>
        <v>10000</v>
      </c>
      <c r="Q787">
        <f t="shared" si="147"/>
        <v>7.0710375574851643</v>
      </c>
    </row>
    <row r="788" spans="1:17" x14ac:dyDescent="0.15">
      <c r="A788" s="10">
        <v>45896.444444444962</v>
      </c>
      <c r="B788">
        <f>COUNT(A788:$A$1158)/(48*252)</f>
        <v>3.0671296296296297E-2</v>
      </c>
      <c r="C788">
        <v>2.3359999999999999</v>
      </c>
      <c r="D788">
        <v>0.124</v>
      </c>
      <c r="E788">
        <f t="shared" si="144"/>
        <v>2.3729866156427444</v>
      </c>
      <c r="F788">
        <f t="shared" si="145"/>
        <v>-8.8224516520761798E-3</v>
      </c>
      <c r="G788">
        <f t="shared" si="148"/>
        <v>-2.0000000000002238E-3</v>
      </c>
      <c r="H788">
        <f>IF(MOD(COUNTA($C$7:C788)-1,$J$2),H787,ROUND(F788*P788,-2))</f>
        <v>-100</v>
      </c>
      <c r="I788">
        <f t="shared" si="149"/>
        <v>0</v>
      </c>
      <c r="J788">
        <f t="shared" si="150"/>
        <v>0</v>
      </c>
      <c r="K788">
        <f t="shared" si="151"/>
        <v>441.57455659786905</v>
      </c>
      <c r="L788">
        <f t="shared" si="152"/>
        <v>207.97455659786905</v>
      </c>
      <c r="M788">
        <f t="shared" si="153"/>
        <v>0.20000000000001705</v>
      </c>
      <c r="N788">
        <f t="shared" si="155"/>
        <v>207.97455659786905</v>
      </c>
      <c r="O788" s="5">
        <f t="shared" si="146"/>
        <v>7.1714038005032954E-4</v>
      </c>
      <c r="P788">
        <f t="shared" si="154"/>
        <v>10000</v>
      </c>
      <c r="Q788">
        <f t="shared" si="147"/>
        <v>7.1714038005032954</v>
      </c>
    </row>
    <row r="789" spans="1:17" x14ac:dyDescent="0.15">
      <c r="A789" s="10">
        <v>45896.447916666977</v>
      </c>
      <c r="B789">
        <f>COUNT(A789:$A$1158)/(48*252)</f>
        <v>3.0588624338624339E-2</v>
      </c>
      <c r="C789">
        <v>2.3340000000000001</v>
      </c>
      <c r="D789">
        <v>0.126</v>
      </c>
      <c r="E789">
        <f t="shared" si="144"/>
        <v>2.3675238324364258</v>
      </c>
      <c r="F789">
        <f t="shared" si="145"/>
        <v>-8.9537833251632781E-3</v>
      </c>
      <c r="G789">
        <f t="shared" si="148"/>
        <v>-1.9999999999997797E-3</v>
      </c>
      <c r="H789">
        <f>IF(MOD(COUNTA($C$7:C789)-1,$J$2),H788,ROUND(F789*P789,-2))</f>
        <v>-100</v>
      </c>
      <c r="I789">
        <f t="shared" si="149"/>
        <v>0</v>
      </c>
      <c r="J789">
        <f t="shared" si="150"/>
        <v>0</v>
      </c>
      <c r="K789">
        <f t="shared" si="151"/>
        <v>441.57455659786905</v>
      </c>
      <c r="L789">
        <f t="shared" si="152"/>
        <v>208.17455659786904</v>
      </c>
      <c r="M789">
        <f t="shared" si="153"/>
        <v>0.19999999999998863</v>
      </c>
      <c r="N789">
        <f t="shared" si="155"/>
        <v>208.17455659786904</v>
      </c>
      <c r="O789" s="5">
        <f t="shared" si="146"/>
        <v>7.2733643502983017E-4</v>
      </c>
      <c r="P789">
        <f t="shared" si="154"/>
        <v>10000</v>
      </c>
      <c r="Q789">
        <f t="shared" si="147"/>
        <v>7.2733643502983014</v>
      </c>
    </row>
    <row r="790" spans="1:17" x14ac:dyDescent="0.15">
      <c r="A790" s="10">
        <v>45896.451388888992</v>
      </c>
      <c r="B790">
        <f>COUNT(A790:$A$1158)/(48*252)</f>
        <v>3.050595238095238E-2</v>
      </c>
      <c r="C790">
        <v>2.3380000000000001</v>
      </c>
      <c r="D790">
        <v>0.128</v>
      </c>
      <c r="E790">
        <f t="shared" si="144"/>
        <v>2.3875978393379658</v>
      </c>
      <c r="F790">
        <f t="shared" si="145"/>
        <v>-8.4794440246940272E-3</v>
      </c>
      <c r="G790">
        <f t="shared" si="148"/>
        <v>4.0000000000000036E-3</v>
      </c>
      <c r="H790">
        <f>IF(MOD(COUNTA($C$7:C790)-1,$J$2),H789,ROUND(F790*P790,-2))</f>
        <v>-100</v>
      </c>
      <c r="I790">
        <f t="shared" si="149"/>
        <v>0</v>
      </c>
      <c r="J790">
        <f t="shared" si="150"/>
        <v>0</v>
      </c>
      <c r="K790">
        <f t="shared" si="151"/>
        <v>441.57455659786905</v>
      </c>
      <c r="L790">
        <f t="shared" si="152"/>
        <v>207.77455659786904</v>
      </c>
      <c r="M790">
        <f t="shared" si="153"/>
        <v>-0.40000000000000568</v>
      </c>
      <c r="N790">
        <f t="shared" si="155"/>
        <v>207.77455659786904</v>
      </c>
      <c r="O790" s="5">
        <f t="shared" si="146"/>
        <v>6.8501380197474523E-4</v>
      </c>
      <c r="P790">
        <f t="shared" si="154"/>
        <v>10000</v>
      </c>
      <c r="Q790">
        <f t="shared" si="147"/>
        <v>6.850138019747452</v>
      </c>
    </row>
    <row r="791" spans="1:17" x14ac:dyDescent="0.15">
      <c r="A791" s="10">
        <v>45896.454861111008</v>
      </c>
      <c r="B791">
        <f>COUNT(A791:$A$1158)/(48*252)</f>
        <v>3.0423280423280422E-2</v>
      </c>
      <c r="C791">
        <v>2.3370000000000002</v>
      </c>
      <c r="D791">
        <v>0.127</v>
      </c>
      <c r="E791">
        <f t="shared" si="144"/>
        <v>2.3864182121287341</v>
      </c>
      <c r="F791">
        <f t="shared" si="145"/>
        <v>-8.5066956135181337E-3</v>
      </c>
      <c r="G791">
        <f t="shared" si="148"/>
        <v>-9.9999999999988987E-4</v>
      </c>
      <c r="H791">
        <f>IF(MOD(COUNTA($C$7:C791)-1,$J$2),H790,ROUND(F791*P791,-2))</f>
        <v>-100</v>
      </c>
      <c r="I791">
        <f t="shared" si="149"/>
        <v>0</v>
      </c>
      <c r="J791">
        <f t="shared" si="150"/>
        <v>0</v>
      </c>
      <c r="K791">
        <f t="shared" si="151"/>
        <v>441.57455659786905</v>
      </c>
      <c r="L791">
        <f t="shared" si="152"/>
        <v>207.87455659786903</v>
      </c>
      <c r="M791">
        <f t="shared" si="153"/>
        <v>9.9999999999994316E-2</v>
      </c>
      <c r="N791">
        <f t="shared" si="155"/>
        <v>207.87455659786903</v>
      </c>
      <c r="O791" s="5">
        <f t="shared" si="146"/>
        <v>6.8619516702625102E-4</v>
      </c>
      <c r="P791">
        <f t="shared" si="154"/>
        <v>10000</v>
      </c>
      <c r="Q791">
        <f t="shared" si="147"/>
        <v>6.8619516702625099</v>
      </c>
    </row>
    <row r="792" spans="1:17" x14ac:dyDescent="0.15">
      <c r="A792" s="10">
        <v>45896.458333333023</v>
      </c>
      <c r="B792">
        <f>COUNT(A792:$A$1158)/(48*252)</f>
        <v>3.0340608465608467E-2</v>
      </c>
      <c r="C792">
        <v>2.335</v>
      </c>
      <c r="D792">
        <v>0.127</v>
      </c>
      <c r="E792">
        <f t="shared" si="144"/>
        <v>2.3809681966131038</v>
      </c>
      <c r="F792">
        <f t="shared" si="145"/>
        <v>-8.6336013209513673E-3</v>
      </c>
      <c r="G792">
        <f t="shared" si="148"/>
        <v>-2.0000000000002238E-3</v>
      </c>
      <c r="H792">
        <f>IF(MOD(COUNTA($C$7:C792)-1,$J$2),H791,ROUND(F792*P792,-2))</f>
        <v>-100</v>
      </c>
      <c r="I792">
        <f t="shared" si="149"/>
        <v>0</v>
      </c>
      <c r="J792">
        <f t="shared" si="150"/>
        <v>0</v>
      </c>
      <c r="K792">
        <f t="shared" si="151"/>
        <v>441.57455659786905</v>
      </c>
      <c r="L792">
        <f t="shared" si="152"/>
        <v>208.07455659786905</v>
      </c>
      <c r="M792">
        <f t="shared" si="153"/>
        <v>0.20000000000001705</v>
      </c>
      <c r="N792">
        <f t="shared" si="155"/>
        <v>208.07455659786905</v>
      </c>
      <c r="O792" s="5">
        <f t="shared" si="146"/>
        <v>6.9596006449290648E-4</v>
      </c>
      <c r="P792">
        <f t="shared" si="154"/>
        <v>10000</v>
      </c>
      <c r="Q792">
        <f t="shared" si="147"/>
        <v>6.9596006449290648</v>
      </c>
    </row>
    <row r="793" spans="1:17" x14ac:dyDescent="0.15">
      <c r="A793" s="10">
        <v>45896.461805555969</v>
      </c>
      <c r="B793">
        <f>COUNT(A793:$A$1158)/(48*252)</f>
        <v>3.0257936507936508E-2</v>
      </c>
      <c r="C793">
        <v>2.343</v>
      </c>
      <c r="D793">
        <v>0.13</v>
      </c>
      <c r="E793">
        <f t="shared" si="144"/>
        <v>2.4182106868202986</v>
      </c>
      <c r="F793">
        <f t="shared" si="145"/>
        <v>-7.7985215456441992E-3</v>
      </c>
      <c r="G793">
        <f t="shared" si="148"/>
        <v>8.0000000000000071E-3</v>
      </c>
      <c r="H793">
        <f>IF(MOD(COUNTA($C$7:C793)-1,$J$2),H792,ROUND(F793*P793,-2))</f>
        <v>-100</v>
      </c>
      <c r="I793">
        <f t="shared" si="149"/>
        <v>0</v>
      </c>
      <c r="J793">
        <f t="shared" si="150"/>
        <v>0</v>
      </c>
      <c r="K793">
        <f t="shared" si="151"/>
        <v>441.57455659786905</v>
      </c>
      <c r="L793">
        <f t="shared" si="152"/>
        <v>207.27455659786904</v>
      </c>
      <c r="M793">
        <f t="shared" si="153"/>
        <v>-0.80000000000001137</v>
      </c>
      <c r="N793">
        <f t="shared" si="155"/>
        <v>207.27455659786904</v>
      </c>
      <c r="O793" s="5">
        <f t="shared" si="146"/>
        <v>6.2316072723265364E-4</v>
      </c>
      <c r="P793">
        <f t="shared" si="154"/>
        <v>10000</v>
      </c>
      <c r="Q793">
        <f t="shared" si="147"/>
        <v>6.2316072723265368</v>
      </c>
    </row>
    <row r="794" spans="1:17" x14ac:dyDescent="0.15">
      <c r="A794" s="10">
        <v>45896.465277777985</v>
      </c>
      <c r="B794">
        <f>COUNT(A794:$A$1158)/(48*252)</f>
        <v>3.0175264550264549E-2</v>
      </c>
      <c r="C794">
        <v>2.343</v>
      </c>
      <c r="D794">
        <v>0.13</v>
      </c>
      <c r="E794">
        <f t="shared" si="144"/>
        <v>2.4213592428356532</v>
      </c>
      <c r="F794">
        <f t="shared" si="145"/>
        <v>-7.7312940010574316E-3</v>
      </c>
      <c r="G794">
        <f t="shared" si="148"/>
        <v>0</v>
      </c>
      <c r="H794">
        <f>IF(MOD(COUNTA($C$7:C794)-1,$J$2),H793,ROUND(F794*P794,-2))</f>
        <v>-100</v>
      </c>
      <c r="I794">
        <f t="shared" si="149"/>
        <v>0</v>
      </c>
      <c r="J794">
        <f t="shared" si="150"/>
        <v>0</v>
      </c>
      <c r="K794">
        <f t="shared" si="151"/>
        <v>441.57455659786905</v>
      </c>
      <c r="L794">
        <f t="shared" si="152"/>
        <v>207.27455659786904</v>
      </c>
      <c r="M794">
        <f t="shared" si="153"/>
        <v>0</v>
      </c>
      <c r="N794">
        <f t="shared" si="155"/>
        <v>207.27455659786904</v>
      </c>
      <c r="O794" s="5">
        <f t="shared" si="146"/>
        <v>6.1635852237225397E-4</v>
      </c>
      <c r="P794">
        <f t="shared" si="154"/>
        <v>10000</v>
      </c>
      <c r="Q794">
        <f t="shared" si="147"/>
        <v>6.1635852237225395</v>
      </c>
    </row>
    <row r="795" spans="1:17" x14ac:dyDescent="0.15">
      <c r="A795" s="10">
        <v>45896.46875</v>
      </c>
      <c r="B795">
        <f>COUNT(A795:$A$1158)/(48*252)</f>
        <v>3.0092592592592591E-2</v>
      </c>
      <c r="C795">
        <v>2.34</v>
      </c>
      <c r="D795">
        <v>0.127</v>
      </c>
      <c r="E795">
        <f t="shared" si="144"/>
        <v>2.4116919742431144</v>
      </c>
      <c r="F795">
        <f t="shared" si="145"/>
        <v>-7.9393450319048542E-3</v>
      </c>
      <c r="G795">
        <f t="shared" si="148"/>
        <v>-3.0000000000001137E-3</v>
      </c>
      <c r="H795">
        <f>IF(MOD(COUNTA($C$7:C795)-1,$J$2),H794,ROUND(F795*P795,-2))</f>
        <v>-100</v>
      </c>
      <c r="I795">
        <f t="shared" si="149"/>
        <v>0</v>
      </c>
      <c r="J795">
        <f t="shared" si="150"/>
        <v>0</v>
      </c>
      <c r="K795">
        <f t="shared" si="151"/>
        <v>441.57455659786905</v>
      </c>
      <c r="L795">
        <f t="shared" si="152"/>
        <v>207.57455659786905</v>
      </c>
      <c r="M795">
        <f t="shared" si="153"/>
        <v>0.30000000000001137</v>
      </c>
      <c r="N795">
        <f t="shared" si="155"/>
        <v>207.57455659786905</v>
      </c>
      <c r="O795" s="5">
        <f t="shared" si="146"/>
        <v>6.330019621429879E-4</v>
      </c>
      <c r="P795">
        <f t="shared" si="154"/>
        <v>10000</v>
      </c>
      <c r="Q795">
        <f t="shared" si="147"/>
        <v>6.3300196214298792</v>
      </c>
    </row>
    <row r="796" spans="1:17" x14ac:dyDescent="0.15">
      <c r="A796" s="10">
        <v>45896.472222222015</v>
      </c>
      <c r="B796">
        <f>COUNT(A796:$A$1158)/(48*252)</f>
        <v>3.0009920634920636E-2</v>
      </c>
      <c r="C796">
        <v>2.3359999999999999</v>
      </c>
      <c r="D796">
        <v>0.126</v>
      </c>
      <c r="E796">
        <f t="shared" si="144"/>
        <v>2.3976947997533369</v>
      </c>
      <c r="F796">
        <f t="shared" si="145"/>
        <v>-8.2493028232107912E-3</v>
      </c>
      <c r="G796">
        <f t="shared" si="148"/>
        <v>-4.0000000000000036E-3</v>
      </c>
      <c r="H796">
        <f>IF(MOD(COUNTA($C$7:C796)-1,$J$2),H795,ROUND(F796*P796,-2))</f>
        <v>-100</v>
      </c>
      <c r="I796">
        <f t="shared" si="149"/>
        <v>0</v>
      </c>
      <c r="J796">
        <f t="shared" si="150"/>
        <v>0</v>
      </c>
      <c r="K796">
        <f t="shared" si="151"/>
        <v>441.57455659786905</v>
      </c>
      <c r="L796">
        <f t="shared" si="152"/>
        <v>207.97455659786905</v>
      </c>
      <c r="M796">
        <f t="shared" si="153"/>
        <v>0.40000000000000568</v>
      </c>
      <c r="N796">
        <f t="shared" si="155"/>
        <v>207.97455659786905</v>
      </c>
      <c r="O796" s="5">
        <f t="shared" si="146"/>
        <v>6.5831659056402037E-4</v>
      </c>
      <c r="P796">
        <f t="shared" si="154"/>
        <v>10000</v>
      </c>
      <c r="Q796">
        <f t="shared" si="147"/>
        <v>6.5831659056402039</v>
      </c>
    </row>
    <row r="797" spans="1:17" x14ac:dyDescent="0.15">
      <c r="A797" s="10">
        <v>45896.475694444962</v>
      </c>
      <c r="B797">
        <f>COUNT(A797:$A$1158)/(48*252)</f>
        <v>2.9927248677248677E-2</v>
      </c>
      <c r="C797">
        <v>2.3370000000000002</v>
      </c>
      <c r="D797">
        <v>0.128</v>
      </c>
      <c r="E797">
        <f t="shared" si="144"/>
        <v>2.4051390945973128</v>
      </c>
      <c r="F797">
        <f t="shared" si="145"/>
        <v>-8.0831556432594542E-3</v>
      </c>
      <c r="G797">
        <f t="shared" si="148"/>
        <v>1.000000000000334E-3</v>
      </c>
      <c r="H797">
        <f>IF(MOD(COUNTA($C$7:C797)-1,$J$2),H796,ROUND(F797*P797,-2))</f>
        <v>-100</v>
      </c>
      <c r="I797">
        <f t="shared" si="149"/>
        <v>0</v>
      </c>
      <c r="J797">
        <f t="shared" si="150"/>
        <v>0</v>
      </c>
      <c r="K797">
        <f t="shared" si="151"/>
        <v>441.57455659786905</v>
      </c>
      <c r="L797">
        <f t="shared" si="152"/>
        <v>207.87455659786903</v>
      </c>
      <c r="M797">
        <f t="shared" si="153"/>
        <v>-0.10000000000002274</v>
      </c>
      <c r="N797">
        <f t="shared" si="155"/>
        <v>207.87455659786903</v>
      </c>
      <c r="O797" s="5">
        <f t="shared" si="146"/>
        <v>6.430308831458266E-4</v>
      </c>
      <c r="P797">
        <f t="shared" si="154"/>
        <v>10000</v>
      </c>
      <c r="Q797">
        <f t="shared" si="147"/>
        <v>6.4303088314582659</v>
      </c>
    </row>
    <row r="798" spans="1:17" x14ac:dyDescent="0.15">
      <c r="A798" s="10">
        <v>45896.479166666977</v>
      </c>
      <c r="B798">
        <f>COUNT(A798:$A$1158)/(48*252)</f>
        <v>2.9844576719576719E-2</v>
      </c>
      <c r="C798">
        <v>2.3340000000000001</v>
      </c>
      <c r="D798">
        <v>0.125</v>
      </c>
      <c r="E798">
        <f t="shared" si="144"/>
        <v>2.395390015535988</v>
      </c>
      <c r="F798">
        <f t="shared" si="145"/>
        <v>-8.3013472178219416E-3</v>
      </c>
      <c r="G798">
        <f t="shared" si="148"/>
        <v>-3.0000000000001137E-3</v>
      </c>
      <c r="H798">
        <f>IF(MOD(COUNTA($C$7:C798)-1,$J$2),H797,ROUND(F798*P798,-2))</f>
        <v>-100</v>
      </c>
      <c r="I798">
        <f t="shared" si="149"/>
        <v>0</v>
      </c>
      <c r="J798">
        <f t="shared" si="150"/>
        <v>0</v>
      </c>
      <c r="K798">
        <f t="shared" si="151"/>
        <v>441.57455659786905</v>
      </c>
      <c r="L798">
        <f t="shared" si="152"/>
        <v>208.17455659786904</v>
      </c>
      <c r="M798">
        <f t="shared" si="153"/>
        <v>0.30000000000001137</v>
      </c>
      <c r="N798">
        <f t="shared" si="155"/>
        <v>208.17455659786904</v>
      </c>
      <c r="O798" s="5">
        <f t="shared" si="146"/>
        <v>6.604598898678482E-4</v>
      </c>
      <c r="P798">
        <f t="shared" si="154"/>
        <v>10000</v>
      </c>
      <c r="Q798">
        <f t="shared" si="147"/>
        <v>6.604598898678482</v>
      </c>
    </row>
    <row r="799" spans="1:17" x14ac:dyDescent="0.15">
      <c r="A799" s="10">
        <v>45896.545138888992</v>
      </c>
      <c r="B799">
        <f>COUNT(A799:$A$1158)/(48*252)</f>
        <v>2.976190476190476E-2</v>
      </c>
      <c r="C799">
        <v>2.331</v>
      </c>
      <c r="D799">
        <v>0.124</v>
      </c>
      <c r="E799">
        <f t="shared" si="144"/>
        <v>2.3856018603864553</v>
      </c>
      <c r="F799">
        <f t="shared" si="145"/>
        <v>-8.525599829582009E-3</v>
      </c>
      <c r="G799">
        <f t="shared" si="148"/>
        <v>-3.0000000000001137E-3</v>
      </c>
      <c r="H799">
        <f>IF(MOD(COUNTA($C$7:C799)-1,$J$2),H798,ROUND(F799*P799,-2))</f>
        <v>-100</v>
      </c>
      <c r="I799">
        <f t="shared" si="149"/>
        <v>0</v>
      </c>
      <c r="J799">
        <f t="shared" si="150"/>
        <v>0</v>
      </c>
      <c r="K799">
        <f t="shared" si="151"/>
        <v>441.57455659786905</v>
      </c>
      <c r="L799">
        <f t="shared" si="152"/>
        <v>208.47455659786905</v>
      </c>
      <c r="M799">
        <f t="shared" si="153"/>
        <v>0.30000000000001137</v>
      </c>
      <c r="N799">
        <f t="shared" si="155"/>
        <v>208.47455659786905</v>
      </c>
      <c r="O799" s="5">
        <f t="shared" si="146"/>
        <v>6.7838269695070022E-4</v>
      </c>
      <c r="P799">
        <f t="shared" si="154"/>
        <v>10000</v>
      </c>
      <c r="Q799">
        <f t="shared" si="147"/>
        <v>6.7838269695070021</v>
      </c>
    </row>
    <row r="800" spans="1:17" x14ac:dyDescent="0.15">
      <c r="A800" s="10">
        <v>45896.548611111008</v>
      </c>
      <c r="B800">
        <f>COUNT(A800:$A$1158)/(48*252)</f>
        <v>2.9679232804232805E-2</v>
      </c>
      <c r="C800">
        <v>2.33</v>
      </c>
      <c r="D800">
        <v>0.123</v>
      </c>
      <c r="E800">
        <f t="shared" si="144"/>
        <v>2.3844326350913376</v>
      </c>
      <c r="F800">
        <f t="shared" si="145"/>
        <v>-8.5527397240344749E-3</v>
      </c>
      <c r="G800">
        <f t="shared" si="148"/>
        <v>-9.9999999999988987E-4</v>
      </c>
      <c r="H800">
        <f>IF(MOD(COUNTA($C$7:C800)-1,$J$2),H799,ROUND(F800*P800,-2))</f>
        <v>-100</v>
      </c>
      <c r="I800">
        <f t="shared" si="149"/>
        <v>0</v>
      </c>
      <c r="J800">
        <f t="shared" si="150"/>
        <v>0</v>
      </c>
      <c r="K800">
        <f t="shared" si="151"/>
        <v>441.57455659786905</v>
      </c>
      <c r="L800">
        <f t="shared" si="152"/>
        <v>208.57455659786905</v>
      </c>
      <c r="M800">
        <f t="shared" si="153"/>
        <v>9.9999999999994316E-2</v>
      </c>
      <c r="N800">
        <f t="shared" si="155"/>
        <v>208.57455659786905</v>
      </c>
      <c r="O800" s="5">
        <f t="shared" si="146"/>
        <v>6.7950561041586061E-4</v>
      </c>
      <c r="P800">
        <f t="shared" si="154"/>
        <v>10000</v>
      </c>
      <c r="Q800">
        <f t="shared" si="147"/>
        <v>6.7950561041586059</v>
      </c>
    </row>
    <row r="801" spans="1:17" x14ac:dyDescent="0.15">
      <c r="A801" s="10">
        <v>45896.552083333023</v>
      </c>
      <c r="B801">
        <f>COUNT(A801:$A$1158)/(48*252)</f>
        <v>2.9596560846560847E-2</v>
      </c>
      <c r="C801">
        <v>2.3239999999999998</v>
      </c>
      <c r="D801">
        <v>0.12</v>
      </c>
      <c r="E801">
        <f t="shared" si="144"/>
        <v>2.3615637876938096</v>
      </c>
      <c r="F801">
        <f t="shared" si="145"/>
        <v>-9.0990204592776847E-3</v>
      </c>
      <c r="G801">
        <f t="shared" si="148"/>
        <v>-6.0000000000002274E-3</v>
      </c>
      <c r="H801">
        <f>IF(MOD(COUNTA($C$7:C801)-1,$J$2),H800,ROUND(F801*P801,-2))</f>
        <v>-100</v>
      </c>
      <c r="I801">
        <f t="shared" si="149"/>
        <v>0</v>
      </c>
      <c r="J801">
        <f t="shared" si="150"/>
        <v>0</v>
      </c>
      <c r="K801">
        <f t="shared" si="151"/>
        <v>441.57455659786905</v>
      </c>
      <c r="L801">
        <f t="shared" si="152"/>
        <v>209.17455659786907</v>
      </c>
      <c r="M801">
        <f t="shared" si="153"/>
        <v>0.60000000000002274</v>
      </c>
      <c r="N801">
        <f t="shared" si="155"/>
        <v>209.17455659786907</v>
      </c>
      <c r="O801" s="5">
        <f t="shared" si="146"/>
        <v>7.2481364584639149E-4</v>
      </c>
      <c r="P801">
        <f t="shared" si="154"/>
        <v>10000</v>
      </c>
      <c r="Q801">
        <f t="shared" si="147"/>
        <v>7.2481364584639145</v>
      </c>
    </row>
    <row r="802" spans="1:17" x14ac:dyDescent="0.15">
      <c r="A802" s="10">
        <v>45896.555555555969</v>
      </c>
      <c r="B802">
        <f>COUNT(A802:$A$1158)/(48*252)</f>
        <v>2.9513888888888888E-2</v>
      </c>
      <c r="C802">
        <v>2.3210000000000002</v>
      </c>
      <c r="D802">
        <v>0.11899999999999999</v>
      </c>
      <c r="E802">
        <f t="shared" si="144"/>
        <v>2.3516452359525628</v>
      </c>
      <c r="F802">
        <f t="shared" si="145"/>
        <v>-9.3452957345061538E-3</v>
      </c>
      <c r="G802">
        <f t="shared" si="148"/>
        <v>-2.9999999999996696E-3</v>
      </c>
      <c r="H802">
        <f>IF(MOD(COUNTA($C$7:C802)-1,$J$2),H801,ROUND(F802*P802,-2))</f>
        <v>-100</v>
      </c>
      <c r="I802">
        <f t="shared" si="149"/>
        <v>0</v>
      </c>
      <c r="J802">
        <f t="shared" si="150"/>
        <v>0</v>
      </c>
      <c r="K802">
        <f t="shared" si="151"/>
        <v>441.57455659786905</v>
      </c>
      <c r="L802">
        <f t="shared" si="152"/>
        <v>209.47455659786903</v>
      </c>
      <c r="M802">
        <f t="shared" si="153"/>
        <v>0.29999999999995453</v>
      </c>
      <c r="N802">
        <f t="shared" si="155"/>
        <v>209.47455659786903</v>
      </c>
      <c r="O802" s="5">
        <f t="shared" si="146"/>
        <v>7.4455084916971725E-4</v>
      </c>
      <c r="P802">
        <f t="shared" si="154"/>
        <v>10000</v>
      </c>
      <c r="Q802">
        <f t="shared" si="147"/>
        <v>7.4455084916971721</v>
      </c>
    </row>
    <row r="803" spans="1:17" x14ac:dyDescent="0.15">
      <c r="A803" s="10">
        <v>45896.559027777985</v>
      </c>
      <c r="B803">
        <f>COUNT(A803:$A$1158)/(48*252)</f>
        <v>2.943121693121693E-2</v>
      </c>
      <c r="C803">
        <v>2.3180000000000001</v>
      </c>
      <c r="D803">
        <v>0.115</v>
      </c>
      <c r="E803">
        <f t="shared" si="144"/>
        <v>2.3416865660504871</v>
      </c>
      <c r="F803">
        <f t="shared" si="145"/>
        <v>-9.5984144126854964E-3</v>
      </c>
      <c r="G803">
        <f t="shared" si="148"/>
        <v>-3.0000000000001137E-3</v>
      </c>
      <c r="H803">
        <f>IF(MOD(COUNTA($C$7:C803)-1,$J$2),H802,ROUND(F803*P803,-2))</f>
        <v>-100</v>
      </c>
      <c r="I803">
        <f t="shared" si="149"/>
        <v>0</v>
      </c>
      <c r="J803">
        <f t="shared" si="150"/>
        <v>0</v>
      </c>
      <c r="K803">
        <f t="shared" si="151"/>
        <v>441.57455659786905</v>
      </c>
      <c r="L803">
        <f t="shared" si="152"/>
        <v>209.77455659786904</v>
      </c>
      <c r="M803">
        <f t="shared" si="153"/>
        <v>0.30000000000001137</v>
      </c>
      <c r="N803">
        <f t="shared" si="155"/>
        <v>209.77455659786904</v>
      </c>
      <c r="O803" s="5">
        <f t="shared" si="146"/>
        <v>7.6484886664101789E-4</v>
      </c>
      <c r="P803">
        <f t="shared" si="154"/>
        <v>10000</v>
      </c>
      <c r="Q803">
        <f t="shared" si="147"/>
        <v>7.648488666410179</v>
      </c>
    </row>
    <row r="804" spans="1:17" x14ac:dyDescent="0.15">
      <c r="A804" s="10">
        <v>45896.5625</v>
      </c>
      <c r="B804">
        <f>COUNT(A804:$A$1158)/(48*252)</f>
        <v>2.9348544973544975E-2</v>
      </c>
      <c r="C804">
        <v>2.319</v>
      </c>
      <c r="D804">
        <v>0.115</v>
      </c>
      <c r="E804">
        <f t="shared" si="144"/>
        <v>2.3491914995948018</v>
      </c>
      <c r="F804">
        <f t="shared" si="145"/>
        <v>-9.40711385515558E-3</v>
      </c>
      <c r="G804">
        <f t="shared" si="148"/>
        <v>9.9999999999988987E-4</v>
      </c>
      <c r="H804">
        <f>IF(MOD(COUNTA($C$7:C804)-1,$J$2),H803,ROUND(F804*P804,-2))</f>
        <v>-100</v>
      </c>
      <c r="I804">
        <f t="shared" si="149"/>
        <v>0</v>
      </c>
      <c r="J804">
        <f t="shared" si="150"/>
        <v>0</v>
      </c>
      <c r="K804">
        <f t="shared" si="151"/>
        <v>441.57455659786905</v>
      </c>
      <c r="L804">
        <f t="shared" si="152"/>
        <v>209.67455659786904</v>
      </c>
      <c r="M804">
        <f t="shared" si="153"/>
        <v>-9.9999999999994316E-2</v>
      </c>
      <c r="N804">
        <f t="shared" si="155"/>
        <v>209.67455659786904</v>
      </c>
      <c r="O804" s="5">
        <f t="shared" si="146"/>
        <v>7.4719912798731566E-4</v>
      </c>
      <c r="P804">
        <f t="shared" si="154"/>
        <v>10000</v>
      </c>
      <c r="Q804">
        <f t="shared" si="147"/>
        <v>7.4719912798731567</v>
      </c>
    </row>
    <row r="805" spans="1:17" x14ac:dyDescent="0.15">
      <c r="A805" s="10">
        <v>45896.565972222015</v>
      </c>
      <c r="B805">
        <f>COUNT(A805:$A$1158)/(48*252)</f>
        <v>2.9265873015873016E-2</v>
      </c>
      <c r="C805">
        <v>2.3199999999999998</v>
      </c>
      <c r="D805">
        <v>0.11700000000000001</v>
      </c>
      <c r="E805">
        <f t="shared" si="144"/>
        <v>2.3567203823644762</v>
      </c>
      <c r="F805">
        <f t="shared" si="145"/>
        <v>-9.2185619571258925E-3</v>
      </c>
      <c r="G805">
        <f t="shared" si="148"/>
        <v>9.9999999999988987E-4</v>
      </c>
      <c r="H805">
        <f>IF(MOD(COUNTA($C$7:C805)-1,$J$2),H804,ROUND(F805*P805,-2))</f>
        <v>-100</v>
      </c>
      <c r="I805">
        <f t="shared" si="149"/>
        <v>0</v>
      </c>
      <c r="J805">
        <f t="shared" si="150"/>
        <v>0</v>
      </c>
      <c r="K805">
        <f t="shared" si="151"/>
        <v>441.57455659786905</v>
      </c>
      <c r="L805">
        <f t="shared" si="152"/>
        <v>209.57455659786908</v>
      </c>
      <c r="M805">
        <f t="shared" si="153"/>
        <v>-9.9999999999965894E-2</v>
      </c>
      <c r="N805">
        <f t="shared" si="155"/>
        <v>209.57455659786908</v>
      </c>
      <c r="O805" s="5">
        <f t="shared" si="146"/>
        <v>7.2986695385857461E-4</v>
      </c>
      <c r="P805">
        <f t="shared" si="154"/>
        <v>10000</v>
      </c>
      <c r="Q805">
        <f t="shared" si="147"/>
        <v>7.2986695385857461</v>
      </c>
    </row>
    <row r="806" spans="1:17" x14ac:dyDescent="0.15">
      <c r="A806" s="10">
        <v>45896.569444444962</v>
      </c>
      <c r="B806">
        <f>COUNT(A806:$A$1158)/(48*252)</f>
        <v>2.9183201058201057E-2</v>
      </c>
      <c r="C806">
        <v>2.3199999999999998</v>
      </c>
      <c r="D806">
        <v>0.11600000000000001</v>
      </c>
      <c r="E806">
        <f t="shared" si="144"/>
        <v>2.3598916298110488</v>
      </c>
      <c r="F806">
        <f t="shared" si="145"/>
        <v>-9.140137167246376E-3</v>
      </c>
      <c r="G806">
        <f t="shared" si="148"/>
        <v>0</v>
      </c>
      <c r="H806">
        <f>IF(MOD(COUNTA($C$7:C806)-1,$J$2),H805,ROUND(F806*P806,-2))</f>
        <v>-100</v>
      </c>
      <c r="I806">
        <f t="shared" si="149"/>
        <v>0</v>
      </c>
      <c r="J806">
        <f t="shared" si="150"/>
        <v>0</v>
      </c>
      <c r="K806">
        <f t="shared" si="151"/>
        <v>441.57455659786905</v>
      </c>
      <c r="L806">
        <f t="shared" si="152"/>
        <v>209.57455659786908</v>
      </c>
      <c r="M806">
        <f t="shared" si="153"/>
        <v>0</v>
      </c>
      <c r="N806">
        <f t="shared" si="155"/>
        <v>209.57455659786908</v>
      </c>
      <c r="O806" s="5">
        <f t="shared" si="146"/>
        <v>7.2193481174749954E-4</v>
      </c>
      <c r="P806">
        <f t="shared" si="154"/>
        <v>10000</v>
      </c>
      <c r="Q806">
        <f t="shared" si="147"/>
        <v>7.2193481174749952</v>
      </c>
    </row>
    <row r="807" spans="1:17" x14ac:dyDescent="0.15">
      <c r="A807" s="10">
        <v>45896.572916666977</v>
      </c>
      <c r="B807">
        <f>COUNT(A807:$A$1158)/(48*252)</f>
        <v>2.9100529100529099E-2</v>
      </c>
      <c r="C807">
        <v>2.3199999999999998</v>
      </c>
      <c r="D807">
        <v>0.11899999999999999</v>
      </c>
      <c r="E807">
        <f t="shared" si="144"/>
        <v>2.3630766150478144</v>
      </c>
      <c r="F807">
        <f t="shared" si="145"/>
        <v>-9.0619611665712085E-3</v>
      </c>
      <c r="G807">
        <f t="shared" si="148"/>
        <v>0</v>
      </c>
      <c r="H807">
        <f>IF(MOD(COUNTA($C$7:C807)-1,$J$2),H806,ROUND(F807*P807,-2))</f>
        <v>-100</v>
      </c>
      <c r="I807">
        <f t="shared" si="149"/>
        <v>0</v>
      </c>
      <c r="J807">
        <f t="shared" si="150"/>
        <v>0</v>
      </c>
      <c r="K807">
        <f t="shared" si="151"/>
        <v>441.57455659786905</v>
      </c>
      <c r="L807">
        <f t="shared" si="152"/>
        <v>209.57455659786908</v>
      </c>
      <c r="M807">
        <f t="shared" si="153"/>
        <v>0</v>
      </c>
      <c r="N807">
        <f t="shared" si="155"/>
        <v>209.57455659786908</v>
      </c>
      <c r="O807" s="5">
        <f t="shared" si="146"/>
        <v>7.140506398429225E-4</v>
      </c>
      <c r="P807">
        <f t="shared" si="154"/>
        <v>10000</v>
      </c>
      <c r="Q807">
        <f t="shared" si="147"/>
        <v>7.140506398429225</v>
      </c>
    </row>
    <row r="808" spans="1:17" x14ac:dyDescent="0.15">
      <c r="A808" s="10">
        <v>45896.576388888992</v>
      </c>
      <c r="B808">
        <f>COUNT(A808:$A$1158)/(48*252)</f>
        <v>2.9017857142857144E-2</v>
      </c>
      <c r="C808">
        <v>2.3199999999999998</v>
      </c>
      <c r="D808">
        <v>0.121</v>
      </c>
      <c r="E808">
        <f t="shared" si="144"/>
        <v>2.3662754361851857</v>
      </c>
      <c r="F808">
        <f t="shared" si="145"/>
        <v>-8.9840355531355387E-3</v>
      </c>
      <c r="G808">
        <f t="shared" si="148"/>
        <v>0</v>
      </c>
      <c r="H808">
        <f>IF(MOD(COUNTA($C$7:C808)-1,$J$2),H807,ROUND(F808*P808,-2))</f>
        <v>-100</v>
      </c>
      <c r="I808">
        <f t="shared" si="149"/>
        <v>0</v>
      </c>
      <c r="J808">
        <f t="shared" si="150"/>
        <v>0</v>
      </c>
      <c r="K808">
        <f t="shared" si="151"/>
        <v>441.57455659786905</v>
      </c>
      <c r="L808">
        <f t="shared" si="152"/>
        <v>209.57455659786908</v>
      </c>
      <c r="M808">
        <f t="shared" si="153"/>
        <v>0</v>
      </c>
      <c r="N808">
        <f t="shared" si="155"/>
        <v>209.57455659786908</v>
      </c>
      <c r="O808" s="5">
        <f t="shared" si="146"/>
        <v>7.062144510695742E-4</v>
      </c>
      <c r="P808">
        <f t="shared" si="154"/>
        <v>10000</v>
      </c>
      <c r="Q808">
        <f t="shared" si="147"/>
        <v>7.0621445106957417</v>
      </c>
    </row>
    <row r="809" spans="1:17" x14ac:dyDescent="0.15">
      <c r="A809" s="10">
        <v>45896.579861111008</v>
      </c>
      <c r="B809">
        <f>COUNT(A809:$A$1158)/(48*252)</f>
        <v>2.8935185185185185E-2</v>
      </c>
      <c r="C809">
        <v>2.3180000000000001</v>
      </c>
      <c r="D809">
        <v>0.11799999999999999</v>
      </c>
      <c r="E809">
        <f t="shared" si="144"/>
        <v>2.3606815162075878</v>
      </c>
      <c r="F809">
        <f t="shared" si="145"/>
        <v>-9.1206944149988534E-3</v>
      </c>
      <c r="G809">
        <f t="shared" si="148"/>
        <v>-1.9999999999997797E-3</v>
      </c>
      <c r="H809">
        <f>IF(MOD(COUNTA($C$7:C809)-1,$J$2),H808,ROUND(F809*P809,-2))</f>
        <v>-100</v>
      </c>
      <c r="I809">
        <f t="shared" si="149"/>
        <v>0</v>
      </c>
      <c r="J809">
        <f t="shared" si="150"/>
        <v>0</v>
      </c>
      <c r="K809">
        <f t="shared" si="151"/>
        <v>441.57455659786905</v>
      </c>
      <c r="L809">
        <f t="shared" si="152"/>
        <v>209.77455659786904</v>
      </c>
      <c r="M809">
        <f t="shared" si="153"/>
        <v>0.19999999999996021</v>
      </c>
      <c r="N809">
        <f t="shared" si="155"/>
        <v>209.77455659786904</v>
      </c>
      <c r="O809" s="5">
        <f t="shared" si="146"/>
        <v>7.1645253874501325E-4</v>
      </c>
      <c r="P809">
        <f t="shared" si="154"/>
        <v>10000</v>
      </c>
      <c r="Q809">
        <f t="shared" si="147"/>
        <v>7.1645253874501327</v>
      </c>
    </row>
    <row r="810" spans="1:17" x14ac:dyDescent="0.15">
      <c r="A810" s="10">
        <v>45896.583333333023</v>
      </c>
      <c r="B810">
        <f>COUNT(A810:$A$1158)/(48*252)</f>
        <v>2.8852513227513227E-2</v>
      </c>
      <c r="C810">
        <v>2.3170000000000002</v>
      </c>
      <c r="D810">
        <v>0.11700000000000001</v>
      </c>
      <c r="E810">
        <f t="shared" si="144"/>
        <v>2.3594832034471174</v>
      </c>
      <c r="F810">
        <f t="shared" si="145"/>
        <v>-9.1502046508474821E-3</v>
      </c>
      <c r="G810">
        <f t="shared" si="148"/>
        <v>-9.9999999999988987E-4</v>
      </c>
      <c r="H810">
        <f>IF(MOD(COUNTA($C$7:C810)-1,$J$2),H809,ROUND(F810*P810,-2))</f>
        <v>-100</v>
      </c>
      <c r="I810">
        <f t="shared" si="149"/>
        <v>0</v>
      </c>
      <c r="J810">
        <f t="shared" si="150"/>
        <v>0</v>
      </c>
      <c r="K810">
        <f t="shared" si="151"/>
        <v>441.57455659786905</v>
      </c>
      <c r="L810">
        <f t="shared" si="152"/>
        <v>209.87455659786903</v>
      </c>
      <c r="M810">
        <f t="shared" si="153"/>
        <v>9.9999999999994316E-2</v>
      </c>
      <c r="N810">
        <f t="shared" si="155"/>
        <v>209.87455659786903</v>
      </c>
      <c r="O810" s="5">
        <f t="shared" si="146"/>
        <v>7.1765217050009239E-4</v>
      </c>
      <c r="P810">
        <f t="shared" si="154"/>
        <v>10000</v>
      </c>
      <c r="Q810">
        <f t="shared" si="147"/>
        <v>7.1765217050009236</v>
      </c>
    </row>
    <row r="811" spans="1:17" x14ac:dyDescent="0.15">
      <c r="A811" s="10">
        <v>45896.586805555969</v>
      </c>
      <c r="B811">
        <f>COUNT(A811:$A$1158)/(48*252)</f>
        <v>2.8769841269841268E-2</v>
      </c>
      <c r="C811">
        <v>2.3109999999999999</v>
      </c>
      <c r="D811">
        <v>0.114</v>
      </c>
      <c r="E811">
        <f t="shared" si="144"/>
        <v>2.3361520297166889</v>
      </c>
      <c r="F811">
        <f t="shared" si="145"/>
        <v>-9.7416597066682931E-3</v>
      </c>
      <c r="G811">
        <f t="shared" si="148"/>
        <v>-6.0000000000002274E-3</v>
      </c>
      <c r="H811">
        <f>IF(MOD(COUNTA($C$7:C811)-1,$J$2),H810,ROUND(F811*P811,-2))</f>
        <v>-100</v>
      </c>
      <c r="I811">
        <f t="shared" si="149"/>
        <v>0</v>
      </c>
      <c r="J811">
        <f t="shared" si="150"/>
        <v>0</v>
      </c>
      <c r="K811">
        <f t="shared" si="151"/>
        <v>441.57455659786905</v>
      </c>
      <c r="L811">
        <f t="shared" si="152"/>
        <v>210.47455659786905</v>
      </c>
      <c r="M811">
        <f t="shared" si="153"/>
        <v>0.60000000000002274</v>
      </c>
      <c r="N811">
        <f t="shared" si="155"/>
        <v>210.47455659786905</v>
      </c>
      <c r="O811" s="5">
        <f t="shared" si="146"/>
        <v>7.6614186660972985E-4</v>
      </c>
      <c r="P811">
        <f t="shared" si="154"/>
        <v>10000</v>
      </c>
      <c r="Q811">
        <f t="shared" si="147"/>
        <v>7.6614186660972985</v>
      </c>
    </row>
    <row r="812" spans="1:17" x14ac:dyDescent="0.15">
      <c r="A812" s="10">
        <v>45896.590277777985</v>
      </c>
      <c r="B812">
        <f>COUNT(A812:$A$1158)/(48*252)</f>
        <v>2.8687169312169313E-2</v>
      </c>
      <c r="C812">
        <v>2.3149999999999999</v>
      </c>
      <c r="D812">
        <v>0.114</v>
      </c>
      <c r="E812">
        <f t="shared" si="144"/>
        <v>2.3570850991546735</v>
      </c>
      <c r="F812">
        <f t="shared" si="145"/>
        <v>-9.2095126575256758E-3</v>
      </c>
      <c r="G812">
        <f t="shared" si="148"/>
        <v>4.0000000000000036E-3</v>
      </c>
      <c r="H812">
        <f>IF(MOD(COUNTA($C$7:C812)-1,$J$2),H811,ROUND(F812*P812,-2))</f>
        <v>-100</v>
      </c>
      <c r="I812">
        <f t="shared" si="149"/>
        <v>0</v>
      </c>
      <c r="J812">
        <f t="shared" si="150"/>
        <v>0</v>
      </c>
      <c r="K812">
        <f t="shared" si="151"/>
        <v>441.57455659786905</v>
      </c>
      <c r="L812">
        <f t="shared" si="152"/>
        <v>210.07455659786905</v>
      </c>
      <c r="M812">
        <f t="shared" si="153"/>
        <v>-0.40000000000000568</v>
      </c>
      <c r="N812">
        <f t="shared" si="155"/>
        <v>210.07455659786905</v>
      </c>
      <c r="O812" s="5">
        <f t="shared" si="146"/>
        <v>7.2004854844961649E-4</v>
      </c>
      <c r="P812">
        <f t="shared" si="154"/>
        <v>10000</v>
      </c>
      <c r="Q812">
        <f t="shared" si="147"/>
        <v>7.2004854844961645</v>
      </c>
    </row>
    <row r="813" spans="1:17" x14ac:dyDescent="0.15">
      <c r="A813" s="10">
        <v>45896.59375</v>
      </c>
      <c r="B813">
        <f>COUNT(A813:$A$1158)/(48*252)</f>
        <v>2.8604497354497355E-2</v>
      </c>
      <c r="C813">
        <v>2.302</v>
      </c>
      <c r="D813">
        <v>0.107</v>
      </c>
      <c r="E813">
        <f t="shared" si="144"/>
        <v>2.3024873085755742</v>
      </c>
      <c r="F813">
        <f t="shared" si="145"/>
        <v>-1.0653853164993343E-2</v>
      </c>
      <c r="G813">
        <f t="shared" si="148"/>
        <v>-1.2999999999999901E-2</v>
      </c>
      <c r="H813">
        <f>IF(MOD(COUNTA($C$7:C813)-1,$J$2),H812,ROUND(F813*P813,-2))</f>
        <v>-100</v>
      </c>
      <c r="I813">
        <f t="shared" si="149"/>
        <v>0</v>
      </c>
      <c r="J813">
        <f t="shared" si="150"/>
        <v>0</v>
      </c>
      <c r="K813">
        <f t="shared" si="151"/>
        <v>441.57455659786905</v>
      </c>
      <c r="L813">
        <f t="shared" si="152"/>
        <v>211.37455659786903</v>
      </c>
      <c r="M813">
        <f t="shared" si="153"/>
        <v>1.2999999999999829</v>
      </c>
      <c r="N813">
        <f t="shared" si="155"/>
        <v>211.37455659786903</v>
      </c>
      <c r="O813" s="5">
        <f t="shared" si="146"/>
        <v>8.4042095141509052E-4</v>
      </c>
      <c r="P813">
        <f t="shared" si="154"/>
        <v>10000</v>
      </c>
      <c r="Q813">
        <f t="shared" si="147"/>
        <v>8.4042095141509048</v>
      </c>
    </row>
    <row r="814" spans="1:17" x14ac:dyDescent="0.15">
      <c r="A814" s="10">
        <v>45896.597222222015</v>
      </c>
      <c r="B814">
        <f>COUNT(A814:$A$1158)/(48*252)</f>
        <v>2.8521825396825396E-2</v>
      </c>
      <c r="C814">
        <v>2.3079999999999998</v>
      </c>
      <c r="D814">
        <v>0.109</v>
      </c>
      <c r="E814">
        <f t="shared" si="144"/>
        <v>2.3324278428579817</v>
      </c>
      <c r="F814">
        <f t="shared" si="145"/>
        <v>-9.8390973968358608E-3</v>
      </c>
      <c r="G814">
        <f t="shared" si="148"/>
        <v>5.9999999999997833E-3</v>
      </c>
      <c r="H814">
        <f>IF(MOD(COUNTA($C$7:C814)-1,$J$2),H813,ROUND(F814*P814,-2))</f>
        <v>-100</v>
      </c>
      <c r="I814">
        <f t="shared" si="149"/>
        <v>0</v>
      </c>
      <c r="J814">
        <f t="shared" si="150"/>
        <v>0</v>
      </c>
      <c r="K814">
        <f t="shared" si="151"/>
        <v>441.57455659786905</v>
      </c>
      <c r="L814">
        <f t="shared" si="152"/>
        <v>210.77455659786906</v>
      </c>
      <c r="M814">
        <f t="shared" si="153"/>
        <v>-0.59999999999996589</v>
      </c>
      <c r="N814">
        <f t="shared" si="155"/>
        <v>210.77455659786906</v>
      </c>
      <c r="O814" s="5">
        <f t="shared" si="146"/>
        <v>7.7019859248266681E-4</v>
      </c>
      <c r="P814">
        <f t="shared" si="154"/>
        <v>10000</v>
      </c>
      <c r="Q814">
        <f t="shared" si="147"/>
        <v>7.7019859248266682</v>
      </c>
    </row>
    <row r="815" spans="1:17" x14ac:dyDescent="0.15">
      <c r="A815" s="10">
        <v>45896.600694444962</v>
      </c>
      <c r="B815">
        <f>COUNT(A815:$A$1158)/(48*252)</f>
        <v>2.8439153439153438E-2</v>
      </c>
      <c r="C815">
        <v>2.3079999999999998</v>
      </c>
      <c r="D815">
        <v>0.109</v>
      </c>
      <c r="E815">
        <f t="shared" si="144"/>
        <v>2.3356488784801939</v>
      </c>
      <c r="F815">
        <f t="shared" si="145"/>
        <v>-9.7547744473694964E-3</v>
      </c>
      <c r="G815">
        <f t="shared" si="148"/>
        <v>0</v>
      </c>
      <c r="H815">
        <f>IF(MOD(COUNTA($C$7:C815)-1,$J$2),H814,ROUND(F815*P815,-2))</f>
        <v>-100</v>
      </c>
      <c r="I815">
        <f t="shared" si="149"/>
        <v>0</v>
      </c>
      <c r="J815">
        <f t="shared" si="150"/>
        <v>0</v>
      </c>
      <c r="K815">
        <f t="shared" si="151"/>
        <v>441.57455659786905</v>
      </c>
      <c r="L815">
        <f t="shared" si="152"/>
        <v>210.77455659786906</v>
      </c>
      <c r="M815">
        <f t="shared" si="153"/>
        <v>0</v>
      </c>
      <c r="N815">
        <f t="shared" si="155"/>
        <v>210.77455659786906</v>
      </c>
      <c r="O815" s="5">
        <f t="shared" si="146"/>
        <v>7.6173645376223509E-4</v>
      </c>
      <c r="P815">
        <f t="shared" si="154"/>
        <v>10000</v>
      </c>
      <c r="Q815">
        <f t="shared" si="147"/>
        <v>7.6173645376223504</v>
      </c>
    </row>
    <row r="816" spans="1:17" x14ac:dyDescent="0.15">
      <c r="A816" s="10">
        <v>45896.604166666977</v>
      </c>
      <c r="B816">
        <f>COUNT(A816:$A$1158)/(48*252)</f>
        <v>2.8356481481481483E-2</v>
      </c>
      <c r="C816">
        <v>2.3130000000000002</v>
      </c>
      <c r="D816">
        <v>0.112</v>
      </c>
      <c r="E816">
        <f t="shared" si="144"/>
        <v>2.3612062743943594</v>
      </c>
      <c r="F816">
        <f t="shared" si="145"/>
        <v>-9.1077977204661043E-3</v>
      </c>
      <c r="G816">
        <f t="shared" si="148"/>
        <v>5.0000000000003375E-3</v>
      </c>
      <c r="H816">
        <f>IF(MOD(COUNTA($C$7:C816)-1,$J$2),H815,ROUND(F816*P816,-2))</f>
        <v>-100</v>
      </c>
      <c r="I816">
        <f t="shared" si="149"/>
        <v>0</v>
      </c>
      <c r="J816">
        <f t="shared" si="150"/>
        <v>0</v>
      </c>
      <c r="K816">
        <f t="shared" si="151"/>
        <v>441.57455659786905</v>
      </c>
      <c r="L816">
        <f t="shared" si="152"/>
        <v>210.27455659786904</v>
      </c>
      <c r="M816">
        <f t="shared" si="153"/>
        <v>-0.50000000000002842</v>
      </c>
      <c r="N816">
        <f t="shared" si="155"/>
        <v>210.27455659786904</v>
      </c>
      <c r="O816" s="5">
        <f t="shared" si="146"/>
        <v>7.0639204582018458E-4</v>
      </c>
      <c r="P816">
        <f t="shared" si="154"/>
        <v>10000</v>
      </c>
      <c r="Q816">
        <f t="shared" si="147"/>
        <v>7.0639204582018458</v>
      </c>
    </row>
    <row r="817" spans="1:17" x14ac:dyDescent="0.15">
      <c r="A817" s="10">
        <v>45896.607638888992</v>
      </c>
      <c r="B817">
        <f>COUNT(A817:$A$1158)/(48*252)</f>
        <v>2.8273809523809524E-2</v>
      </c>
      <c r="C817">
        <v>2.3109999999999999</v>
      </c>
      <c r="D817">
        <v>0.112</v>
      </c>
      <c r="E817">
        <f t="shared" si="144"/>
        <v>2.3555526064447054</v>
      </c>
      <c r="F817">
        <f t="shared" si="145"/>
        <v>-9.2475890151632045E-3</v>
      </c>
      <c r="G817">
        <f t="shared" si="148"/>
        <v>-2.0000000000002238E-3</v>
      </c>
      <c r="H817">
        <f>IF(MOD(COUNTA($C$7:C817)-1,$J$2),H816,ROUND(F817*P817,-2))</f>
        <v>-100</v>
      </c>
      <c r="I817">
        <f t="shared" si="149"/>
        <v>0</v>
      </c>
      <c r="J817">
        <f t="shared" si="150"/>
        <v>0</v>
      </c>
      <c r="K817">
        <f t="shared" si="151"/>
        <v>441.57455659786905</v>
      </c>
      <c r="L817">
        <f t="shared" si="152"/>
        <v>210.47455659786905</v>
      </c>
      <c r="M817">
        <f t="shared" si="153"/>
        <v>0.20000000000001705</v>
      </c>
      <c r="N817">
        <f t="shared" si="155"/>
        <v>210.47455659786905</v>
      </c>
      <c r="O817" s="5">
        <f t="shared" si="146"/>
        <v>7.1671681779316224E-4</v>
      </c>
      <c r="P817">
        <f t="shared" si="154"/>
        <v>10000</v>
      </c>
      <c r="Q817">
        <f t="shared" si="147"/>
        <v>7.1671681779316225</v>
      </c>
    </row>
    <row r="818" spans="1:17" x14ac:dyDescent="0.15">
      <c r="A818" s="10">
        <v>45896.611111111008</v>
      </c>
      <c r="B818">
        <f>COUNT(A818:$A$1158)/(48*252)</f>
        <v>2.8191137566137565E-2</v>
      </c>
      <c r="C818">
        <v>2.3180000000000001</v>
      </c>
      <c r="D818">
        <v>0.113</v>
      </c>
      <c r="E818">
        <f t="shared" si="144"/>
        <v>2.390124788666629</v>
      </c>
      <c r="F818">
        <f t="shared" si="145"/>
        <v>-8.4213245043681662E-3</v>
      </c>
      <c r="G818">
        <f t="shared" si="148"/>
        <v>7.0000000000001172E-3</v>
      </c>
      <c r="H818">
        <f>IF(MOD(COUNTA($C$7:C818)-1,$J$2),H817,ROUND(F818*P818,-2))</f>
        <v>-100</v>
      </c>
      <c r="I818">
        <f t="shared" si="149"/>
        <v>0</v>
      </c>
      <c r="J818">
        <f t="shared" si="150"/>
        <v>0</v>
      </c>
      <c r="K818">
        <f t="shared" si="151"/>
        <v>441.57455659786905</v>
      </c>
      <c r="L818">
        <f t="shared" si="152"/>
        <v>209.77455659786904</v>
      </c>
      <c r="M818">
        <f t="shared" si="153"/>
        <v>-0.70000000000001705</v>
      </c>
      <c r="N818">
        <f t="shared" si="155"/>
        <v>209.77455659786904</v>
      </c>
      <c r="O818" s="5">
        <f t="shared" si="146"/>
        <v>6.471331469095655E-4</v>
      </c>
      <c r="P818">
        <f t="shared" si="154"/>
        <v>10000</v>
      </c>
      <c r="Q818">
        <f t="shared" si="147"/>
        <v>6.4713314690956549</v>
      </c>
    </row>
    <row r="819" spans="1:17" x14ac:dyDescent="0.15">
      <c r="A819" s="10">
        <v>45896.614583333023</v>
      </c>
      <c r="B819">
        <f>COUNT(A819:$A$1158)/(48*252)</f>
        <v>2.8108465608465607E-2</v>
      </c>
      <c r="C819">
        <v>2.3149999999999999</v>
      </c>
      <c r="D819">
        <v>0.113</v>
      </c>
      <c r="E819">
        <f t="shared" si="144"/>
        <v>2.3800521220625899</v>
      </c>
      <c r="F819">
        <f t="shared" si="145"/>
        <v>-8.6550947028484204E-3</v>
      </c>
      <c r="G819">
        <f t="shared" si="148"/>
        <v>-3.0000000000001137E-3</v>
      </c>
      <c r="H819">
        <f>IF(MOD(COUNTA($C$7:C819)-1,$J$2),H818,ROUND(F819*P819,-2))</f>
        <v>-100</v>
      </c>
      <c r="I819">
        <f t="shared" si="149"/>
        <v>0</v>
      </c>
      <c r="J819">
        <f t="shared" si="150"/>
        <v>0</v>
      </c>
      <c r="K819">
        <f t="shared" si="151"/>
        <v>441.57455659786905</v>
      </c>
      <c r="L819">
        <f t="shared" si="152"/>
        <v>210.07455659786905</v>
      </c>
      <c r="M819">
        <f t="shared" si="153"/>
        <v>0.30000000000001137</v>
      </c>
      <c r="N819">
        <f t="shared" si="155"/>
        <v>210.07455659786905</v>
      </c>
      <c r="O819" s="5">
        <f t="shared" si="146"/>
        <v>6.6517130882379552E-4</v>
      </c>
      <c r="P819">
        <f t="shared" si="154"/>
        <v>10000</v>
      </c>
      <c r="Q819">
        <f t="shared" si="147"/>
        <v>6.6517130882379556</v>
      </c>
    </row>
    <row r="820" spans="1:17" x14ac:dyDescent="0.15">
      <c r="A820" s="10">
        <v>45896.618055555969</v>
      </c>
      <c r="B820">
        <f>COUNT(A820:$A$1158)/(48*252)</f>
        <v>2.8025793650793652E-2</v>
      </c>
      <c r="C820">
        <v>2.3180000000000001</v>
      </c>
      <c r="D820">
        <v>0.113</v>
      </c>
      <c r="E820">
        <f t="shared" si="144"/>
        <v>2.3968291648636288</v>
      </c>
      <c r="F820">
        <f t="shared" si="145"/>
        <v>-8.2688160459182258E-3</v>
      </c>
      <c r="G820">
        <f t="shared" si="148"/>
        <v>3.0000000000001137E-3</v>
      </c>
      <c r="H820">
        <f>IF(MOD(COUNTA($C$7:C820)-1,$J$2),H819,ROUND(F820*P820,-2))</f>
        <v>-100</v>
      </c>
      <c r="I820">
        <f t="shared" si="149"/>
        <v>0</v>
      </c>
      <c r="J820">
        <f t="shared" si="150"/>
        <v>0</v>
      </c>
      <c r="K820">
        <f t="shared" si="151"/>
        <v>441.57455659786905</v>
      </c>
      <c r="L820">
        <f t="shared" si="152"/>
        <v>209.77455659786904</v>
      </c>
      <c r="M820">
        <f t="shared" si="153"/>
        <v>-0.30000000000001137</v>
      </c>
      <c r="N820">
        <f t="shared" si="155"/>
        <v>209.77455659786904</v>
      </c>
      <c r="O820" s="5">
        <f t="shared" si="146"/>
        <v>6.3226313487329058E-4</v>
      </c>
      <c r="P820">
        <f t="shared" si="154"/>
        <v>10000</v>
      </c>
      <c r="Q820">
        <f t="shared" si="147"/>
        <v>6.322631348732906</v>
      </c>
    </row>
    <row r="821" spans="1:17" x14ac:dyDescent="0.15">
      <c r="A821" s="10">
        <v>45896.621527777985</v>
      </c>
      <c r="B821">
        <f>COUNT(A821:$A$1158)/(48*252)</f>
        <v>2.7943121693121693E-2</v>
      </c>
      <c r="C821">
        <v>2.319</v>
      </c>
      <c r="D821">
        <v>0.112</v>
      </c>
      <c r="E821">
        <f t="shared" si="144"/>
        <v>2.4046858060633438</v>
      </c>
      <c r="F821">
        <f t="shared" si="145"/>
        <v>-8.0931877279302178E-3</v>
      </c>
      <c r="G821">
        <f t="shared" si="148"/>
        <v>9.9999999999988987E-4</v>
      </c>
      <c r="H821">
        <f>IF(MOD(COUNTA($C$7:C821)-1,$J$2),H820,ROUND(F821*P821,-2))</f>
        <v>-100</v>
      </c>
      <c r="I821">
        <f t="shared" si="149"/>
        <v>0</v>
      </c>
      <c r="J821">
        <f t="shared" si="150"/>
        <v>0</v>
      </c>
      <c r="K821">
        <f t="shared" si="151"/>
        <v>441.57455659786905</v>
      </c>
      <c r="L821">
        <f t="shared" si="152"/>
        <v>209.67455659786904</v>
      </c>
      <c r="M821">
        <f t="shared" si="153"/>
        <v>-9.9999999999994316E-2</v>
      </c>
      <c r="N821">
        <f t="shared" si="155"/>
        <v>209.67455659786904</v>
      </c>
      <c r="O821" s="5">
        <f t="shared" si="146"/>
        <v>6.1675802586534656E-4</v>
      </c>
      <c r="P821">
        <f t="shared" si="154"/>
        <v>10000</v>
      </c>
      <c r="Q821">
        <f t="shared" si="147"/>
        <v>6.1675802586534658</v>
      </c>
    </row>
    <row r="822" spans="1:17" x14ac:dyDescent="0.15">
      <c r="A822" s="10">
        <v>45896.625</v>
      </c>
      <c r="B822">
        <f>COUNT(A822:$A$1158)/(48*252)</f>
        <v>2.7860449735449735E-2</v>
      </c>
      <c r="C822">
        <v>2.3199999999999998</v>
      </c>
      <c r="D822">
        <v>0.112</v>
      </c>
      <c r="E822">
        <f t="shared" si="144"/>
        <v>2.412569061151447</v>
      </c>
      <c r="F822">
        <f t="shared" si="145"/>
        <v>-7.920268080210624E-3</v>
      </c>
      <c r="G822">
        <f t="shared" si="148"/>
        <v>9.9999999999988987E-4</v>
      </c>
      <c r="H822">
        <f>IF(MOD(COUNTA($C$7:C822)-1,$J$2),H821,ROUND(F822*P822,-2))</f>
        <v>-100</v>
      </c>
      <c r="I822">
        <f t="shared" si="149"/>
        <v>0</v>
      </c>
      <c r="J822">
        <f t="shared" si="150"/>
        <v>0</v>
      </c>
      <c r="K822">
        <f t="shared" si="151"/>
        <v>441.57455659786905</v>
      </c>
      <c r="L822">
        <f t="shared" si="152"/>
        <v>209.57455659786908</v>
      </c>
      <c r="M822">
        <f t="shared" si="153"/>
        <v>-9.9999999999965894E-2</v>
      </c>
      <c r="N822">
        <f t="shared" si="155"/>
        <v>209.57455659786908</v>
      </c>
      <c r="O822" s="5">
        <f t="shared" si="146"/>
        <v>6.0155055103157384E-4</v>
      </c>
      <c r="P822">
        <f t="shared" si="154"/>
        <v>10000</v>
      </c>
      <c r="Q822">
        <f t="shared" si="147"/>
        <v>6.0155055103157382</v>
      </c>
    </row>
    <row r="823" spans="1:17" x14ac:dyDescent="0.15">
      <c r="A823" s="10">
        <v>45897.399305555969</v>
      </c>
      <c r="B823">
        <f>COUNT(A823:$A$1158)/(48*252)</f>
        <v>2.7777777777777776E-2</v>
      </c>
      <c r="C823">
        <v>2.3159999999999998</v>
      </c>
      <c r="D823">
        <v>0.111</v>
      </c>
      <c r="E823">
        <f t="shared" si="144"/>
        <v>2.398003582233819</v>
      </c>
      <c r="F823">
        <f t="shared" si="145"/>
        <v>-8.2423520132309802E-3</v>
      </c>
      <c r="G823">
        <f t="shared" si="148"/>
        <v>-4.0000000000000036E-3</v>
      </c>
      <c r="H823">
        <f>IF(MOD(COUNTA($C$7:C823)-1,$J$2),H822,ROUND(F823*P823,-2))</f>
        <v>-100</v>
      </c>
      <c r="I823">
        <f t="shared" si="149"/>
        <v>0</v>
      </c>
      <c r="J823">
        <f t="shared" si="150"/>
        <v>0</v>
      </c>
      <c r="K823">
        <f t="shared" si="151"/>
        <v>441.57455659786905</v>
      </c>
      <c r="L823">
        <f t="shared" si="152"/>
        <v>209.97455659786905</v>
      </c>
      <c r="M823">
        <f t="shared" si="153"/>
        <v>0.39999999999997726</v>
      </c>
      <c r="N823">
        <f t="shared" si="155"/>
        <v>209.97455659786905</v>
      </c>
      <c r="O823" s="5">
        <f t="shared" si="146"/>
        <v>6.2660621848731682E-4</v>
      </c>
      <c r="P823">
        <f t="shared" si="154"/>
        <v>10000</v>
      </c>
      <c r="Q823">
        <f t="shared" si="147"/>
        <v>6.2660621848731681</v>
      </c>
    </row>
    <row r="824" spans="1:17" x14ac:dyDescent="0.15">
      <c r="A824" s="10">
        <v>45897.402777777985</v>
      </c>
      <c r="B824">
        <f>COUNT(A824:$A$1158)/(48*252)</f>
        <v>2.7695105820105821E-2</v>
      </c>
      <c r="C824">
        <v>2.3159999999999998</v>
      </c>
      <c r="D824">
        <v>0.114</v>
      </c>
      <c r="E824">
        <f t="shared" si="144"/>
        <v>2.4014111402444382</v>
      </c>
      <c r="F824">
        <f t="shared" si="145"/>
        <v>-8.1659875652674296E-3</v>
      </c>
      <c r="G824">
        <f t="shared" si="148"/>
        <v>0</v>
      </c>
      <c r="H824">
        <f>IF(MOD(COUNTA($C$7:C824)-1,$J$2),H823,ROUND(F824*P824,-2))</f>
        <v>-100</v>
      </c>
      <c r="I824">
        <f t="shared" si="149"/>
        <v>0</v>
      </c>
      <c r="J824">
        <f t="shared" si="150"/>
        <v>0</v>
      </c>
      <c r="K824">
        <f t="shared" si="151"/>
        <v>441.57455659786905</v>
      </c>
      <c r="L824">
        <f t="shared" si="152"/>
        <v>209.97455659786905</v>
      </c>
      <c r="M824">
        <f t="shared" si="153"/>
        <v>0</v>
      </c>
      <c r="N824">
        <f t="shared" si="155"/>
        <v>209.97455659786905</v>
      </c>
      <c r="O824" s="5">
        <f t="shared" si="146"/>
        <v>6.1923846516371769E-4</v>
      </c>
      <c r="P824">
        <f t="shared" si="154"/>
        <v>10000</v>
      </c>
      <c r="Q824">
        <f t="shared" si="147"/>
        <v>6.1923846516371768</v>
      </c>
    </row>
    <row r="825" spans="1:17" x14ac:dyDescent="0.15">
      <c r="A825" s="10">
        <v>45897.40625</v>
      </c>
      <c r="B825">
        <f>COUNT(A825:$A$1158)/(48*252)</f>
        <v>2.7612433862433863E-2</v>
      </c>
      <c r="C825">
        <v>2.3170000000000002</v>
      </c>
      <c r="D825">
        <v>0.114</v>
      </c>
      <c r="E825">
        <f t="shared" si="144"/>
        <v>2.4093466807911188</v>
      </c>
      <c r="F825">
        <f t="shared" si="145"/>
        <v>-7.9905546141434414E-3</v>
      </c>
      <c r="G825">
        <f t="shared" si="148"/>
        <v>1.000000000000334E-3</v>
      </c>
      <c r="H825">
        <f>IF(MOD(COUNTA($C$7:C825)-1,$J$2),H824,ROUND(F825*P825,-2))</f>
        <v>-100</v>
      </c>
      <c r="I825">
        <f t="shared" si="149"/>
        <v>0</v>
      </c>
      <c r="J825">
        <f t="shared" si="150"/>
        <v>0</v>
      </c>
      <c r="K825">
        <f t="shared" si="151"/>
        <v>441.57455659786905</v>
      </c>
      <c r="L825">
        <f t="shared" si="152"/>
        <v>209.87455659786903</v>
      </c>
      <c r="M825">
        <f t="shared" si="153"/>
        <v>-0.10000000000002274</v>
      </c>
      <c r="N825">
        <f t="shared" si="155"/>
        <v>209.87455659786903</v>
      </c>
      <c r="O825" s="5">
        <f t="shared" si="146"/>
        <v>6.0387971182539191E-4</v>
      </c>
      <c r="P825">
        <f t="shared" si="154"/>
        <v>10000</v>
      </c>
      <c r="Q825">
        <f t="shared" si="147"/>
        <v>6.0387971182539193</v>
      </c>
    </row>
    <row r="826" spans="1:17" x14ac:dyDescent="0.15">
      <c r="A826" s="10">
        <v>45897.409722222015</v>
      </c>
      <c r="B826">
        <f>COUNT(A826:$A$1158)/(48*252)</f>
        <v>2.7529761904761904E-2</v>
      </c>
      <c r="C826">
        <v>2.3149999999999999</v>
      </c>
      <c r="D826">
        <v>0.114</v>
      </c>
      <c r="E826">
        <f t="shared" si="144"/>
        <v>2.4037518470700667</v>
      </c>
      <c r="F826">
        <f t="shared" si="145"/>
        <v>-8.1138924147359237E-3</v>
      </c>
      <c r="G826">
        <f t="shared" si="148"/>
        <v>-2.0000000000002238E-3</v>
      </c>
      <c r="H826">
        <f>IF(MOD(COUNTA($C$7:C826)-1,$J$2),H825,ROUND(F826*P826,-2))</f>
        <v>-100</v>
      </c>
      <c r="I826">
        <f t="shared" si="149"/>
        <v>0</v>
      </c>
      <c r="J826">
        <f t="shared" si="150"/>
        <v>0</v>
      </c>
      <c r="K826">
        <f t="shared" si="151"/>
        <v>441.57455659786905</v>
      </c>
      <c r="L826">
        <f t="shared" si="152"/>
        <v>210.07455659786905</v>
      </c>
      <c r="M826">
        <f t="shared" si="153"/>
        <v>0.20000000000001705</v>
      </c>
      <c r="N826">
        <f t="shared" si="155"/>
        <v>210.07455659786905</v>
      </c>
      <c r="O826" s="5">
        <f t="shared" si="146"/>
        <v>6.1271425916547759E-4</v>
      </c>
      <c r="P826">
        <f t="shared" si="154"/>
        <v>10000</v>
      </c>
      <c r="Q826">
        <f t="shared" si="147"/>
        <v>6.1271425916547759</v>
      </c>
    </row>
    <row r="827" spans="1:17" x14ac:dyDescent="0.15">
      <c r="A827" s="10">
        <v>45897.413194444962</v>
      </c>
      <c r="B827">
        <f>COUNT(A827:$A$1158)/(48*252)</f>
        <v>2.7447089947089946E-2</v>
      </c>
      <c r="C827">
        <v>2.3140000000000001</v>
      </c>
      <c r="D827">
        <v>0.113</v>
      </c>
      <c r="E827">
        <f t="shared" si="144"/>
        <v>2.4026696670457373</v>
      </c>
      <c r="F827">
        <f t="shared" si="145"/>
        <v>-8.1379411775995836E-3</v>
      </c>
      <c r="G827">
        <f t="shared" si="148"/>
        <v>-9.9999999999988987E-4</v>
      </c>
      <c r="H827">
        <f>IF(MOD(COUNTA($C$7:C827)-1,$J$2),H826,ROUND(F827*P827,-2))</f>
        <v>-100</v>
      </c>
      <c r="I827">
        <f t="shared" si="149"/>
        <v>0</v>
      </c>
      <c r="J827">
        <f t="shared" si="150"/>
        <v>0</v>
      </c>
      <c r="K827">
        <f t="shared" si="151"/>
        <v>441.57455659786905</v>
      </c>
      <c r="L827">
        <f t="shared" si="152"/>
        <v>210.17455659786904</v>
      </c>
      <c r="M827">
        <f t="shared" si="153"/>
        <v>9.9999999999994316E-2</v>
      </c>
      <c r="N827">
        <f t="shared" si="155"/>
        <v>210.17455659786904</v>
      </c>
      <c r="O827" s="5">
        <f t="shared" si="146"/>
        <v>6.1350575925884013E-4</v>
      </c>
      <c r="P827">
        <f t="shared" si="154"/>
        <v>10000</v>
      </c>
      <c r="Q827">
        <f t="shared" si="147"/>
        <v>6.1350575925884012</v>
      </c>
    </row>
    <row r="828" spans="1:17" x14ac:dyDescent="0.15">
      <c r="A828" s="10">
        <v>45897.416666666977</v>
      </c>
      <c r="B828">
        <f>COUNT(A828:$A$1158)/(48*252)</f>
        <v>2.7364417989417991E-2</v>
      </c>
      <c r="C828">
        <v>2.3109999999999999</v>
      </c>
      <c r="D828">
        <v>0.113</v>
      </c>
      <c r="E828">
        <f t="shared" si="144"/>
        <v>2.3925043918770026</v>
      </c>
      <c r="F828">
        <f t="shared" si="145"/>
        <v>-8.3669139102535706E-3</v>
      </c>
      <c r="G828">
        <f t="shared" si="148"/>
        <v>-3.0000000000001137E-3</v>
      </c>
      <c r="H828">
        <f>IF(MOD(COUNTA($C$7:C828)-1,$J$2),H827,ROUND(F828*P828,-2))</f>
        <v>-100</v>
      </c>
      <c r="I828">
        <f t="shared" si="149"/>
        <v>0</v>
      </c>
      <c r="J828">
        <f t="shared" si="150"/>
        <v>0</v>
      </c>
      <c r="K828">
        <f t="shared" si="151"/>
        <v>441.57455659786905</v>
      </c>
      <c r="L828">
        <f t="shared" si="152"/>
        <v>210.47455659786905</v>
      </c>
      <c r="M828">
        <f t="shared" si="153"/>
        <v>0.30000000000001137</v>
      </c>
      <c r="N828">
        <f t="shared" si="155"/>
        <v>210.47455659786905</v>
      </c>
      <c r="O828" s="5">
        <f t="shared" si="146"/>
        <v>6.308224737238792E-4</v>
      </c>
      <c r="P828">
        <f t="shared" si="154"/>
        <v>10000</v>
      </c>
      <c r="Q828">
        <f t="shared" si="147"/>
        <v>6.3082247372387918</v>
      </c>
    </row>
    <row r="829" spans="1:17" x14ac:dyDescent="0.15">
      <c r="A829" s="10">
        <v>45897.420138888992</v>
      </c>
      <c r="B829">
        <f>COUNT(A829:$A$1158)/(48*252)</f>
        <v>2.7281746031746032E-2</v>
      </c>
      <c r="C829">
        <v>2.3039999999999998</v>
      </c>
      <c r="D829">
        <v>0.109</v>
      </c>
      <c r="E829">
        <f t="shared" si="144"/>
        <v>2.3640546031690093</v>
      </c>
      <c r="F829">
        <f t="shared" si="145"/>
        <v>-9.0380740805457993E-3</v>
      </c>
      <c r="G829">
        <f t="shared" si="148"/>
        <v>-7.0000000000001172E-3</v>
      </c>
      <c r="H829">
        <f>IF(MOD(COUNTA($C$7:C829)-1,$J$2),H828,ROUND(F829*P829,-2))</f>
        <v>-100</v>
      </c>
      <c r="I829">
        <f t="shared" si="149"/>
        <v>0</v>
      </c>
      <c r="J829">
        <f t="shared" si="150"/>
        <v>0</v>
      </c>
      <c r="K829">
        <f t="shared" si="151"/>
        <v>441.57455659786905</v>
      </c>
      <c r="L829">
        <f t="shared" si="152"/>
        <v>211.17455659786907</v>
      </c>
      <c r="M829">
        <f t="shared" si="153"/>
        <v>0.70000000000001705</v>
      </c>
      <c r="N829">
        <f t="shared" si="155"/>
        <v>211.17455659786907</v>
      </c>
      <c r="O829" s="5">
        <f t="shared" si="146"/>
        <v>6.8392563913061144E-4</v>
      </c>
      <c r="P829">
        <f t="shared" si="154"/>
        <v>10000</v>
      </c>
      <c r="Q829">
        <f t="shared" si="147"/>
        <v>6.8392563913061144</v>
      </c>
    </row>
    <row r="830" spans="1:17" x14ac:dyDescent="0.15">
      <c r="A830" s="10">
        <v>45897.423611111008</v>
      </c>
      <c r="B830">
        <f>COUNT(A830:$A$1158)/(48*252)</f>
        <v>2.7199074074074073E-2</v>
      </c>
      <c r="C830">
        <v>2.3029999999999999</v>
      </c>
      <c r="D830">
        <v>0.109</v>
      </c>
      <c r="E830">
        <f t="shared" si="144"/>
        <v>2.3629019907472495</v>
      </c>
      <c r="F830">
        <f t="shared" si="145"/>
        <v>-9.0662321284320502E-3</v>
      </c>
      <c r="G830">
        <f t="shared" si="148"/>
        <v>-9.9999999999988987E-4</v>
      </c>
      <c r="H830">
        <f>IF(MOD(COUNTA($C$7:C830)-1,$J$2),H829,ROUND(F830*P830,-2))</f>
        <v>-100</v>
      </c>
      <c r="I830">
        <f t="shared" si="149"/>
        <v>0</v>
      </c>
      <c r="J830">
        <f t="shared" si="150"/>
        <v>0</v>
      </c>
      <c r="K830">
        <f t="shared" si="151"/>
        <v>441.57455659786905</v>
      </c>
      <c r="L830">
        <f t="shared" si="152"/>
        <v>211.27455659786906</v>
      </c>
      <c r="M830">
        <f t="shared" si="153"/>
        <v>9.9999999999994316E-2</v>
      </c>
      <c r="N830">
        <f t="shared" si="155"/>
        <v>211.27455659786906</v>
      </c>
      <c r="O830" s="5">
        <f t="shared" si="146"/>
        <v>6.8491723241552796E-4</v>
      </c>
      <c r="P830">
        <f t="shared" si="154"/>
        <v>10000</v>
      </c>
      <c r="Q830">
        <f t="shared" si="147"/>
        <v>6.8491723241552798</v>
      </c>
    </row>
    <row r="831" spans="1:17" x14ac:dyDescent="0.15">
      <c r="A831" s="10">
        <v>45897.427083333023</v>
      </c>
      <c r="B831">
        <f>COUNT(A831:$A$1158)/(48*252)</f>
        <v>2.7116402116402115E-2</v>
      </c>
      <c r="C831">
        <v>2.306</v>
      </c>
      <c r="D831">
        <v>0.111</v>
      </c>
      <c r="E831">
        <f t="shared" si="144"/>
        <v>2.3800622614855023</v>
      </c>
      <c r="F831">
        <f t="shared" si="145"/>
        <v>-8.6548565502323482E-3</v>
      </c>
      <c r="G831">
        <f t="shared" si="148"/>
        <v>3.0000000000001137E-3</v>
      </c>
      <c r="H831">
        <f>IF(MOD(COUNTA($C$7:C831)-1,$J$2),H830,ROUND(F831*P831,-2))</f>
        <v>-100</v>
      </c>
      <c r="I831">
        <f t="shared" si="149"/>
        <v>0</v>
      </c>
      <c r="J831">
        <f t="shared" si="150"/>
        <v>0</v>
      </c>
      <c r="K831">
        <f t="shared" si="151"/>
        <v>441.57455659786905</v>
      </c>
      <c r="L831">
        <f t="shared" si="152"/>
        <v>210.97455659786905</v>
      </c>
      <c r="M831">
        <f t="shared" si="153"/>
        <v>-0.30000000000001137</v>
      </c>
      <c r="N831">
        <f t="shared" si="155"/>
        <v>210.97455659786905</v>
      </c>
      <c r="O831" s="5">
        <f t="shared" si="146"/>
        <v>6.5041416567971494E-4</v>
      </c>
      <c r="P831">
        <f t="shared" si="154"/>
        <v>10000</v>
      </c>
      <c r="Q831">
        <f t="shared" si="147"/>
        <v>6.5041416567971497</v>
      </c>
    </row>
    <row r="832" spans="1:17" x14ac:dyDescent="0.15">
      <c r="A832" s="10">
        <v>45897.430555555969</v>
      </c>
      <c r="B832">
        <f>COUNT(A832:$A$1158)/(48*252)</f>
        <v>2.703373015873016E-2</v>
      </c>
      <c r="C832">
        <v>2.302</v>
      </c>
      <c r="D832">
        <v>0.11</v>
      </c>
      <c r="E832">
        <f t="shared" si="144"/>
        <v>2.3651868892907562</v>
      </c>
      <c r="F832">
        <f t="shared" si="145"/>
        <v>-9.0104872070980724E-3</v>
      </c>
      <c r="G832">
        <f t="shared" si="148"/>
        <v>-4.0000000000000036E-3</v>
      </c>
      <c r="H832">
        <f>IF(MOD(COUNTA($C$7:C832)-1,$J$2),H831,ROUND(F832*P832,-2))</f>
        <v>-100</v>
      </c>
      <c r="I832">
        <f t="shared" si="149"/>
        <v>0</v>
      </c>
      <c r="J832">
        <f t="shared" si="150"/>
        <v>0</v>
      </c>
      <c r="K832">
        <f t="shared" si="151"/>
        <v>441.57455659786905</v>
      </c>
      <c r="L832">
        <f t="shared" si="152"/>
        <v>211.37455659786903</v>
      </c>
      <c r="M832">
        <f t="shared" si="153"/>
        <v>0.39999999999997726</v>
      </c>
      <c r="N832">
        <f t="shared" si="155"/>
        <v>211.37455659786903</v>
      </c>
      <c r="O832" s="5">
        <f t="shared" si="146"/>
        <v>6.7782594043728009E-4</v>
      </c>
      <c r="P832">
        <f t="shared" si="154"/>
        <v>10000</v>
      </c>
      <c r="Q832">
        <f t="shared" si="147"/>
        <v>6.7782594043728013</v>
      </c>
    </row>
    <row r="833" spans="1:17" x14ac:dyDescent="0.15">
      <c r="A833" s="10">
        <v>45897.434027777985</v>
      </c>
      <c r="B833">
        <f>COUNT(A833:$A$1158)/(48*252)</f>
        <v>2.6951058201058201E-2</v>
      </c>
      <c r="C833">
        <v>2.302</v>
      </c>
      <c r="D833">
        <v>0.108</v>
      </c>
      <c r="E833">
        <f t="shared" si="144"/>
        <v>2.3686404987348473</v>
      </c>
      <c r="F833">
        <f t="shared" si="145"/>
        <v>-8.9267989462151753E-3</v>
      </c>
      <c r="G833">
        <f t="shared" si="148"/>
        <v>0</v>
      </c>
      <c r="H833">
        <f>IF(MOD(COUNTA($C$7:C833)-1,$J$2),H832,ROUND(F833*P833,-2))</f>
        <v>-100</v>
      </c>
      <c r="I833">
        <f t="shared" si="149"/>
        <v>0</v>
      </c>
      <c r="J833">
        <f t="shared" si="150"/>
        <v>0</v>
      </c>
      <c r="K833">
        <f t="shared" si="151"/>
        <v>441.57455659786905</v>
      </c>
      <c r="L833">
        <f t="shared" si="152"/>
        <v>211.37455659786903</v>
      </c>
      <c r="M833">
        <f t="shared" si="153"/>
        <v>0</v>
      </c>
      <c r="N833">
        <f t="shared" si="155"/>
        <v>211.37455659786903</v>
      </c>
      <c r="O833" s="5">
        <f t="shared" si="146"/>
        <v>6.6979885405848635E-4</v>
      </c>
      <c r="P833">
        <f t="shared" si="154"/>
        <v>10000</v>
      </c>
      <c r="Q833">
        <f t="shared" si="147"/>
        <v>6.6979885405848636</v>
      </c>
    </row>
    <row r="834" spans="1:17" x14ac:dyDescent="0.15">
      <c r="A834" s="10">
        <v>45897.4375</v>
      </c>
      <c r="B834">
        <f>COUNT(A834:$A$1158)/(48*252)</f>
        <v>2.6868386243386243E-2</v>
      </c>
      <c r="C834">
        <v>2.3010000000000002</v>
      </c>
      <c r="D834">
        <v>0.107</v>
      </c>
      <c r="E834">
        <f t="shared" si="144"/>
        <v>2.3675059934916201</v>
      </c>
      <c r="F834">
        <f t="shared" si="145"/>
        <v>-8.9542149847534613E-3</v>
      </c>
      <c r="G834">
        <f t="shared" si="148"/>
        <v>-9.9999999999988987E-4</v>
      </c>
      <c r="H834">
        <f>IF(MOD(COUNTA($C$7:C834)-1,$J$2),H833,ROUND(F834*P834,-2))</f>
        <v>-100</v>
      </c>
      <c r="I834">
        <f t="shared" si="149"/>
        <v>0</v>
      </c>
      <c r="J834">
        <f t="shared" si="150"/>
        <v>0</v>
      </c>
      <c r="K834">
        <f t="shared" si="151"/>
        <v>441.57455659786905</v>
      </c>
      <c r="L834">
        <f t="shared" si="152"/>
        <v>211.47455659786903</v>
      </c>
      <c r="M834">
        <f t="shared" si="153"/>
        <v>9.9999999999994316E-2</v>
      </c>
      <c r="N834">
        <f t="shared" si="155"/>
        <v>211.47455659786903</v>
      </c>
      <c r="O834" s="5">
        <f t="shared" si="146"/>
        <v>6.7072365600196263E-4</v>
      </c>
      <c r="P834">
        <f t="shared" si="154"/>
        <v>10000</v>
      </c>
      <c r="Q834">
        <f t="shared" si="147"/>
        <v>6.7072365600196262</v>
      </c>
    </row>
    <row r="835" spans="1:17" x14ac:dyDescent="0.15">
      <c r="A835" s="10">
        <v>45897.440972222015</v>
      </c>
      <c r="B835">
        <f>COUNT(A835:$A$1158)/(48*252)</f>
        <v>2.6785714285714284E-2</v>
      </c>
      <c r="C835">
        <v>2.306</v>
      </c>
      <c r="D835">
        <v>0.109</v>
      </c>
      <c r="E835">
        <f t="shared" si="144"/>
        <v>2.3940220256876059</v>
      </c>
      <c r="F835">
        <f t="shared" si="145"/>
        <v>-8.3323740086270748E-3</v>
      </c>
      <c r="G835">
        <f t="shared" si="148"/>
        <v>4.9999999999998934E-3</v>
      </c>
      <c r="H835">
        <f>IF(MOD(COUNTA($C$7:C835)-1,$J$2),H834,ROUND(F835*P835,-2))</f>
        <v>-100</v>
      </c>
      <c r="I835">
        <f t="shared" si="149"/>
        <v>0</v>
      </c>
      <c r="J835">
        <f t="shared" si="150"/>
        <v>0</v>
      </c>
      <c r="K835">
        <f t="shared" si="151"/>
        <v>441.57455659786905</v>
      </c>
      <c r="L835">
        <f t="shared" si="152"/>
        <v>210.97455659786905</v>
      </c>
      <c r="M835">
        <f t="shared" si="153"/>
        <v>-0.49999999999997158</v>
      </c>
      <c r="N835">
        <f t="shared" si="155"/>
        <v>210.97455659786905</v>
      </c>
      <c r="O835" s="5">
        <f t="shared" si="146"/>
        <v>6.197253943150266E-4</v>
      </c>
      <c r="P835">
        <f t="shared" si="154"/>
        <v>10000</v>
      </c>
      <c r="Q835">
        <f t="shared" si="147"/>
        <v>6.1972539431502662</v>
      </c>
    </row>
    <row r="836" spans="1:17" x14ac:dyDescent="0.15">
      <c r="A836" s="10">
        <v>45897.444444444962</v>
      </c>
      <c r="B836">
        <f>COUNT(A836:$A$1158)/(48*252)</f>
        <v>2.6703042328042329E-2</v>
      </c>
      <c r="C836">
        <v>2.3069999999999999</v>
      </c>
      <c r="D836">
        <v>0.109</v>
      </c>
      <c r="E836">
        <f t="shared" si="144"/>
        <v>2.4021616110067603</v>
      </c>
      <c r="F836">
        <f t="shared" si="145"/>
        <v>-8.1492530499113203E-3</v>
      </c>
      <c r="G836">
        <f t="shared" si="148"/>
        <v>9.9999999999988987E-4</v>
      </c>
      <c r="H836">
        <f>IF(MOD(COUNTA($C$7:C836)-1,$J$2),H835,ROUND(F836*P836,-2))</f>
        <v>-100</v>
      </c>
      <c r="I836">
        <f t="shared" si="149"/>
        <v>0</v>
      </c>
      <c r="J836">
        <f t="shared" si="150"/>
        <v>0</v>
      </c>
      <c r="K836">
        <f t="shared" si="151"/>
        <v>441.57455659786905</v>
      </c>
      <c r="L836">
        <f t="shared" si="152"/>
        <v>210.87455659786906</v>
      </c>
      <c r="M836">
        <f t="shared" si="153"/>
        <v>-9.9999999999994316E-2</v>
      </c>
      <c r="N836">
        <f t="shared" si="155"/>
        <v>210.87455659786906</v>
      </c>
      <c r="O836" s="5">
        <f t="shared" si="146"/>
        <v>6.0398244516474825E-4</v>
      </c>
      <c r="P836">
        <f t="shared" si="154"/>
        <v>10000</v>
      </c>
      <c r="Q836">
        <f t="shared" si="147"/>
        <v>6.0398244516474824</v>
      </c>
    </row>
    <row r="837" spans="1:17" x14ac:dyDescent="0.15">
      <c r="A837" s="10">
        <v>45897.447916666977</v>
      </c>
      <c r="B837">
        <f>COUNT(A837:$A$1158)/(48*252)</f>
        <v>2.6620370370370371E-2</v>
      </c>
      <c r="C837">
        <v>2.3079999999999998</v>
      </c>
      <c r="D837">
        <v>0.109</v>
      </c>
      <c r="E837">
        <f t="shared" si="144"/>
        <v>2.4103302002833402</v>
      </c>
      <c r="F837">
        <f t="shared" si="145"/>
        <v>-7.9690441727666705E-3</v>
      </c>
      <c r="G837">
        <f t="shared" si="148"/>
        <v>9.9999999999988987E-4</v>
      </c>
      <c r="H837">
        <f>IF(MOD(COUNTA($C$7:C837)-1,$J$2),H836,ROUND(F837*P837,-2))</f>
        <v>-100</v>
      </c>
      <c r="I837">
        <f t="shared" si="149"/>
        <v>0</v>
      </c>
      <c r="J837">
        <f t="shared" si="150"/>
        <v>0</v>
      </c>
      <c r="K837">
        <f t="shared" si="151"/>
        <v>441.57455659786905</v>
      </c>
      <c r="L837">
        <f t="shared" si="152"/>
        <v>210.77455659786906</v>
      </c>
      <c r="M837">
        <f t="shared" si="153"/>
        <v>-9.9999999999994316E-2</v>
      </c>
      <c r="N837">
        <f t="shared" si="155"/>
        <v>210.77455659786906</v>
      </c>
      <c r="O837" s="5">
        <f t="shared" si="146"/>
        <v>5.8855187964768074E-4</v>
      </c>
      <c r="P837">
        <f t="shared" si="154"/>
        <v>10000</v>
      </c>
      <c r="Q837">
        <f t="shared" si="147"/>
        <v>5.8855187964768074</v>
      </c>
    </row>
    <row r="838" spans="1:17" x14ac:dyDescent="0.15">
      <c r="A838" s="10">
        <v>45897.451388888992</v>
      </c>
      <c r="B838">
        <f>COUNT(A838:$A$1158)/(48*252)</f>
        <v>2.6537698412698412E-2</v>
      </c>
      <c r="C838">
        <v>2.3079999999999998</v>
      </c>
      <c r="D838">
        <v>0.11</v>
      </c>
      <c r="E838">
        <f t="shared" si="144"/>
        <v>2.4139091608880285</v>
      </c>
      <c r="F838">
        <f t="shared" si="145"/>
        <v>-7.8911982857302609E-3</v>
      </c>
      <c r="G838">
        <f t="shared" si="148"/>
        <v>0</v>
      </c>
      <c r="H838">
        <f>IF(MOD(COUNTA($C$7:C838)-1,$J$2),H837,ROUND(F838*P838,-2))</f>
        <v>-100</v>
      </c>
      <c r="I838">
        <f t="shared" si="149"/>
        <v>0</v>
      </c>
      <c r="J838">
        <f t="shared" si="150"/>
        <v>0</v>
      </c>
      <c r="K838">
        <f t="shared" si="151"/>
        <v>441.57455659786905</v>
      </c>
      <c r="L838">
        <f t="shared" si="152"/>
        <v>210.77455659786906</v>
      </c>
      <c r="M838">
        <f t="shared" si="153"/>
        <v>0</v>
      </c>
      <c r="N838">
        <f t="shared" si="155"/>
        <v>210.77455659786906</v>
      </c>
      <c r="O838" s="5">
        <f t="shared" si="146"/>
        <v>5.8127084247786703E-4</v>
      </c>
      <c r="P838">
        <f t="shared" si="154"/>
        <v>10000</v>
      </c>
      <c r="Q838">
        <f t="shared" si="147"/>
        <v>5.8127084247786707</v>
      </c>
    </row>
    <row r="839" spans="1:17" x14ac:dyDescent="0.15">
      <c r="A839" s="10">
        <v>45897.454861111008</v>
      </c>
      <c r="B839">
        <f>COUNT(A839:$A$1158)/(48*252)</f>
        <v>2.6455026455026454E-2</v>
      </c>
      <c r="C839">
        <v>2.306</v>
      </c>
      <c r="D839">
        <v>0.109</v>
      </c>
      <c r="E839">
        <f t="shared" si="144"/>
        <v>2.4082470041858759</v>
      </c>
      <c r="F839">
        <f t="shared" si="145"/>
        <v>-8.0146659480109239E-3</v>
      </c>
      <c r="G839">
        <f t="shared" si="148"/>
        <v>-1.9999999999997797E-3</v>
      </c>
      <c r="H839">
        <f>IF(MOD(COUNTA($C$7:C839)-1,$J$2),H838,ROUND(F839*P839,-2))</f>
        <v>-100</v>
      </c>
      <c r="I839">
        <f t="shared" si="149"/>
        <v>0</v>
      </c>
      <c r="J839">
        <f t="shared" si="150"/>
        <v>0</v>
      </c>
      <c r="K839">
        <f t="shared" si="151"/>
        <v>441.57455659786905</v>
      </c>
      <c r="L839">
        <f t="shared" si="152"/>
        <v>210.97455659786905</v>
      </c>
      <c r="M839">
        <f t="shared" si="153"/>
        <v>0.19999999999998863</v>
      </c>
      <c r="N839">
        <f t="shared" si="155"/>
        <v>210.97455659786905</v>
      </c>
      <c r="O839" s="5">
        <f t="shared" si="146"/>
        <v>5.8986874691128316E-4</v>
      </c>
      <c r="P839">
        <f t="shared" si="154"/>
        <v>10000</v>
      </c>
      <c r="Q839">
        <f t="shared" si="147"/>
        <v>5.8986874691128319</v>
      </c>
    </row>
    <row r="840" spans="1:17" x14ac:dyDescent="0.15">
      <c r="A840" s="10">
        <v>45897.458333333023</v>
      </c>
      <c r="B840">
        <f>COUNT(A840:$A$1158)/(48*252)</f>
        <v>2.6372354497354498E-2</v>
      </c>
      <c r="C840">
        <v>2.3039999999999998</v>
      </c>
      <c r="D840">
        <v>0.108</v>
      </c>
      <c r="E840">
        <f t="shared" ref="E840:E903" si="156">(LN(C840/$B$2)+($B$1+0.5*$D$1*$D$1)*B840)/($D$1*SQRT(B840))</f>
        <v>2.4025649685616051</v>
      </c>
      <c r="F840">
        <f t="shared" ref="F840:F903" si="157">NORMSDIST(E840)-1</f>
        <v>-8.1402711609472878E-3</v>
      </c>
      <c r="G840">
        <f t="shared" si="148"/>
        <v>-2.0000000000002238E-3</v>
      </c>
      <c r="H840">
        <f>IF(MOD(COUNTA($C$7:C840)-1,$J$2),H839,ROUND(F840*P840,-2))</f>
        <v>-100</v>
      </c>
      <c r="I840">
        <f t="shared" si="149"/>
        <v>0</v>
      </c>
      <c r="J840">
        <f t="shared" si="150"/>
        <v>0</v>
      </c>
      <c r="K840">
        <f t="shared" si="151"/>
        <v>441.57455659786905</v>
      </c>
      <c r="L840">
        <f t="shared" si="152"/>
        <v>211.17455659786907</v>
      </c>
      <c r="M840">
        <f t="shared" si="153"/>
        <v>0.20000000000001705</v>
      </c>
      <c r="N840">
        <f t="shared" si="155"/>
        <v>211.17455659786907</v>
      </c>
      <c r="O840" s="5">
        <f t="shared" ref="O840:O903" si="158">put_bs($B$1,$J$1,C840,$B$2,B840)</f>
        <v>5.9861007557518789E-4</v>
      </c>
      <c r="P840">
        <f t="shared" si="154"/>
        <v>10000</v>
      </c>
      <c r="Q840">
        <f t="shared" ref="Q840:Q903" si="159">P840*O840</f>
        <v>5.9861007557518793</v>
      </c>
    </row>
    <row r="841" spans="1:17" x14ac:dyDescent="0.15">
      <c r="A841" s="10">
        <v>45897.461805555969</v>
      </c>
      <c r="B841">
        <f>COUNT(A841:$A$1158)/(48*252)</f>
        <v>2.628968253968254E-2</v>
      </c>
      <c r="C841">
        <v>2.3029999999999999</v>
      </c>
      <c r="D841">
        <v>0.107</v>
      </c>
      <c r="E841">
        <f t="shared" si="156"/>
        <v>2.4015156165954097</v>
      </c>
      <c r="F841">
        <f t="shared" si="157"/>
        <v>-8.1636560718141293E-3</v>
      </c>
      <c r="G841">
        <f t="shared" ref="G841:G904" si="160">C841-C840</f>
        <v>-9.9999999999988987E-4</v>
      </c>
      <c r="H841">
        <f>IF(MOD(COUNTA($C$7:C841)-1,$J$2),H840,ROUND(F841*P841,-2))</f>
        <v>-100</v>
      </c>
      <c r="I841">
        <f t="shared" ref="I841:I904" si="161">H841-H840</f>
        <v>0</v>
      </c>
      <c r="J841">
        <f t="shared" ref="J841:J904" si="162">J840</f>
        <v>0</v>
      </c>
      <c r="K841">
        <f t="shared" ref="K841:K904" si="163">K840-I841*C841-ABS(I841*C841*$F$2)</f>
        <v>441.57455659786905</v>
      </c>
      <c r="L841">
        <f t="shared" ref="L841:L904" si="164">K841+H841*C841</f>
        <v>211.27455659786906</v>
      </c>
      <c r="M841">
        <f t="shared" ref="M841:M904" si="165">L841-L840</f>
        <v>9.9999999999994316E-2</v>
      </c>
      <c r="N841">
        <f t="shared" si="155"/>
        <v>211.27455659786906</v>
      </c>
      <c r="O841" s="5">
        <f t="shared" si="158"/>
        <v>5.9928171337233702E-4</v>
      </c>
      <c r="P841">
        <f t="shared" ref="P841:P904" si="166">P840</f>
        <v>10000</v>
      </c>
      <c r="Q841">
        <f t="shared" si="159"/>
        <v>5.9928171337233698</v>
      </c>
    </row>
    <row r="842" spans="1:17" x14ac:dyDescent="0.15">
      <c r="A842" s="10">
        <v>45897.465277777985</v>
      </c>
      <c r="B842">
        <f>COUNT(A842:$A$1158)/(48*252)</f>
        <v>2.6207010582010581E-2</v>
      </c>
      <c r="C842">
        <v>2.302</v>
      </c>
      <c r="D842">
        <v>0.108</v>
      </c>
      <c r="E842">
        <f t="shared" si="156"/>
        <v>2.4004668829914917</v>
      </c>
      <c r="F842">
        <f t="shared" si="157"/>
        <v>-8.1870861553555718E-3</v>
      </c>
      <c r="G842">
        <f t="shared" si="160"/>
        <v>-9.9999999999988987E-4</v>
      </c>
      <c r="H842">
        <f>IF(MOD(COUNTA($C$7:C842)-1,$J$2),H841,ROUND(F842*P842,-2))</f>
        <v>-100</v>
      </c>
      <c r="I842">
        <f t="shared" si="161"/>
        <v>0</v>
      </c>
      <c r="J842">
        <f t="shared" si="162"/>
        <v>0</v>
      </c>
      <c r="K842">
        <f t="shared" si="163"/>
        <v>441.57455659786905</v>
      </c>
      <c r="L842">
        <f t="shared" si="164"/>
        <v>211.37455659786903</v>
      </c>
      <c r="M842">
        <f t="shared" si="165"/>
        <v>9.9999999999965894E-2</v>
      </c>
      <c r="N842">
        <f t="shared" ref="N842:N905" si="167">L842-$F$1</f>
        <v>211.37455659786903</v>
      </c>
      <c r="O842" s="5">
        <f t="shared" si="158"/>
        <v>5.999492890232834E-4</v>
      </c>
      <c r="P842">
        <f t="shared" si="166"/>
        <v>10000</v>
      </c>
      <c r="Q842">
        <f t="shared" si="159"/>
        <v>5.9994928902328342</v>
      </c>
    </row>
    <row r="843" spans="1:17" x14ac:dyDescent="0.15">
      <c r="A843" s="10">
        <v>45897.46875</v>
      </c>
      <c r="B843">
        <f>COUNT(A843:$A$1158)/(48*252)</f>
        <v>2.6124338624338623E-2</v>
      </c>
      <c r="C843">
        <v>2.3029999999999999</v>
      </c>
      <c r="D843">
        <v>0.108</v>
      </c>
      <c r="E843">
        <f t="shared" si="156"/>
        <v>2.408755586686798</v>
      </c>
      <c r="F843">
        <f t="shared" si="157"/>
        <v>-8.003506910379321E-3</v>
      </c>
      <c r="G843">
        <f t="shared" si="160"/>
        <v>9.9999999999988987E-4</v>
      </c>
      <c r="H843">
        <f>IF(MOD(COUNTA($C$7:C843)-1,$J$2),H842,ROUND(F843*P843,-2))</f>
        <v>-100</v>
      </c>
      <c r="I843">
        <f t="shared" si="161"/>
        <v>0</v>
      </c>
      <c r="J843">
        <f t="shared" si="162"/>
        <v>0</v>
      </c>
      <c r="K843">
        <f t="shared" si="163"/>
        <v>441.57455659786905</v>
      </c>
      <c r="L843">
        <f t="shared" si="164"/>
        <v>211.27455659786906</v>
      </c>
      <c r="M843">
        <f t="shared" si="165"/>
        <v>-9.9999999999965894E-2</v>
      </c>
      <c r="N843">
        <f t="shared" si="167"/>
        <v>211.27455659786906</v>
      </c>
      <c r="O843" s="5">
        <f t="shared" si="158"/>
        <v>5.8439946685792318E-4</v>
      </c>
      <c r="P843">
        <f t="shared" si="166"/>
        <v>10000</v>
      </c>
      <c r="Q843">
        <f t="shared" si="159"/>
        <v>5.8439946685792314</v>
      </c>
    </row>
    <row r="844" spans="1:17" x14ac:dyDescent="0.15">
      <c r="A844" s="10">
        <v>45897.472222222015</v>
      </c>
      <c r="B844">
        <f>COUNT(A844:$A$1158)/(48*252)</f>
        <v>2.6041666666666668E-2</v>
      </c>
      <c r="C844">
        <v>2.306</v>
      </c>
      <c r="D844">
        <v>0.108</v>
      </c>
      <c r="E844">
        <f t="shared" si="156"/>
        <v>2.4264140074934963</v>
      </c>
      <c r="F844">
        <f t="shared" si="157"/>
        <v>-7.6244318126809096E-3</v>
      </c>
      <c r="G844">
        <f t="shared" si="160"/>
        <v>3.0000000000001137E-3</v>
      </c>
      <c r="H844">
        <f>IF(MOD(COUNTA($C$7:C844)-1,$J$2),H843,ROUND(F844*P844,-2))</f>
        <v>-100</v>
      </c>
      <c r="I844">
        <f t="shared" si="161"/>
        <v>0</v>
      </c>
      <c r="J844">
        <f t="shared" si="162"/>
        <v>0</v>
      </c>
      <c r="K844">
        <f t="shared" si="163"/>
        <v>441.57455659786905</v>
      </c>
      <c r="L844">
        <f t="shared" si="164"/>
        <v>210.97455659786905</v>
      </c>
      <c r="M844">
        <f t="shared" si="165"/>
        <v>-0.30000000000001137</v>
      </c>
      <c r="N844">
        <f t="shared" si="167"/>
        <v>210.97455659786905</v>
      </c>
      <c r="O844" s="5">
        <f t="shared" si="158"/>
        <v>5.5371784140030578E-4</v>
      </c>
      <c r="P844">
        <f t="shared" si="166"/>
        <v>10000</v>
      </c>
      <c r="Q844">
        <f t="shared" si="159"/>
        <v>5.5371784140030575</v>
      </c>
    </row>
    <row r="845" spans="1:17" x14ac:dyDescent="0.15">
      <c r="A845" s="10">
        <v>45897.475694444962</v>
      </c>
      <c r="B845">
        <f>COUNT(A845:$A$1158)/(48*252)</f>
        <v>2.5958994708994709E-2</v>
      </c>
      <c r="C845">
        <v>2.3029999999999999</v>
      </c>
      <c r="D845">
        <v>0.108</v>
      </c>
      <c r="E845">
        <f t="shared" si="156"/>
        <v>2.4160657245996147</v>
      </c>
      <c r="F845">
        <f t="shared" si="157"/>
        <v>-7.8446145440858039E-3</v>
      </c>
      <c r="G845">
        <f t="shared" si="160"/>
        <v>-3.0000000000001137E-3</v>
      </c>
      <c r="H845">
        <f>IF(MOD(COUNTA($C$7:C845)-1,$J$2),H844,ROUND(F845*P845,-2))</f>
        <v>-100</v>
      </c>
      <c r="I845">
        <f t="shared" si="161"/>
        <v>0</v>
      </c>
      <c r="J845">
        <f t="shared" si="162"/>
        <v>0</v>
      </c>
      <c r="K845">
        <f t="shared" si="163"/>
        <v>441.57455659786905</v>
      </c>
      <c r="L845">
        <f t="shared" si="164"/>
        <v>211.27455659786906</v>
      </c>
      <c r="M845">
        <f t="shared" si="165"/>
        <v>0.30000000000001137</v>
      </c>
      <c r="N845">
        <f t="shared" si="167"/>
        <v>211.27455659786906</v>
      </c>
      <c r="O845" s="5">
        <f t="shared" si="158"/>
        <v>5.6972884902077928E-4</v>
      </c>
      <c r="P845">
        <f t="shared" si="166"/>
        <v>10000</v>
      </c>
      <c r="Q845">
        <f t="shared" si="159"/>
        <v>5.6972884902077929</v>
      </c>
    </row>
    <row r="846" spans="1:17" x14ac:dyDescent="0.15">
      <c r="A846" s="10">
        <v>45897.479166666977</v>
      </c>
      <c r="B846">
        <f>COUNT(A846:$A$1158)/(48*252)</f>
        <v>2.5876322751322751E-2</v>
      </c>
      <c r="C846">
        <v>2.3050000000000002</v>
      </c>
      <c r="D846">
        <v>0.108</v>
      </c>
      <c r="E846">
        <f t="shared" si="156"/>
        <v>2.4291207495649281</v>
      </c>
      <c r="F846">
        <f t="shared" si="157"/>
        <v>-7.5677452755780195E-3</v>
      </c>
      <c r="G846">
        <f t="shared" si="160"/>
        <v>2.0000000000002238E-3</v>
      </c>
      <c r="H846">
        <f>IF(MOD(COUNTA($C$7:C846)-1,$J$2),H845,ROUND(F846*P846,-2))</f>
        <v>-100</v>
      </c>
      <c r="I846">
        <f t="shared" si="161"/>
        <v>0</v>
      </c>
      <c r="J846">
        <f t="shared" si="162"/>
        <v>0</v>
      </c>
      <c r="K846">
        <f t="shared" si="163"/>
        <v>441.57455659786905</v>
      </c>
      <c r="L846">
        <f t="shared" si="164"/>
        <v>211.07455659786902</v>
      </c>
      <c r="M846">
        <f t="shared" si="165"/>
        <v>-0.20000000000004547</v>
      </c>
      <c r="N846">
        <f t="shared" si="167"/>
        <v>211.07455659786902</v>
      </c>
      <c r="O846" s="5">
        <f t="shared" si="158"/>
        <v>5.4714027098016343E-4</v>
      </c>
      <c r="P846">
        <f t="shared" si="166"/>
        <v>10000</v>
      </c>
      <c r="Q846">
        <f t="shared" si="159"/>
        <v>5.4714027098016347</v>
      </c>
    </row>
    <row r="847" spans="1:17" x14ac:dyDescent="0.15">
      <c r="A847" s="10">
        <v>45897.545138888992</v>
      </c>
      <c r="B847">
        <f>COUNT(A847:$A$1158)/(48*252)</f>
        <v>2.5793650793650792E-2</v>
      </c>
      <c r="C847">
        <v>2.3050000000000002</v>
      </c>
      <c r="D847">
        <v>0.109</v>
      </c>
      <c r="E847">
        <f t="shared" si="156"/>
        <v>2.4328354579621552</v>
      </c>
      <c r="F847">
        <f t="shared" si="157"/>
        <v>-7.4905535337715934E-3</v>
      </c>
      <c r="G847">
        <f t="shared" si="160"/>
        <v>0</v>
      </c>
      <c r="H847">
        <f>IF(MOD(COUNTA($C$7:C847)-1,$J$2),H846,ROUND(F847*P847,-2))</f>
        <v>-100</v>
      </c>
      <c r="I847">
        <f t="shared" si="161"/>
        <v>0</v>
      </c>
      <c r="J847">
        <f t="shared" si="162"/>
        <v>0</v>
      </c>
      <c r="K847">
        <f t="shared" si="163"/>
        <v>441.57455659786905</v>
      </c>
      <c r="L847">
        <f t="shared" si="164"/>
        <v>211.07455659786902</v>
      </c>
      <c r="M847">
        <f t="shared" si="165"/>
        <v>0</v>
      </c>
      <c r="N847">
        <f t="shared" si="167"/>
        <v>211.07455659786902</v>
      </c>
      <c r="O847" s="5">
        <f t="shared" si="158"/>
        <v>5.4009302484448254E-4</v>
      </c>
      <c r="P847">
        <f t="shared" si="166"/>
        <v>10000</v>
      </c>
      <c r="Q847">
        <f t="shared" si="159"/>
        <v>5.4009302484448254</v>
      </c>
    </row>
    <row r="848" spans="1:17" x14ac:dyDescent="0.15">
      <c r="A848" s="10">
        <v>45897.548611111008</v>
      </c>
      <c r="B848">
        <f>COUNT(A848:$A$1158)/(48*252)</f>
        <v>2.5710978835978837E-2</v>
      </c>
      <c r="C848">
        <v>2.306</v>
      </c>
      <c r="D848">
        <v>0.108</v>
      </c>
      <c r="E848">
        <f t="shared" si="156"/>
        <v>2.4412669819924564</v>
      </c>
      <c r="F848">
        <f t="shared" si="157"/>
        <v>-7.3179150715628749E-3</v>
      </c>
      <c r="G848">
        <f t="shared" si="160"/>
        <v>9.9999999999988987E-4</v>
      </c>
      <c r="H848">
        <f>IF(MOD(COUNTA($C$7:C848)-1,$J$2),H847,ROUND(F848*P848,-2))</f>
        <v>-100</v>
      </c>
      <c r="I848">
        <f t="shared" si="161"/>
        <v>0</v>
      </c>
      <c r="J848">
        <f t="shared" si="162"/>
        <v>0</v>
      </c>
      <c r="K848">
        <f t="shared" si="163"/>
        <v>441.57455659786905</v>
      </c>
      <c r="L848">
        <f t="shared" si="164"/>
        <v>210.97455659786905</v>
      </c>
      <c r="M848">
        <f t="shared" si="165"/>
        <v>-9.9999999999965894E-2</v>
      </c>
      <c r="N848">
        <f t="shared" si="167"/>
        <v>210.97455659786905</v>
      </c>
      <c r="O848" s="5">
        <f t="shared" si="158"/>
        <v>5.2573230066388366E-4</v>
      </c>
      <c r="P848">
        <f t="shared" si="166"/>
        <v>10000</v>
      </c>
      <c r="Q848">
        <f t="shared" si="159"/>
        <v>5.2573230066388366</v>
      </c>
    </row>
    <row r="849" spans="1:17" x14ac:dyDescent="0.15">
      <c r="A849" s="10">
        <v>45897.552083333023</v>
      </c>
      <c r="B849">
        <f>COUNT(A849:$A$1158)/(48*252)</f>
        <v>2.5628306878306879E-2</v>
      </c>
      <c r="C849">
        <v>2.3050000000000002</v>
      </c>
      <c r="D849">
        <v>0.108</v>
      </c>
      <c r="E849">
        <f t="shared" si="156"/>
        <v>2.4403195717872812</v>
      </c>
      <c r="F849">
        <f t="shared" si="157"/>
        <v>-7.3371371186135015E-3</v>
      </c>
      <c r="G849">
        <f t="shared" si="160"/>
        <v>-9.9999999999988987E-4</v>
      </c>
      <c r="H849">
        <f>IF(MOD(COUNTA($C$7:C849)-1,$J$2),H848,ROUND(F849*P849,-2))</f>
        <v>-100</v>
      </c>
      <c r="I849">
        <f t="shared" si="161"/>
        <v>0</v>
      </c>
      <c r="J849">
        <f t="shared" si="162"/>
        <v>0</v>
      </c>
      <c r="K849">
        <f t="shared" si="163"/>
        <v>441.57455659786905</v>
      </c>
      <c r="L849">
        <f t="shared" si="164"/>
        <v>211.07455659786902</v>
      </c>
      <c r="M849">
        <f t="shared" si="165"/>
        <v>9.9999999999965894E-2</v>
      </c>
      <c r="N849">
        <f t="shared" si="167"/>
        <v>211.07455659786902</v>
      </c>
      <c r="O849" s="5">
        <f t="shared" si="158"/>
        <v>5.2615519402230901E-4</v>
      </c>
      <c r="P849">
        <f t="shared" si="166"/>
        <v>10000</v>
      </c>
      <c r="Q849">
        <f t="shared" si="159"/>
        <v>5.2615519402230904</v>
      </c>
    </row>
    <row r="850" spans="1:17" x14ac:dyDescent="0.15">
      <c r="A850" s="10">
        <v>45897.555555555969</v>
      </c>
      <c r="B850">
        <f>COUNT(A850:$A$1158)/(48*252)</f>
        <v>2.554563492063492E-2</v>
      </c>
      <c r="C850">
        <v>2.3010000000000002</v>
      </c>
      <c r="D850">
        <v>0.108</v>
      </c>
      <c r="E850">
        <f t="shared" si="156"/>
        <v>2.4252135454964825</v>
      </c>
      <c r="F850">
        <f t="shared" si="157"/>
        <v>-7.649692195707547E-3</v>
      </c>
      <c r="G850">
        <f t="shared" si="160"/>
        <v>-4.0000000000000036E-3</v>
      </c>
      <c r="H850">
        <f>IF(MOD(COUNTA($C$7:C850)-1,$J$2),H849,ROUND(F850*P850,-2))</f>
        <v>-100</v>
      </c>
      <c r="I850">
        <f t="shared" si="161"/>
        <v>0</v>
      </c>
      <c r="J850">
        <f t="shared" si="162"/>
        <v>0</v>
      </c>
      <c r="K850">
        <f t="shared" si="163"/>
        <v>441.57455659786905</v>
      </c>
      <c r="L850">
        <f t="shared" si="164"/>
        <v>211.47455659786903</v>
      </c>
      <c r="M850">
        <f t="shared" si="165"/>
        <v>0.40000000000000568</v>
      </c>
      <c r="N850">
        <f t="shared" si="167"/>
        <v>211.47455659786903</v>
      </c>
      <c r="O850" s="5">
        <f t="shared" si="158"/>
        <v>5.4907960931846814E-4</v>
      </c>
      <c r="P850">
        <f t="shared" si="166"/>
        <v>10000</v>
      </c>
      <c r="Q850">
        <f t="shared" si="159"/>
        <v>5.4907960931846818</v>
      </c>
    </row>
    <row r="851" spans="1:17" x14ac:dyDescent="0.15">
      <c r="A851" s="10">
        <v>45897.559027777985</v>
      </c>
      <c r="B851">
        <f>COUNT(A851:$A$1158)/(48*252)</f>
        <v>2.5462962962962962E-2</v>
      </c>
      <c r="C851">
        <v>2.3029999999999999</v>
      </c>
      <c r="D851">
        <v>0.107</v>
      </c>
      <c r="E851">
        <f t="shared" si="156"/>
        <v>2.4384285354357167</v>
      </c>
      <c r="F851">
        <f t="shared" si="157"/>
        <v>-7.375637556297665E-3</v>
      </c>
      <c r="G851">
        <f t="shared" si="160"/>
        <v>1.9999999999997797E-3</v>
      </c>
      <c r="H851">
        <f>IF(MOD(COUNTA($C$7:C851)-1,$J$2),H850,ROUND(F851*P851,-2))</f>
        <v>-100</v>
      </c>
      <c r="I851">
        <f t="shared" si="161"/>
        <v>0</v>
      </c>
      <c r="J851">
        <f t="shared" si="162"/>
        <v>0</v>
      </c>
      <c r="K851">
        <f t="shared" si="163"/>
        <v>441.57455659786905</v>
      </c>
      <c r="L851">
        <f t="shared" si="164"/>
        <v>211.27455659786906</v>
      </c>
      <c r="M851">
        <f t="shared" si="165"/>
        <v>-0.19999999999996021</v>
      </c>
      <c r="N851">
        <f t="shared" si="167"/>
        <v>211.27455659786906</v>
      </c>
      <c r="O851" s="5">
        <f t="shared" si="158"/>
        <v>5.2698601929921859E-4</v>
      </c>
      <c r="P851">
        <f t="shared" si="166"/>
        <v>10000</v>
      </c>
      <c r="Q851">
        <f t="shared" si="159"/>
        <v>5.2698601929921862</v>
      </c>
    </row>
    <row r="852" spans="1:17" x14ac:dyDescent="0.15">
      <c r="A852" s="10">
        <v>45897.5625</v>
      </c>
      <c r="B852">
        <f>COUNT(A852:$A$1158)/(48*252)</f>
        <v>2.5380291005291006E-2</v>
      </c>
      <c r="C852">
        <v>2.3029999999999999</v>
      </c>
      <c r="D852">
        <v>0.108</v>
      </c>
      <c r="E852">
        <f t="shared" si="156"/>
        <v>2.4422202702717124</v>
      </c>
      <c r="F852">
        <f t="shared" si="157"/>
        <v>-7.2986185848967766E-3</v>
      </c>
      <c r="G852">
        <f t="shared" si="160"/>
        <v>0</v>
      </c>
      <c r="H852">
        <f>IF(MOD(COUNTA($C$7:C852)-1,$J$2),H851,ROUND(F852*P852,-2))</f>
        <v>-100</v>
      </c>
      <c r="I852">
        <f t="shared" si="161"/>
        <v>0</v>
      </c>
      <c r="J852">
        <f t="shared" si="162"/>
        <v>0</v>
      </c>
      <c r="K852">
        <f t="shared" si="163"/>
        <v>441.57455659786905</v>
      </c>
      <c r="L852">
        <f t="shared" si="164"/>
        <v>211.27455659786906</v>
      </c>
      <c r="M852">
        <f t="shared" si="165"/>
        <v>0</v>
      </c>
      <c r="N852">
        <f t="shared" si="167"/>
        <v>211.27455659786906</v>
      </c>
      <c r="O852" s="5">
        <f t="shared" si="158"/>
        <v>5.2004713287718066E-4</v>
      </c>
      <c r="P852">
        <f t="shared" si="166"/>
        <v>10000</v>
      </c>
      <c r="Q852">
        <f t="shared" si="159"/>
        <v>5.2004713287718065</v>
      </c>
    </row>
    <row r="853" spans="1:17" x14ac:dyDescent="0.15">
      <c r="A853" s="10">
        <v>45897.565972222015</v>
      </c>
      <c r="B853">
        <f>COUNT(A853:$A$1158)/(48*252)</f>
        <v>2.5297619047619048E-2</v>
      </c>
      <c r="C853">
        <v>2.3109999999999999</v>
      </c>
      <c r="D853">
        <v>0.11</v>
      </c>
      <c r="E853">
        <f t="shared" si="156"/>
        <v>2.483901177241234</v>
      </c>
      <c r="F853">
        <f t="shared" si="157"/>
        <v>-6.4975932785901191E-3</v>
      </c>
      <c r="G853">
        <f t="shared" si="160"/>
        <v>8.0000000000000071E-3</v>
      </c>
      <c r="H853">
        <f>IF(MOD(COUNTA($C$7:C853)-1,$J$2),H852,ROUND(F853*P853,-2))</f>
        <v>-100</v>
      </c>
      <c r="I853">
        <f t="shared" si="161"/>
        <v>0</v>
      </c>
      <c r="J853">
        <f t="shared" si="162"/>
        <v>0</v>
      </c>
      <c r="K853">
        <f t="shared" si="163"/>
        <v>441.57455659786905</v>
      </c>
      <c r="L853">
        <f t="shared" si="164"/>
        <v>210.47455659786905</v>
      </c>
      <c r="M853">
        <f t="shared" si="165"/>
        <v>-0.80000000000001137</v>
      </c>
      <c r="N853">
        <f t="shared" si="167"/>
        <v>210.47455659786905</v>
      </c>
      <c r="O853" s="5">
        <f t="shared" si="158"/>
        <v>4.5832967425561873E-4</v>
      </c>
      <c r="P853">
        <f t="shared" si="166"/>
        <v>10000</v>
      </c>
      <c r="Q853">
        <f t="shared" si="159"/>
        <v>4.583296742556187</v>
      </c>
    </row>
    <row r="854" spans="1:17" x14ac:dyDescent="0.15">
      <c r="A854" s="10">
        <v>45897.569444444962</v>
      </c>
      <c r="B854">
        <f>COUNT(A854:$A$1158)/(48*252)</f>
        <v>2.5214947089947089E-2</v>
      </c>
      <c r="C854">
        <v>2.3090000000000002</v>
      </c>
      <c r="D854">
        <v>0.11</v>
      </c>
      <c r="E854">
        <f t="shared" si="156"/>
        <v>2.4783220569099225</v>
      </c>
      <c r="F854">
        <f t="shared" si="157"/>
        <v>-6.6000967967733137E-3</v>
      </c>
      <c r="G854">
        <f t="shared" si="160"/>
        <v>-1.9999999999997797E-3</v>
      </c>
      <c r="H854">
        <f>IF(MOD(COUNTA($C$7:C854)-1,$J$2),H853,ROUND(F854*P854,-2))</f>
        <v>-100</v>
      </c>
      <c r="I854">
        <f t="shared" si="161"/>
        <v>0</v>
      </c>
      <c r="J854">
        <f t="shared" si="162"/>
        <v>0</v>
      </c>
      <c r="K854">
        <f t="shared" si="163"/>
        <v>441.57455659786905</v>
      </c>
      <c r="L854">
        <f t="shared" si="164"/>
        <v>210.67455659786904</v>
      </c>
      <c r="M854">
        <f t="shared" si="165"/>
        <v>0.19999999999998863</v>
      </c>
      <c r="N854">
        <f t="shared" si="167"/>
        <v>210.67455659786904</v>
      </c>
      <c r="O854" s="5">
        <f t="shared" si="158"/>
        <v>4.6511049971344719E-4</v>
      </c>
      <c r="P854">
        <f t="shared" si="166"/>
        <v>10000</v>
      </c>
      <c r="Q854">
        <f t="shared" si="159"/>
        <v>4.651104997134472</v>
      </c>
    </row>
    <row r="855" spans="1:17" x14ac:dyDescent="0.15">
      <c r="A855" s="10">
        <v>45897.572916666977</v>
      </c>
      <c r="B855">
        <f>COUNT(A855:$A$1158)/(48*252)</f>
        <v>2.5132275132275131E-2</v>
      </c>
      <c r="C855">
        <v>2.31</v>
      </c>
      <c r="D855">
        <v>0.113</v>
      </c>
      <c r="E855">
        <f t="shared" si="156"/>
        <v>2.486961800574865</v>
      </c>
      <c r="F855">
        <f t="shared" si="157"/>
        <v>-6.4419616153141845E-3</v>
      </c>
      <c r="G855">
        <f t="shared" si="160"/>
        <v>9.9999999999988987E-4</v>
      </c>
      <c r="H855">
        <f>IF(MOD(COUNTA($C$7:C855)-1,$J$2),H854,ROUND(F855*P855,-2))</f>
        <v>-100</v>
      </c>
      <c r="I855">
        <f t="shared" si="161"/>
        <v>0</v>
      </c>
      <c r="J855">
        <f t="shared" si="162"/>
        <v>0</v>
      </c>
      <c r="K855">
        <f t="shared" si="163"/>
        <v>441.57455659786905</v>
      </c>
      <c r="L855">
        <f t="shared" si="164"/>
        <v>210.57455659786905</v>
      </c>
      <c r="M855">
        <f t="shared" si="165"/>
        <v>-9.9999999999994316E-2</v>
      </c>
      <c r="N855">
        <f t="shared" si="167"/>
        <v>210.57455659786905</v>
      </c>
      <c r="O855" s="5">
        <f t="shared" si="158"/>
        <v>4.5228793606259116E-4</v>
      </c>
      <c r="P855">
        <f t="shared" si="166"/>
        <v>10000</v>
      </c>
      <c r="Q855">
        <f t="shared" si="159"/>
        <v>4.5228793606259119</v>
      </c>
    </row>
    <row r="856" spans="1:17" x14ac:dyDescent="0.15">
      <c r="A856" s="10">
        <v>45897.576388888992</v>
      </c>
      <c r="B856">
        <f>COUNT(A856:$A$1158)/(48*252)</f>
        <v>2.5049603174603176E-2</v>
      </c>
      <c r="C856">
        <v>2.3130000000000002</v>
      </c>
      <c r="D856">
        <v>0.114</v>
      </c>
      <c r="E856">
        <f t="shared" si="156"/>
        <v>2.5051284403251297</v>
      </c>
      <c r="F856">
        <f t="shared" si="157"/>
        <v>-6.1203466806682982E-3</v>
      </c>
      <c r="G856">
        <f t="shared" si="160"/>
        <v>3.0000000000001137E-3</v>
      </c>
      <c r="H856">
        <f>IF(MOD(COUNTA($C$7:C856)-1,$J$2),H855,ROUND(F856*P856,-2))</f>
        <v>-100</v>
      </c>
      <c r="I856">
        <f t="shared" si="161"/>
        <v>0</v>
      </c>
      <c r="J856">
        <f t="shared" si="162"/>
        <v>0</v>
      </c>
      <c r="K856">
        <f t="shared" si="163"/>
        <v>441.57455659786905</v>
      </c>
      <c r="L856">
        <f t="shared" si="164"/>
        <v>210.27455659786904</v>
      </c>
      <c r="M856">
        <f t="shared" si="165"/>
        <v>-0.30000000000001137</v>
      </c>
      <c r="N856">
        <f t="shared" si="167"/>
        <v>210.27455659786904</v>
      </c>
      <c r="O856" s="5">
        <f t="shared" si="158"/>
        <v>4.2733706611218676E-4</v>
      </c>
      <c r="P856">
        <f t="shared" si="166"/>
        <v>10000</v>
      </c>
      <c r="Q856">
        <f t="shared" si="159"/>
        <v>4.2733706611218674</v>
      </c>
    </row>
    <row r="857" spans="1:17" x14ac:dyDescent="0.15">
      <c r="A857" s="10">
        <v>45897.579861111008</v>
      </c>
      <c r="B857">
        <f>COUNT(A857:$A$1158)/(48*252)</f>
        <v>2.4966931216931217E-2</v>
      </c>
      <c r="C857">
        <v>2.3119999999999998</v>
      </c>
      <c r="D857">
        <v>0.114</v>
      </c>
      <c r="E857">
        <f t="shared" si="156"/>
        <v>2.5043410056652884</v>
      </c>
      <c r="F857">
        <f t="shared" si="157"/>
        <v>-6.133986507850131E-3</v>
      </c>
      <c r="G857">
        <f t="shared" si="160"/>
        <v>-1.000000000000334E-3</v>
      </c>
      <c r="H857">
        <f>IF(MOD(COUNTA($C$7:C857)-1,$J$2),H856,ROUND(F857*P857,-2))</f>
        <v>-100</v>
      </c>
      <c r="I857">
        <f t="shared" si="161"/>
        <v>0</v>
      </c>
      <c r="J857">
        <f t="shared" si="162"/>
        <v>0</v>
      </c>
      <c r="K857">
        <f t="shared" si="163"/>
        <v>441.57455659786905</v>
      </c>
      <c r="L857">
        <f t="shared" si="164"/>
        <v>210.37455659786906</v>
      </c>
      <c r="M857">
        <f t="shared" si="165"/>
        <v>0.10000000000002274</v>
      </c>
      <c r="N857">
        <f t="shared" si="167"/>
        <v>210.37455659786906</v>
      </c>
      <c r="O857" s="5">
        <f t="shared" si="158"/>
        <v>4.2747252141405595E-4</v>
      </c>
      <c r="P857">
        <f t="shared" si="166"/>
        <v>10000</v>
      </c>
      <c r="Q857">
        <f t="shared" si="159"/>
        <v>4.2747252141405596</v>
      </c>
    </row>
    <row r="858" spans="1:17" x14ac:dyDescent="0.15">
      <c r="A858" s="10">
        <v>45897.583333333023</v>
      </c>
      <c r="B858">
        <f>COUNT(A858:$A$1158)/(48*252)</f>
        <v>2.4884259259259259E-2</v>
      </c>
      <c r="C858">
        <v>2.31</v>
      </c>
      <c r="D858">
        <v>0.113</v>
      </c>
      <c r="E858">
        <f t="shared" si="156"/>
        <v>2.4987900659853506</v>
      </c>
      <c r="F858">
        <f t="shared" si="157"/>
        <v>-6.2309055154237125E-3</v>
      </c>
      <c r="G858">
        <f t="shared" si="160"/>
        <v>-1.9999999999997797E-3</v>
      </c>
      <c r="H858">
        <f>IF(MOD(COUNTA($C$7:C858)-1,$J$2),H857,ROUND(F858*P858,-2))</f>
        <v>-100</v>
      </c>
      <c r="I858">
        <f t="shared" si="161"/>
        <v>0</v>
      </c>
      <c r="J858">
        <f t="shared" si="162"/>
        <v>0</v>
      </c>
      <c r="K858">
        <f t="shared" si="163"/>
        <v>441.57455659786905</v>
      </c>
      <c r="L858">
        <f t="shared" si="164"/>
        <v>210.57455659786905</v>
      </c>
      <c r="M858">
        <f t="shared" si="165"/>
        <v>0.19999999999998863</v>
      </c>
      <c r="N858">
        <f t="shared" si="167"/>
        <v>210.57455659786905</v>
      </c>
      <c r="O858" s="5">
        <f t="shared" si="158"/>
        <v>4.3379157471011044E-4</v>
      </c>
      <c r="P858">
        <f t="shared" si="166"/>
        <v>10000</v>
      </c>
      <c r="Q858">
        <f t="shared" si="159"/>
        <v>4.3379157471011043</v>
      </c>
    </row>
    <row r="859" spans="1:17" x14ac:dyDescent="0.15">
      <c r="A859" s="10">
        <v>45897.586805555969</v>
      </c>
      <c r="B859">
        <f>COUNT(A859:$A$1158)/(48*252)</f>
        <v>2.48015873015873E-2</v>
      </c>
      <c r="C859">
        <v>2.3130000000000002</v>
      </c>
      <c r="D859">
        <v>0.113</v>
      </c>
      <c r="E859">
        <f t="shared" si="156"/>
        <v>2.5170875298547188</v>
      </c>
      <c r="F859">
        <f t="shared" si="157"/>
        <v>-5.9164714228423509E-3</v>
      </c>
      <c r="G859">
        <f t="shared" si="160"/>
        <v>3.0000000000001137E-3</v>
      </c>
      <c r="H859">
        <f>IF(MOD(COUNTA($C$7:C859)-1,$J$2),H858,ROUND(F859*P859,-2))</f>
        <v>-100</v>
      </c>
      <c r="I859">
        <f t="shared" si="161"/>
        <v>0</v>
      </c>
      <c r="J859">
        <f t="shared" si="162"/>
        <v>0</v>
      </c>
      <c r="K859">
        <f t="shared" si="163"/>
        <v>441.57455659786905</v>
      </c>
      <c r="L859">
        <f t="shared" si="164"/>
        <v>210.27455659786904</v>
      </c>
      <c r="M859">
        <f t="shared" si="165"/>
        <v>-0.30000000000001137</v>
      </c>
      <c r="N859">
        <f t="shared" si="167"/>
        <v>210.27455659786904</v>
      </c>
      <c r="O859" s="5">
        <f t="shared" si="158"/>
        <v>4.0961235809650574E-4</v>
      </c>
      <c r="P859">
        <f t="shared" si="166"/>
        <v>10000</v>
      </c>
      <c r="Q859">
        <f t="shared" si="159"/>
        <v>4.0961235809650578</v>
      </c>
    </row>
    <row r="860" spans="1:17" x14ac:dyDescent="0.15">
      <c r="A860" s="10">
        <v>45897.590277777985</v>
      </c>
      <c r="B860">
        <f>COUNT(A860:$A$1158)/(48*252)</f>
        <v>2.4718915343915345E-2</v>
      </c>
      <c r="C860">
        <v>2.3149999999999999</v>
      </c>
      <c r="D860">
        <v>0.11600000000000001</v>
      </c>
      <c r="E860">
        <f t="shared" si="156"/>
        <v>2.5306632090063248</v>
      </c>
      <c r="F860">
        <f t="shared" si="157"/>
        <v>-5.6923552748098238E-3</v>
      </c>
      <c r="G860">
        <f t="shared" si="160"/>
        <v>1.9999999999997797E-3</v>
      </c>
      <c r="H860">
        <f>IF(MOD(COUNTA($C$7:C860)-1,$J$2),H859,ROUND(F860*P860,-2))</f>
        <v>-100</v>
      </c>
      <c r="I860">
        <f t="shared" si="161"/>
        <v>0</v>
      </c>
      <c r="J860">
        <f t="shared" si="162"/>
        <v>0</v>
      </c>
      <c r="K860">
        <f t="shared" si="163"/>
        <v>441.57455659786905</v>
      </c>
      <c r="L860">
        <f t="shared" si="164"/>
        <v>210.07455659786905</v>
      </c>
      <c r="M860">
        <f t="shared" si="165"/>
        <v>-0.19999999999998863</v>
      </c>
      <c r="N860">
        <f t="shared" si="167"/>
        <v>210.07455659786905</v>
      </c>
      <c r="O860" s="5">
        <f t="shared" si="158"/>
        <v>3.922616138197204E-4</v>
      </c>
      <c r="P860">
        <f t="shared" si="166"/>
        <v>10000</v>
      </c>
      <c r="Q860">
        <f t="shared" si="159"/>
        <v>3.922616138197204</v>
      </c>
    </row>
    <row r="861" spans="1:17" x14ac:dyDescent="0.15">
      <c r="A861" s="10">
        <v>45897.59375</v>
      </c>
      <c r="B861">
        <f>COUNT(A861:$A$1158)/(48*252)</f>
        <v>2.4636243386243387E-2</v>
      </c>
      <c r="C861">
        <v>2.3149999999999999</v>
      </c>
      <c r="D861">
        <v>0.11600000000000001</v>
      </c>
      <c r="E861">
        <f t="shared" si="156"/>
        <v>2.5347266694381263</v>
      </c>
      <c r="F861">
        <f t="shared" si="157"/>
        <v>-5.6267547578090493E-3</v>
      </c>
      <c r="G861">
        <f t="shared" si="160"/>
        <v>0</v>
      </c>
      <c r="H861">
        <f>IF(MOD(COUNTA($C$7:C861)-1,$J$2),H860,ROUND(F861*P861,-2))</f>
        <v>-100</v>
      </c>
      <c r="I861">
        <f t="shared" si="161"/>
        <v>0</v>
      </c>
      <c r="J861">
        <f t="shared" si="162"/>
        <v>0</v>
      </c>
      <c r="K861">
        <f t="shared" si="163"/>
        <v>441.57455659786905</v>
      </c>
      <c r="L861">
        <f t="shared" si="164"/>
        <v>210.07455659786905</v>
      </c>
      <c r="M861">
        <f t="shared" si="165"/>
        <v>0</v>
      </c>
      <c r="N861">
        <f t="shared" si="167"/>
        <v>210.07455659786905</v>
      </c>
      <c r="O861" s="5">
        <f t="shared" si="158"/>
        <v>3.8663340214454243E-4</v>
      </c>
      <c r="P861">
        <f t="shared" si="166"/>
        <v>10000</v>
      </c>
      <c r="Q861">
        <f t="shared" si="159"/>
        <v>3.8663340214454243</v>
      </c>
    </row>
    <row r="862" spans="1:17" x14ac:dyDescent="0.15">
      <c r="A862" s="10">
        <v>45897.597222222015</v>
      </c>
      <c r="B862">
        <f>COUNT(A862:$A$1158)/(48*252)</f>
        <v>2.4553571428571428E-2</v>
      </c>
      <c r="C862">
        <v>2.3140000000000001</v>
      </c>
      <c r="D862">
        <v>0.11600000000000001</v>
      </c>
      <c r="E862">
        <f t="shared" si="156"/>
        <v>2.5340215334988034</v>
      </c>
      <c r="F862">
        <f t="shared" si="157"/>
        <v>-5.6380901075904211E-3</v>
      </c>
      <c r="G862">
        <f t="shared" si="160"/>
        <v>-9.9999999999988987E-4</v>
      </c>
      <c r="H862">
        <f>IF(MOD(COUNTA($C$7:C862)-1,$J$2),H861,ROUND(F862*P862,-2))</f>
        <v>-100</v>
      </c>
      <c r="I862">
        <f t="shared" si="161"/>
        <v>0</v>
      </c>
      <c r="J862">
        <f t="shared" si="162"/>
        <v>0</v>
      </c>
      <c r="K862">
        <f t="shared" si="163"/>
        <v>441.57455659786905</v>
      </c>
      <c r="L862">
        <f t="shared" si="164"/>
        <v>210.17455659786904</v>
      </c>
      <c r="M862">
        <f t="shared" si="165"/>
        <v>9.9999999999994316E-2</v>
      </c>
      <c r="N862">
        <f t="shared" si="167"/>
        <v>210.17455659786904</v>
      </c>
      <c r="O862" s="5">
        <f t="shared" si="158"/>
        <v>3.8665326574627117E-4</v>
      </c>
      <c r="P862">
        <f t="shared" si="166"/>
        <v>10000</v>
      </c>
      <c r="Q862">
        <f t="shared" si="159"/>
        <v>3.8665326574627117</v>
      </c>
    </row>
    <row r="863" spans="1:17" x14ac:dyDescent="0.15">
      <c r="A863" s="10">
        <v>45897.600694444962</v>
      </c>
      <c r="B863">
        <f>COUNT(A863:$A$1158)/(48*252)</f>
        <v>2.447089947089947E-2</v>
      </c>
      <c r="C863">
        <v>2.3149999999999999</v>
      </c>
      <c r="D863">
        <v>0.11600000000000001</v>
      </c>
      <c r="E863">
        <f t="shared" si="156"/>
        <v>2.5429161858640854</v>
      </c>
      <c r="F863">
        <f t="shared" si="157"/>
        <v>-5.4965797584133336E-3</v>
      </c>
      <c r="G863">
        <f t="shared" si="160"/>
        <v>9.9999999999988987E-4</v>
      </c>
      <c r="H863">
        <f>IF(MOD(COUNTA($C$7:C863)-1,$J$2),H862,ROUND(F863*P863,-2))</f>
        <v>-100</v>
      </c>
      <c r="I863">
        <f t="shared" si="161"/>
        <v>0</v>
      </c>
      <c r="J863">
        <f t="shared" si="162"/>
        <v>0</v>
      </c>
      <c r="K863">
        <f t="shared" si="163"/>
        <v>441.57455659786905</v>
      </c>
      <c r="L863">
        <f t="shared" si="164"/>
        <v>210.07455659786905</v>
      </c>
      <c r="M863">
        <f t="shared" si="165"/>
        <v>-9.9999999999994316E-2</v>
      </c>
      <c r="N863">
        <f t="shared" si="167"/>
        <v>210.07455659786905</v>
      </c>
      <c r="O863" s="5">
        <f t="shared" si="158"/>
        <v>3.7552200540024068E-4</v>
      </c>
      <c r="P863">
        <f t="shared" si="166"/>
        <v>10000</v>
      </c>
      <c r="Q863">
        <f t="shared" si="159"/>
        <v>3.755220054002407</v>
      </c>
    </row>
    <row r="864" spans="1:17" x14ac:dyDescent="0.15">
      <c r="A864" s="10">
        <v>45897.604166666977</v>
      </c>
      <c r="B864">
        <f>COUNT(A864:$A$1158)/(48*252)</f>
        <v>2.4388227513227514E-2</v>
      </c>
      <c r="C864">
        <v>2.3149999999999999</v>
      </c>
      <c r="D864">
        <v>0.11600000000000001</v>
      </c>
      <c r="E864">
        <f t="shared" si="156"/>
        <v>2.5470425961299625</v>
      </c>
      <c r="F864">
        <f t="shared" si="157"/>
        <v>-5.4320085626604619E-3</v>
      </c>
      <c r="G864">
        <f t="shared" si="160"/>
        <v>0</v>
      </c>
      <c r="H864">
        <f>IF(MOD(COUNTA($C$7:C864)-1,$J$2),H863,ROUND(F864*P864,-2))</f>
        <v>-100</v>
      </c>
      <c r="I864">
        <f t="shared" si="161"/>
        <v>0</v>
      </c>
      <c r="J864">
        <f t="shared" si="162"/>
        <v>0</v>
      </c>
      <c r="K864">
        <f t="shared" si="163"/>
        <v>441.57455659786905</v>
      </c>
      <c r="L864">
        <f t="shared" si="164"/>
        <v>210.07455659786905</v>
      </c>
      <c r="M864">
        <f t="shared" si="165"/>
        <v>0</v>
      </c>
      <c r="N864">
        <f t="shared" si="167"/>
        <v>210.07455659786905</v>
      </c>
      <c r="O864" s="5">
        <f t="shared" si="158"/>
        <v>3.7003869558157286E-4</v>
      </c>
      <c r="P864">
        <f t="shared" si="166"/>
        <v>10000</v>
      </c>
      <c r="Q864">
        <f t="shared" si="159"/>
        <v>3.7003869558157287</v>
      </c>
    </row>
    <row r="865" spans="1:17" x14ac:dyDescent="0.15">
      <c r="A865" s="10">
        <v>45897.607638888992</v>
      </c>
      <c r="B865">
        <f>COUNT(A865:$A$1158)/(48*252)</f>
        <v>2.4305555555555556E-2</v>
      </c>
      <c r="C865">
        <v>2.31</v>
      </c>
      <c r="D865">
        <v>0.112</v>
      </c>
      <c r="E865">
        <f t="shared" si="156"/>
        <v>2.5271006392672555</v>
      </c>
      <c r="F865">
        <f t="shared" si="157"/>
        <v>-5.7504270545503111E-3</v>
      </c>
      <c r="G865">
        <f t="shared" si="160"/>
        <v>-4.9999999999998934E-3</v>
      </c>
      <c r="H865">
        <f>IF(MOD(COUNTA($C$7:C865)-1,$J$2),H864,ROUND(F865*P865,-2))</f>
        <v>-100</v>
      </c>
      <c r="I865">
        <f t="shared" si="161"/>
        <v>0</v>
      </c>
      <c r="J865">
        <f t="shared" si="162"/>
        <v>0</v>
      </c>
      <c r="K865">
        <f t="shared" si="163"/>
        <v>441.57455659786905</v>
      </c>
      <c r="L865">
        <f t="shared" si="164"/>
        <v>210.57455659786905</v>
      </c>
      <c r="M865">
        <f t="shared" si="165"/>
        <v>0.5</v>
      </c>
      <c r="N865">
        <f t="shared" si="167"/>
        <v>210.57455659786905</v>
      </c>
      <c r="O865" s="5">
        <f t="shared" si="158"/>
        <v>3.9238898926892245E-4</v>
      </c>
      <c r="P865">
        <f t="shared" si="166"/>
        <v>10000</v>
      </c>
      <c r="Q865">
        <f t="shared" si="159"/>
        <v>3.9238898926892243</v>
      </c>
    </row>
    <row r="866" spans="1:17" x14ac:dyDescent="0.15">
      <c r="A866" s="10">
        <v>45897.611111111008</v>
      </c>
      <c r="B866">
        <f>COUNT(A866:$A$1158)/(48*252)</f>
        <v>2.4222883597883597E-2</v>
      </c>
      <c r="C866">
        <v>2.3109999999999999</v>
      </c>
      <c r="D866">
        <v>0.112</v>
      </c>
      <c r="E866">
        <f t="shared" si="156"/>
        <v>2.5360591725784714</v>
      </c>
      <c r="F866">
        <f t="shared" si="157"/>
        <v>-5.6053894655315739E-3</v>
      </c>
      <c r="G866">
        <f t="shared" si="160"/>
        <v>9.9999999999988987E-4</v>
      </c>
      <c r="H866">
        <f>IF(MOD(COUNTA($C$7:C866)-1,$J$2),H865,ROUND(F866*P866,-2))</f>
        <v>-100</v>
      </c>
      <c r="I866">
        <f t="shared" si="161"/>
        <v>0</v>
      </c>
      <c r="J866">
        <f t="shared" si="162"/>
        <v>0</v>
      </c>
      <c r="K866">
        <f t="shared" si="163"/>
        <v>441.57455659786905</v>
      </c>
      <c r="L866">
        <f t="shared" si="164"/>
        <v>210.47455659786905</v>
      </c>
      <c r="M866">
        <f t="shared" si="165"/>
        <v>-9.9999999999994316E-2</v>
      </c>
      <c r="N866">
        <f t="shared" si="167"/>
        <v>210.47455659786905</v>
      </c>
      <c r="O866" s="5">
        <f t="shared" si="158"/>
        <v>3.8103000808114088E-4</v>
      </c>
      <c r="P866">
        <f t="shared" si="166"/>
        <v>10000</v>
      </c>
      <c r="Q866">
        <f t="shared" si="159"/>
        <v>3.8103000808114089</v>
      </c>
    </row>
    <row r="867" spans="1:17" x14ac:dyDescent="0.15">
      <c r="A867" s="10">
        <v>45897.614583333023</v>
      </c>
      <c r="B867">
        <f>COUNT(A867:$A$1158)/(48*252)</f>
        <v>2.4140211640211639E-2</v>
      </c>
      <c r="C867">
        <v>2.3159999999999998</v>
      </c>
      <c r="D867">
        <v>0.115</v>
      </c>
      <c r="E867">
        <f t="shared" si="156"/>
        <v>2.5643787532667051</v>
      </c>
      <c r="F867">
        <f t="shared" si="157"/>
        <v>-5.1680342451135841E-3</v>
      </c>
      <c r="G867">
        <f t="shared" si="160"/>
        <v>4.9999999999998934E-3</v>
      </c>
      <c r="H867">
        <f>IF(MOD(COUNTA($C$7:C867)-1,$J$2),H866,ROUND(F867*P867,-2))</f>
        <v>-100</v>
      </c>
      <c r="I867">
        <f t="shared" si="161"/>
        <v>0</v>
      </c>
      <c r="J867">
        <f t="shared" si="162"/>
        <v>0</v>
      </c>
      <c r="K867">
        <f t="shared" si="163"/>
        <v>441.57455659786905</v>
      </c>
      <c r="L867">
        <f t="shared" si="164"/>
        <v>209.97455659786905</v>
      </c>
      <c r="M867">
        <f t="shared" si="165"/>
        <v>-0.5</v>
      </c>
      <c r="N867">
        <f t="shared" si="167"/>
        <v>209.97455659786905</v>
      </c>
      <c r="O867" s="5">
        <f t="shared" si="158"/>
        <v>3.4867340055649843E-4</v>
      </c>
      <c r="P867">
        <f t="shared" si="166"/>
        <v>10000</v>
      </c>
      <c r="Q867">
        <f t="shared" si="159"/>
        <v>3.4867340055649843</v>
      </c>
    </row>
    <row r="868" spans="1:17" x14ac:dyDescent="0.15">
      <c r="A868" s="10">
        <v>45897.618055555969</v>
      </c>
      <c r="B868">
        <f>COUNT(A868:$A$1158)/(48*252)</f>
        <v>2.4057539682539684E-2</v>
      </c>
      <c r="C868">
        <v>2.3220000000000001</v>
      </c>
      <c r="D868">
        <v>0.11600000000000001</v>
      </c>
      <c r="E868">
        <f t="shared" si="156"/>
        <v>2.5975747583567785</v>
      </c>
      <c r="F868">
        <f t="shared" si="157"/>
        <v>-4.6942340524905868E-3</v>
      </c>
      <c r="G868">
        <f t="shared" si="160"/>
        <v>6.0000000000002274E-3</v>
      </c>
      <c r="H868">
        <f>IF(MOD(COUNTA($C$7:C868)-1,$J$2),H867,ROUND(F868*P868,-2))</f>
        <v>-100</v>
      </c>
      <c r="I868">
        <f t="shared" si="161"/>
        <v>0</v>
      </c>
      <c r="J868">
        <f t="shared" si="162"/>
        <v>0</v>
      </c>
      <c r="K868">
        <f t="shared" si="163"/>
        <v>441.57455659786905</v>
      </c>
      <c r="L868">
        <f t="shared" si="164"/>
        <v>209.37455659786903</v>
      </c>
      <c r="M868">
        <f t="shared" si="165"/>
        <v>-0.60000000000002274</v>
      </c>
      <c r="N868">
        <f t="shared" si="167"/>
        <v>209.37455659786903</v>
      </c>
      <c r="O868" s="5">
        <f t="shared" si="158"/>
        <v>3.1406189558786865E-4</v>
      </c>
      <c r="P868">
        <f t="shared" si="166"/>
        <v>10000</v>
      </c>
      <c r="Q868">
        <f t="shared" si="159"/>
        <v>3.1406189558786863</v>
      </c>
    </row>
    <row r="869" spans="1:17" x14ac:dyDescent="0.15">
      <c r="A869" s="10">
        <v>45897.621527777985</v>
      </c>
      <c r="B869">
        <f>COUNT(A869:$A$1158)/(48*252)</f>
        <v>2.3974867724867725E-2</v>
      </c>
      <c r="C869">
        <v>2.3340000000000001</v>
      </c>
      <c r="D869">
        <v>0.121</v>
      </c>
      <c r="E869">
        <f t="shared" si="156"/>
        <v>2.6596931472725416</v>
      </c>
      <c r="F869">
        <f t="shared" si="157"/>
        <v>-3.9105935609864417E-3</v>
      </c>
      <c r="G869">
        <f t="shared" si="160"/>
        <v>1.2000000000000011E-2</v>
      </c>
      <c r="H869">
        <f>IF(MOD(COUNTA($C$7:C869)-1,$J$2),H868,ROUND(F869*P869,-2))</f>
        <v>0</v>
      </c>
      <c r="I869">
        <f t="shared" si="161"/>
        <v>100</v>
      </c>
      <c r="J869">
        <f t="shared" si="162"/>
        <v>0</v>
      </c>
      <c r="K869">
        <f t="shared" si="163"/>
        <v>208.16405359786904</v>
      </c>
      <c r="L869">
        <f t="shared" si="164"/>
        <v>208.16405359786904</v>
      </c>
      <c r="M869">
        <f t="shared" si="165"/>
        <v>-1.2105029999999886</v>
      </c>
      <c r="N869">
        <f t="shared" si="167"/>
        <v>208.16405359786904</v>
      </c>
      <c r="O869" s="5">
        <f t="shared" si="158"/>
        <v>2.5807792579693976E-4</v>
      </c>
      <c r="P869">
        <f t="shared" si="166"/>
        <v>10000</v>
      </c>
      <c r="Q869">
        <f t="shared" si="159"/>
        <v>2.5807792579693976</v>
      </c>
    </row>
    <row r="870" spans="1:17" x14ac:dyDescent="0.15">
      <c r="A870" s="10">
        <v>45897.625</v>
      </c>
      <c r="B870">
        <f>COUNT(A870:$A$1158)/(48*252)</f>
        <v>2.3892195767195767E-2</v>
      </c>
      <c r="C870">
        <v>2.3410000000000002</v>
      </c>
      <c r="D870">
        <v>0.122</v>
      </c>
      <c r="E870">
        <f t="shared" si="156"/>
        <v>2.697761177339522</v>
      </c>
      <c r="F870">
        <f t="shared" si="157"/>
        <v>-3.4903750654939891E-3</v>
      </c>
      <c r="G870">
        <f t="shared" si="160"/>
        <v>7.0000000000001172E-3</v>
      </c>
      <c r="H870">
        <f>IF(MOD(COUNTA($C$7:C870)-1,$J$2),H869,ROUND(F870*P870,-2))</f>
        <v>0</v>
      </c>
      <c r="I870">
        <f t="shared" si="161"/>
        <v>0</v>
      </c>
      <c r="J870">
        <f t="shared" si="162"/>
        <v>0</v>
      </c>
      <c r="K870">
        <f t="shared" si="163"/>
        <v>208.16405359786904</v>
      </c>
      <c r="L870">
        <f t="shared" si="164"/>
        <v>208.16405359786904</v>
      </c>
      <c r="M870">
        <f t="shared" si="165"/>
        <v>0</v>
      </c>
      <c r="N870">
        <f t="shared" si="167"/>
        <v>208.16405359786904</v>
      </c>
      <c r="O870" s="5">
        <f t="shared" si="158"/>
        <v>2.282523029082887E-4</v>
      </c>
      <c r="P870">
        <f t="shared" si="166"/>
        <v>10000</v>
      </c>
      <c r="Q870">
        <f t="shared" si="159"/>
        <v>2.2825230290828871</v>
      </c>
    </row>
    <row r="871" spans="1:17" x14ac:dyDescent="0.15">
      <c r="A871" s="10">
        <v>45898.399305555969</v>
      </c>
      <c r="B871">
        <f>COUNT(A871:$A$1158)/(48*252)</f>
        <v>2.3809523809523808E-2</v>
      </c>
      <c r="C871">
        <v>2.3359999999999999</v>
      </c>
      <c r="D871">
        <v>0.13</v>
      </c>
      <c r="E871">
        <f t="shared" si="156"/>
        <v>2.6781898488527474</v>
      </c>
      <c r="F871">
        <f t="shared" si="157"/>
        <v>-3.701062478223327E-3</v>
      </c>
      <c r="G871">
        <f t="shared" si="160"/>
        <v>-5.0000000000003375E-3</v>
      </c>
      <c r="H871">
        <f>IF(MOD(COUNTA($C$7:C871)-1,$J$2),H870,ROUND(F871*P871,-2))</f>
        <v>0</v>
      </c>
      <c r="I871">
        <f t="shared" si="161"/>
        <v>0</v>
      </c>
      <c r="J871">
        <f t="shared" si="162"/>
        <v>0</v>
      </c>
      <c r="K871">
        <f t="shared" si="163"/>
        <v>208.16405359786904</v>
      </c>
      <c r="L871">
        <f t="shared" si="164"/>
        <v>208.16405359786904</v>
      </c>
      <c r="M871">
        <f t="shared" si="165"/>
        <v>0</v>
      </c>
      <c r="N871">
        <f t="shared" si="167"/>
        <v>208.16405359786904</v>
      </c>
      <c r="O871" s="5">
        <f t="shared" si="158"/>
        <v>2.4236817058997939E-4</v>
      </c>
      <c r="P871">
        <f t="shared" si="166"/>
        <v>10000</v>
      </c>
      <c r="Q871">
        <f t="shared" si="159"/>
        <v>2.4236817058997939</v>
      </c>
    </row>
    <row r="872" spans="1:17" x14ac:dyDescent="0.15">
      <c r="A872" s="10">
        <v>45898.402777777985</v>
      </c>
      <c r="B872">
        <f>COUNT(A872:$A$1158)/(48*252)</f>
        <v>2.3726851851851853E-2</v>
      </c>
      <c r="C872">
        <v>2.3330000000000002</v>
      </c>
      <c r="D872">
        <v>0.13</v>
      </c>
      <c r="E872">
        <f t="shared" si="156"/>
        <v>2.6681780021072465</v>
      </c>
      <c r="F872">
        <f t="shared" si="157"/>
        <v>-3.8131920766147909E-3</v>
      </c>
      <c r="G872">
        <f t="shared" si="160"/>
        <v>-2.9999999999996696E-3</v>
      </c>
      <c r="H872">
        <f>IF(MOD(COUNTA($C$7:C872)-1,$J$2),H871,ROUND(F872*P872,-2))</f>
        <v>0</v>
      </c>
      <c r="I872">
        <f t="shared" si="161"/>
        <v>0</v>
      </c>
      <c r="J872">
        <f t="shared" si="162"/>
        <v>0</v>
      </c>
      <c r="K872">
        <f t="shared" si="163"/>
        <v>208.16405359786904</v>
      </c>
      <c r="L872">
        <f t="shared" si="164"/>
        <v>208.16405359786904</v>
      </c>
      <c r="M872">
        <f t="shared" si="165"/>
        <v>0</v>
      </c>
      <c r="N872">
        <f t="shared" si="167"/>
        <v>208.16405359786904</v>
      </c>
      <c r="O872" s="5">
        <f t="shared" si="158"/>
        <v>2.4962522997776584E-4</v>
      </c>
      <c r="P872">
        <f t="shared" si="166"/>
        <v>10000</v>
      </c>
      <c r="Q872">
        <f t="shared" si="159"/>
        <v>2.4962522997776584</v>
      </c>
    </row>
    <row r="873" spans="1:17" x14ac:dyDescent="0.15">
      <c r="A873" s="10">
        <v>45898.40625</v>
      </c>
      <c r="B873">
        <f>COUNT(A873:$A$1158)/(48*252)</f>
        <v>2.3644179894179895E-2</v>
      </c>
      <c r="C873">
        <v>2.3330000000000002</v>
      </c>
      <c r="D873">
        <v>0.13</v>
      </c>
      <c r="E873">
        <f t="shared" si="156"/>
        <v>2.6726557980342061</v>
      </c>
      <c r="F873">
        <f t="shared" si="157"/>
        <v>-3.7626710507866479E-3</v>
      </c>
      <c r="G873">
        <f t="shared" si="160"/>
        <v>0</v>
      </c>
      <c r="H873">
        <f>IF(MOD(COUNTA($C$7:C873)-1,$J$2),H872,ROUND(F873*P873,-2))</f>
        <v>0</v>
      </c>
      <c r="I873">
        <f t="shared" si="161"/>
        <v>0</v>
      </c>
      <c r="J873">
        <f t="shared" si="162"/>
        <v>0</v>
      </c>
      <c r="K873">
        <f t="shared" si="163"/>
        <v>208.16405359786904</v>
      </c>
      <c r="L873">
        <f t="shared" si="164"/>
        <v>208.16405359786904</v>
      </c>
      <c r="M873">
        <f t="shared" si="165"/>
        <v>0</v>
      </c>
      <c r="N873">
        <f t="shared" si="167"/>
        <v>208.16405359786904</v>
      </c>
      <c r="O873" s="5">
        <f t="shared" si="158"/>
        <v>2.4557756656221064E-4</v>
      </c>
      <c r="P873">
        <f t="shared" si="166"/>
        <v>10000</v>
      </c>
      <c r="Q873">
        <f t="shared" si="159"/>
        <v>2.4557756656221064</v>
      </c>
    </row>
    <row r="874" spans="1:17" x14ac:dyDescent="0.15">
      <c r="A874" s="10">
        <v>45898.409722222015</v>
      </c>
      <c r="B874">
        <f>COUNT(A874:$A$1158)/(48*252)</f>
        <v>2.3561507936507936E-2</v>
      </c>
      <c r="C874">
        <v>2.3290000000000002</v>
      </c>
      <c r="D874">
        <v>0.13</v>
      </c>
      <c r="E874">
        <f t="shared" si="156"/>
        <v>2.6577391181298147</v>
      </c>
      <c r="F874">
        <f t="shared" si="157"/>
        <v>-3.9333381083885843E-3</v>
      </c>
      <c r="G874">
        <f t="shared" si="160"/>
        <v>-4.0000000000000036E-3</v>
      </c>
      <c r="H874">
        <f>IF(MOD(COUNTA($C$7:C874)-1,$J$2),H873,ROUND(F874*P874,-2))</f>
        <v>0</v>
      </c>
      <c r="I874">
        <f t="shared" si="161"/>
        <v>0</v>
      </c>
      <c r="J874">
        <f t="shared" si="162"/>
        <v>0</v>
      </c>
      <c r="K874">
        <f t="shared" si="163"/>
        <v>208.16405359786904</v>
      </c>
      <c r="L874">
        <f t="shared" si="164"/>
        <v>208.16405359786904</v>
      </c>
      <c r="M874">
        <f t="shared" si="165"/>
        <v>0</v>
      </c>
      <c r="N874">
        <f t="shared" si="167"/>
        <v>208.16405359786904</v>
      </c>
      <c r="O874" s="5">
        <f t="shared" si="158"/>
        <v>2.568588229415452E-4</v>
      </c>
      <c r="P874">
        <f t="shared" si="166"/>
        <v>10000</v>
      </c>
      <c r="Q874">
        <f t="shared" si="159"/>
        <v>2.5685882294154521</v>
      </c>
    </row>
    <row r="875" spans="1:17" x14ac:dyDescent="0.15">
      <c r="A875" s="10">
        <v>45898.413194444962</v>
      </c>
      <c r="B875">
        <f>COUNT(A875:$A$1158)/(48*252)</f>
        <v>2.3478835978835978E-2</v>
      </c>
      <c r="C875">
        <v>2.3239999999999998</v>
      </c>
      <c r="D875">
        <v>0.126</v>
      </c>
      <c r="E875">
        <f t="shared" si="156"/>
        <v>2.6378680408612127</v>
      </c>
      <c r="F875">
        <f t="shared" si="157"/>
        <v>-4.1714519793106808E-3</v>
      </c>
      <c r="G875">
        <f t="shared" si="160"/>
        <v>-5.0000000000003375E-3</v>
      </c>
      <c r="H875">
        <f>IF(MOD(COUNTA($C$7:C875)-1,$J$2),H874,ROUND(F875*P875,-2))</f>
        <v>0</v>
      </c>
      <c r="I875">
        <f t="shared" si="161"/>
        <v>0</v>
      </c>
      <c r="J875">
        <f t="shared" si="162"/>
        <v>0</v>
      </c>
      <c r="K875">
        <f t="shared" si="163"/>
        <v>208.16405359786904</v>
      </c>
      <c r="L875">
        <f t="shared" si="164"/>
        <v>208.16405359786904</v>
      </c>
      <c r="M875">
        <f t="shared" si="165"/>
        <v>0</v>
      </c>
      <c r="N875">
        <f t="shared" si="167"/>
        <v>208.16405359786904</v>
      </c>
      <c r="O875" s="5">
        <f t="shared" si="158"/>
        <v>2.7281323805213031E-4</v>
      </c>
      <c r="P875">
        <f t="shared" si="166"/>
        <v>10000</v>
      </c>
      <c r="Q875">
        <f t="shared" si="159"/>
        <v>2.7281323805213029</v>
      </c>
    </row>
    <row r="876" spans="1:17" x14ac:dyDescent="0.15">
      <c r="A876" s="10">
        <v>45898.416666666977</v>
      </c>
      <c r="B876">
        <f>COUNT(A876:$A$1158)/(48*252)</f>
        <v>2.3396164021164022E-2</v>
      </c>
      <c r="C876">
        <v>2.33</v>
      </c>
      <c r="D876">
        <v>0.128</v>
      </c>
      <c r="E876">
        <f t="shared" si="156"/>
        <v>2.6716212401858295</v>
      </c>
      <c r="F876">
        <f t="shared" si="157"/>
        <v>-3.7742899036161681E-3</v>
      </c>
      <c r="G876">
        <f t="shared" si="160"/>
        <v>6.0000000000002274E-3</v>
      </c>
      <c r="H876">
        <f>IF(MOD(COUNTA($C$7:C876)-1,$J$2),H875,ROUND(F876*P876,-2))</f>
        <v>0</v>
      </c>
      <c r="I876">
        <f t="shared" si="161"/>
        <v>0</v>
      </c>
      <c r="J876">
        <f t="shared" si="162"/>
        <v>0</v>
      </c>
      <c r="K876">
        <f t="shared" si="163"/>
        <v>208.16405359786904</v>
      </c>
      <c r="L876">
        <f t="shared" si="164"/>
        <v>208.16405359786904</v>
      </c>
      <c r="M876">
        <f t="shared" si="165"/>
        <v>0</v>
      </c>
      <c r="N876">
        <f t="shared" si="167"/>
        <v>208.16405359786904</v>
      </c>
      <c r="O876" s="5">
        <f t="shared" si="158"/>
        <v>2.4476089870674282E-4</v>
      </c>
      <c r="P876">
        <f t="shared" si="166"/>
        <v>10000</v>
      </c>
      <c r="Q876">
        <f t="shared" si="159"/>
        <v>2.447608987067428</v>
      </c>
    </row>
    <row r="877" spans="1:17" x14ac:dyDescent="0.15">
      <c r="A877" s="10">
        <v>45898.420138888992</v>
      </c>
      <c r="B877">
        <f>COUNT(A877:$A$1158)/(48*252)</f>
        <v>2.3313492063492064E-2</v>
      </c>
      <c r="C877">
        <v>2.3359999999999999</v>
      </c>
      <c r="D877">
        <v>0.13100000000000001</v>
      </c>
      <c r="E877">
        <f t="shared" si="156"/>
        <v>2.7054268375962165</v>
      </c>
      <c r="F877">
        <f t="shared" si="157"/>
        <v>-3.4108336588325461E-3</v>
      </c>
      <c r="G877">
        <f t="shared" si="160"/>
        <v>5.9999999999997833E-3</v>
      </c>
      <c r="H877">
        <f>IF(MOD(COUNTA($C$7:C877)-1,$J$2),H876,ROUND(F877*P877,-2))</f>
        <v>0</v>
      </c>
      <c r="I877">
        <f t="shared" si="161"/>
        <v>0</v>
      </c>
      <c r="J877">
        <f t="shared" si="162"/>
        <v>0</v>
      </c>
      <c r="K877">
        <f t="shared" si="163"/>
        <v>208.16405359786904</v>
      </c>
      <c r="L877">
        <f t="shared" si="164"/>
        <v>208.16405359786904</v>
      </c>
      <c r="M877">
        <f t="shared" si="165"/>
        <v>0</v>
      </c>
      <c r="N877">
        <f t="shared" si="167"/>
        <v>208.16405359786904</v>
      </c>
      <c r="O877" s="5">
        <f t="shared" si="158"/>
        <v>2.1933727250926689E-4</v>
      </c>
      <c r="P877">
        <f t="shared" si="166"/>
        <v>10000</v>
      </c>
      <c r="Q877">
        <f t="shared" si="159"/>
        <v>2.1933727250926691</v>
      </c>
    </row>
    <row r="878" spans="1:17" x14ac:dyDescent="0.15">
      <c r="A878" s="10">
        <v>45898.423611111008</v>
      </c>
      <c r="B878">
        <f>COUNT(A878:$A$1158)/(48*252)</f>
        <v>2.3230820105820105E-2</v>
      </c>
      <c r="C878">
        <v>2.3380000000000001</v>
      </c>
      <c r="D878">
        <v>0.13300000000000001</v>
      </c>
      <c r="E878">
        <f t="shared" si="156"/>
        <v>2.7198050154051829</v>
      </c>
      <c r="F878">
        <f t="shared" si="157"/>
        <v>-3.2660210492886366E-3</v>
      </c>
      <c r="G878">
        <f t="shared" si="160"/>
        <v>2.0000000000002238E-3</v>
      </c>
      <c r="H878">
        <f>IF(MOD(COUNTA($C$7:C878)-1,$J$2),H877,ROUND(F878*P878,-2))</f>
        <v>0</v>
      </c>
      <c r="I878">
        <f t="shared" si="161"/>
        <v>0</v>
      </c>
      <c r="J878">
        <f t="shared" si="162"/>
        <v>0</v>
      </c>
      <c r="K878">
        <f t="shared" si="163"/>
        <v>208.16405359786904</v>
      </c>
      <c r="L878">
        <f t="shared" si="164"/>
        <v>208.16405359786904</v>
      </c>
      <c r="M878">
        <f t="shared" si="165"/>
        <v>0</v>
      </c>
      <c r="N878">
        <f t="shared" si="167"/>
        <v>208.16405359786904</v>
      </c>
      <c r="O878" s="5">
        <f t="shared" si="158"/>
        <v>2.0900937009666817E-4</v>
      </c>
      <c r="P878">
        <f t="shared" si="166"/>
        <v>10000</v>
      </c>
      <c r="Q878">
        <f t="shared" si="159"/>
        <v>2.0900937009666816</v>
      </c>
    </row>
    <row r="879" spans="1:17" x14ac:dyDescent="0.15">
      <c r="A879" s="10">
        <v>45898.427083333023</v>
      </c>
      <c r="B879">
        <f>COUNT(A879:$A$1158)/(48*252)</f>
        <v>2.3148148148148147E-2</v>
      </c>
      <c r="C879">
        <v>2.3370000000000002</v>
      </c>
      <c r="D879">
        <v>0.13100000000000001</v>
      </c>
      <c r="E879">
        <f t="shared" si="156"/>
        <v>2.719588634887689</v>
      </c>
      <c r="F879">
        <f t="shared" si="157"/>
        <v>-3.2681587366699683E-3</v>
      </c>
      <c r="G879">
        <f t="shared" si="160"/>
        <v>-9.9999999999988987E-4</v>
      </c>
      <c r="H879">
        <f>IF(MOD(COUNTA($C$7:C879)-1,$J$2),H878,ROUND(F879*P879,-2))</f>
        <v>0</v>
      </c>
      <c r="I879">
        <f t="shared" si="161"/>
        <v>0</v>
      </c>
      <c r="J879">
        <f t="shared" si="162"/>
        <v>0</v>
      </c>
      <c r="K879">
        <f t="shared" si="163"/>
        <v>208.16405359786904</v>
      </c>
      <c r="L879">
        <f t="shared" si="164"/>
        <v>208.16405359786904</v>
      </c>
      <c r="M879">
        <f t="shared" si="165"/>
        <v>0</v>
      </c>
      <c r="N879">
        <f t="shared" si="167"/>
        <v>208.16405359786904</v>
      </c>
      <c r="O879" s="5">
        <f t="shared" si="158"/>
        <v>2.0868710335490443E-4</v>
      </c>
      <c r="P879">
        <f t="shared" si="166"/>
        <v>10000</v>
      </c>
      <c r="Q879">
        <f t="shared" si="159"/>
        <v>2.0868710335490444</v>
      </c>
    </row>
    <row r="880" spans="1:17" x14ac:dyDescent="0.15">
      <c r="A880" s="10">
        <v>45898.430555555969</v>
      </c>
      <c r="B880">
        <f>COUNT(A880:$A$1158)/(48*252)</f>
        <v>2.3065476190476192E-2</v>
      </c>
      <c r="C880">
        <v>2.34</v>
      </c>
      <c r="D880">
        <v>0.13100000000000001</v>
      </c>
      <c r="E880">
        <f t="shared" si="156"/>
        <v>2.7389453448764081</v>
      </c>
      <c r="F880">
        <f t="shared" si="157"/>
        <v>-3.0818309534426103E-3</v>
      </c>
      <c r="G880">
        <f t="shared" si="160"/>
        <v>2.9999999999996696E-3</v>
      </c>
      <c r="H880">
        <f>IF(MOD(COUNTA($C$7:C880)-1,$J$2),H879,ROUND(F880*P880,-2))</f>
        <v>0</v>
      </c>
      <c r="I880">
        <f t="shared" si="161"/>
        <v>0</v>
      </c>
      <c r="J880">
        <f t="shared" si="162"/>
        <v>0</v>
      </c>
      <c r="K880">
        <f t="shared" si="163"/>
        <v>208.16405359786904</v>
      </c>
      <c r="L880">
        <f t="shared" si="164"/>
        <v>208.16405359786904</v>
      </c>
      <c r="M880">
        <f t="shared" si="165"/>
        <v>0</v>
      </c>
      <c r="N880">
        <f t="shared" si="167"/>
        <v>208.16405359786904</v>
      </c>
      <c r="O880" s="5">
        <f t="shared" si="158"/>
        <v>1.9565926634826283E-4</v>
      </c>
      <c r="P880">
        <f t="shared" si="166"/>
        <v>10000</v>
      </c>
      <c r="Q880">
        <f t="shared" si="159"/>
        <v>1.9565926634826283</v>
      </c>
    </row>
    <row r="881" spans="1:17" x14ac:dyDescent="0.15">
      <c r="A881" s="10">
        <v>45898.434027777985</v>
      </c>
      <c r="B881">
        <f>COUNT(A881:$A$1158)/(48*252)</f>
        <v>2.2982804232804233E-2</v>
      </c>
      <c r="C881">
        <v>2.3450000000000002</v>
      </c>
      <c r="D881">
        <v>0.13600000000000001</v>
      </c>
      <c r="E881">
        <f t="shared" si="156"/>
        <v>2.7681376645581528</v>
      </c>
      <c r="F881">
        <f t="shared" si="157"/>
        <v>-2.8188818005910887E-3</v>
      </c>
      <c r="G881">
        <f t="shared" si="160"/>
        <v>5.0000000000003375E-3</v>
      </c>
      <c r="H881">
        <f>IF(MOD(COUNTA($C$7:C881)-1,$J$2),H880,ROUND(F881*P881,-2))</f>
        <v>0</v>
      </c>
      <c r="I881">
        <f t="shared" si="161"/>
        <v>0</v>
      </c>
      <c r="J881">
        <f t="shared" si="162"/>
        <v>0</v>
      </c>
      <c r="K881">
        <f t="shared" si="163"/>
        <v>208.16405359786904</v>
      </c>
      <c r="L881">
        <f t="shared" si="164"/>
        <v>208.16405359786904</v>
      </c>
      <c r="M881">
        <f t="shared" si="165"/>
        <v>0</v>
      </c>
      <c r="N881">
        <f t="shared" si="167"/>
        <v>208.16405359786904</v>
      </c>
      <c r="O881" s="5">
        <f t="shared" si="158"/>
        <v>1.7762448745600994E-4</v>
      </c>
      <c r="P881">
        <f t="shared" si="166"/>
        <v>10000</v>
      </c>
      <c r="Q881">
        <f t="shared" si="159"/>
        <v>1.7762448745600994</v>
      </c>
    </row>
    <row r="882" spans="1:17" x14ac:dyDescent="0.15">
      <c r="A882" s="10">
        <v>45898.4375</v>
      </c>
      <c r="B882">
        <f>COUNT(A882:$A$1158)/(48*252)</f>
        <v>2.2900132275132275E-2</v>
      </c>
      <c r="C882">
        <v>2.3450000000000002</v>
      </c>
      <c r="D882">
        <v>0.13600000000000001</v>
      </c>
      <c r="E882">
        <f t="shared" si="156"/>
        <v>2.7729440752839682</v>
      </c>
      <c r="F882">
        <f t="shared" si="157"/>
        <v>-2.7775833323570032E-3</v>
      </c>
      <c r="G882">
        <f t="shared" si="160"/>
        <v>0</v>
      </c>
      <c r="H882">
        <f>IF(MOD(COUNTA($C$7:C882)-1,$J$2),H881,ROUND(F882*P882,-2))</f>
        <v>0</v>
      </c>
      <c r="I882">
        <f t="shared" si="161"/>
        <v>0</v>
      </c>
      <c r="J882">
        <f t="shared" si="162"/>
        <v>0</v>
      </c>
      <c r="K882">
        <f t="shared" si="163"/>
        <v>208.16405359786904</v>
      </c>
      <c r="L882">
        <f t="shared" si="164"/>
        <v>208.16405359786904</v>
      </c>
      <c r="M882">
        <f t="shared" si="165"/>
        <v>0</v>
      </c>
      <c r="N882">
        <f t="shared" si="167"/>
        <v>208.16405359786904</v>
      </c>
      <c r="O882" s="5">
        <f t="shared" si="158"/>
        <v>1.7447542664400951E-4</v>
      </c>
      <c r="P882">
        <f t="shared" si="166"/>
        <v>10000</v>
      </c>
      <c r="Q882">
        <f t="shared" si="159"/>
        <v>1.744754266440095</v>
      </c>
    </row>
    <row r="883" spans="1:17" x14ac:dyDescent="0.15">
      <c r="A883" s="10">
        <v>45898.440972222015</v>
      </c>
      <c r="B883">
        <f>COUNT(A883:$A$1158)/(48*252)</f>
        <v>2.2817460317460316E-2</v>
      </c>
      <c r="C883">
        <v>2.3370000000000002</v>
      </c>
      <c r="D883">
        <v>0.13100000000000001</v>
      </c>
      <c r="E883">
        <f t="shared" si="156"/>
        <v>2.7384806595743534</v>
      </c>
      <c r="F883">
        <f t="shared" si="157"/>
        <v>-3.0861895385049243E-3</v>
      </c>
      <c r="G883">
        <f t="shared" si="160"/>
        <v>-8.0000000000000071E-3</v>
      </c>
      <c r="H883">
        <f>IF(MOD(COUNTA($C$7:C883)-1,$J$2),H882,ROUND(F883*P883,-2))</f>
        <v>0</v>
      </c>
      <c r="I883">
        <f t="shared" si="161"/>
        <v>0</v>
      </c>
      <c r="J883">
        <f t="shared" si="162"/>
        <v>0</v>
      </c>
      <c r="K883">
        <f t="shared" si="163"/>
        <v>208.16405359786904</v>
      </c>
      <c r="L883">
        <f t="shared" si="164"/>
        <v>208.16405359786904</v>
      </c>
      <c r="M883">
        <f t="shared" si="165"/>
        <v>0</v>
      </c>
      <c r="N883">
        <f t="shared" si="167"/>
        <v>208.16405359786904</v>
      </c>
      <c r="O883" s="5">
        <f t="shared" si="158"/>
        <v>1.9462764733321411E-4</v>
      </c>
      <c r="P883">
        <f t="shared" si="166"/>
        <v>10000</v>
      </c>
      <c r="Q883">
        <f t="shared" si="159"/>
        <v>1.9462764733321412</v>
      </c>
    </row>
    <row r="884" spans="1:17" x14ac:dyDescent="0.15">
      <c r="A884" s="10">
        <v>45898.444444444962</v>
      </c>
      <c r="B884">
        <f>COUNT(A884:$A$1158)/(48*252)</f>
        <v>2.2734788359788361E-2</v>
      </c>
      <c r="C884">
        <v>2.3359999999999999</v>
      </c>
      <c r="D884">
        <v>0.13</v>
      </c>
      <c r="E884">
        <f t="shared" si="156"/>
        <v>2.7383383685023301</v>
      </c>
      <c r="F884">
        <f t="shared" si="157"/>
        <v>-3.0875252884644544E-3</v>
      </c>
      <c r="G884">
        <f t="shared" si="160"/>
        <v>-1.000000000000334E-3</v>
      </c>
      <c r="H884">
        <f>IF(MOD(COUNTA($C$7:C884)-1,$J$2),H883,ROUND(F884*P884,-2))</f>
        <v>0</v>
      </c>
      <c r="I884">
        <f t="shared" si="161"/>
        <v>0</v>
      </c>
      <c r="J884">
        <f t="shared" si="162"/>
        <v>0</v>
      </c>
      <c r="K884">
        <f t="shared" si="163"/>
        <v>208.16405359786904</v>
      </c>
      <c r="L884">
        <f t="shared" si="164"/>
        <v>208.16405359786904</v>
      </c>
      <c r="M884">
        <f t="shared" si="165"/>
        <v>0</v>
      </c>
      <c r="N884">
        <f t="shared" si="167"/>
        <v>208.16405359786904</v>
      </c>
      <c r="O884" s="5">
        <f t="shared" si="158"/>
        <v>1.942742306233541E-4</v>
      </c>
      <c r="P884">
        <f t="shared" si="166"/>
        <v>10000</v>
      </c>
      <c r="Q884">
        <f t="shared" si="159"/>
        <v>1.9427423062335409</v>
      </c>
    </row>
    <row r="885" spans="1:17" x14ac:dyDescent="0.15">
      <c r="A885" s="10">
        <v>45898.447916666977</v>
      </c>
      <c r="B885">
        <f>COUNT(A885:$A$1158)/(48*252)</f>
        <v>2.2652116402116403E-2</v>
      </c>
      <c r="C885">
        <v>2.3359999999999999</v>
      </c>
      <c r="D885">
        <v>0.13</v>
      </c>
      <c r="E885">
        <f t="shared" si="156"/>
        <v>2.7431440451923708</v>
      </c>
      <c r="F885">
        <f t="shared" si="157"/>
        <v>-3.0426992272780673E-3</v>
      </c>
      <c r="G885">
        <f t="shared" si="160"/>
        <v>0</v>
      </c>
      <c r="H885">
        <f>IF(MOD(COUNTA($C$7:C885)-1,$J$2),H884,ROUND(F885*P885,-2))</f>
        <v>0</v>
      </c>
      <c r="I885">
        <f t="shared" si="161"/>
        <v>0</v>
      </c>
      <c r="J885">
        <f t="shared" si="162"/>
        <v>0</v>
      </c>
      <c r="K885">
        <f t="shared" si="163"/>
        <v>208.16405359786904</v>
      </c>
      <c r="L885">
        <f t="shared" si="164"/>
        <v>208.16405359786904</v>
      </c>
      <c r="M885">
        <f t="shared" si="165"/>
        <v>0</v>
      </c>
      <c r="N885">
        <f t="shared" si="167"/>
        <v>208.16405359786904</v>
      </c>
      <c r="O885" s="5">
        <f t="shared" si="158"/>
        <v>1.9085029177729178E-4</v>
      </c>
      <c r="P885">
        <f t="shared" si="166"/>
        <v>10000</v>
      </c>
      <c r="Q885">
        <f t="shared" si="159"/>
        <v>1.9085029177729178</v>
      </c>
    </row>
    <row r="886" spans="1:17" x14ac:dyDescent="0.15">
      <c r="A886" s="10">
        <v>45898.451388888992</v>
      </c>
      <c r="B886">
        <f>COUNT(A886:$A$1158)/(48*252)</f>
        <v>2.2569444444444444E-2</v>
      </c>
      <c r="C886">
        <v>2.3319999999999999</v>
      </c>
      <c r="D886">
        <v>0.13</v>
      </c>
      <c r="E886">
        <f t="shared" si="156"/>
        <v>2.7281614160797099</v>
      </c>
      <c r="F886">
        <f t="shared" si="157"/>
        <v>-3.1844217284812126E-3</v>
      </c>
      <c r="G886">
        <f t="shared" si="160"/>
        <v>-4.0000000000000036E-3</v>
      </c>
      <c r="H886">
        <f>IF(MOD(COUNTA($C$7:C886)-1,$J$2),H885,ROUND(F886*P886,-2))</f>
        <v>0</v>
      </c>
      <c r="I886">
        <f t="shared" si="161"/>
        <v>0</v>
      </c>
      <c r="J886">
        <f t="shared" si="162"/>
        <v>0</v>
      </c>
      <c r="K886">
        <f t="shared" si="163"/>
        <v>208.16405359786904</v>
      </c>
      <c r="L886">
        <f t="shared" si="164"/>
        <v>208.16405359786904</v>
      </c>
      <c r="M886">
        <f t="shared" si="165"/>
        <v>0</v>
      </c>
      <c r="N886">
        <f t="shared" si="167"/>
        <v>208.16405359786904</v>
      </c>
      <c r="O886" s="5">
        <f t="shared" si="158"/>
        <v>1.9982688609161778E-4</v>
      </c>
      <c r="P886">
        <f t="shared" si="166"/>
        <v>10000</v>
      </c>
      <c r="Q886">
        <f t="shared" si="159"/>
        <v>1.9982688609161778</v>
      </c>
    </row>
    <row r="887" spans="1:17" x14ac:dyDescent="0.15">
      <c r="A887" s="10">
        <v>45898.454861111008</v>
      </c>
      <c r="B887">
        <f>COUNT(A887:$A$1158)/(48*252)</f>
        <v>2.2486772486772486E-2</v>
      </c>
      <c r="C887">
        <v>2.339</v>
      </c>
      <c r="D887">
        <v>0.13100000000000001</v>
      </c>
      <c r="E887">
        <f t="shared" si="156"/>
        <v>2.7677020817457945</v>
      </c>
      <c r="F887">
        <f t="shared" si="157"/>
        <v>-2.822651729861958E-3</v>
      </c>
      <c r="G887">
        <f t="shared" si="160"/>
        <v>7.0000000000001172E-3</v>
      </c>
      <c r="H887">
        <f>IF(MOD(COUNTA($C$7:C887)-1,$J$2),H886,ROUND(F887*P887,-2))</f>
        <v>0</v>
      </c>
      <c r="I887">
        <f t="shared" si="161"/>
        <v>0</v>
      </c>
      <c r="J887">
        <f t="shared" si="162"/>
        <v>0</v>
      </c>
      <c r="K887">
        <f t="shared" si="163"/>
        <v>208.16405359786904</v>
      </c>
      <c r="L887">
        <f t="shared" si="164"/>
        <v>208.16405359786904</v>
      </c>
      <c r="M887">
        <f t="shared" si="165"/>
        <v>0</v>
      </c>
      <c r="N887">
        <f t="shared" si="167"/>
        <v>208.16405359786904</v>
      </c>
      <c r="O887" s="5">
        <f t="shared" si="158"/>
        <v>1.754547723367781E-4</v>
      </c>
      <c r="P887">
        <f t="shared" si="166"/>
        <v>10000</v>
      </c>
      <c r="Q887">
        <f t="shared" si="159"/>
        <v>1.7545477233677811</v>
      </c>
    </row>
    <row r="888" spans="1:17" x14ac:dyDescent="0.15">
      <c r="A888" s="10">
        <v>45898.458333333023</v>
      </c>
      <c r="B888">
        <f>COUNT(A888:$A$1158)/(48*252)</f>
        <v>2.240410052910053E-2</v>
      </c>
      <c r="C888">
        <v>2.34</v>
      </c>
      <c r="D888">
        <v>0.13300000000000001</v>
      </c>
      <c r="E888">
        <f t="shared" si="156"/>
        <v>2.7775763831596256</v>
      </c>
      <c r="F888">
        <f t="shared" si="157"/>
        <v>-2.7382983124535354E-3</v>
      </c>
      <c r="G888">
        <f t="shared" si="160"/>
        <v>9.9999999999988987E-4</v>
      </c>
      <c r="H888">
        <f>IF(MOD(COUNTA($C$7:C888)-1,$J$2),H887,ROUND(F888*P888,-2))</f>
        <v>0</v>
      </c>
      <c r="I888">
        <f t="shared" si="161"/>
        <v>0</v>
      </c>
      <c r="J888">
        <f t="shared" si="162"/>
        <v>0</v>
      </c>
      <c r="K888">
        <f t="shared" si="163"/>
        <v>208.16405359786904</v>
      </c>
      <c r="L888">
        <f t="shared" si="164"/>
        <v>208.16405359786904</v>
      </c>
      <c r="M888">
        <f t="shared" si="165"/>
        <v>0</v>
      </c>
      <c r="N888">
        <f t="shared" si="167"/>
        <v>208.16405359786904</v>
      </c>
      <c r="O888" s="5">
        <f t="shared" si="158"/>
        <v>1.6951641142325547E-4</v>
      </c>
      <c r="P888">
        <f t="shared" si="166"/>
        <v>10000</v>
      </c>
      <c r="Q888">
        <f t="shared" si="159"/>
        <v>1.6951641142325546</v>
      </c>
    </row>
    <row r="889" spans="1:17" x14ac:dyDescent="0.15">
      <c r="A889" s="10">
        <v>45898.461805555969</v>
      </c>
      <c r="B889">
        <f>COUNT(A889:$A$1158)/(48*252)</f>
        <v>2.2321428571428572E-2</v>
      </c>
      <c r="C889">
        <v>2.339</v>
      </c>
      <c r="D889">
        <v>0.13200000000000001</v>
      </c>
      <c r="E889">
        <f t="shared" si="156"/>
        <v>2.7775576806437936</v>
      </c>
      <c r="F889">
        <f t="shared" si="157"/>
        <v>-2.738455908562587E-3</v>
      </c>
      <c r="G889">
        <f t="shared" si="160"/>
        <v>-9.9999999999988987E-4</v>
      </c>
      <c r="H889">
        <f>IF(MOD(COUNTA($C$7:C889)-1,$J$2),H888,ROUND(F889*P889,-2))</f>
        <v>0</v>
      </c>
      <c r="I889">
        <f t="shared" si="161"/>
        <v>0</v>
      </c>
      <c r="J889">
        <f t="shared" si="162"/>
        <v>0</v>
      </c>
      <c r="K889">
        <f t="shared" si="163"/>
        <v>208.16405359786904</v>
      </c>
      <c r="L889">
        <f t="shared" si="164"/>
        <v>208.16405359786904</v>
      </c>
      <c r="M889">
        <f t="shared" si="165"/>
        <v>0</v>
      </c>
      <c r="N889">
        <f t="shared" si="167"/>
        <v>208.16405359786904</v>
      </c>
      <c r="O889" s="5">
        <f t="shared" si="158"/>
        <v>1.6913392577506264E-4</v>
      </c>
      <c r="P889">
        <f t="shared" si="166"/>
        <v>10000</v>
      </c>
      <c r="Q889">
        <f t="shared" si="159"/>
        <v>1.6913392577506263</v>
      </c>
    </row>
    <row r="890" spans="1:17" x14ac:dyDescent="0.15">
      <c r="A890" s="10">
        <v>45898.465277777985</v>
      </c>
      <c r="B890">
        <f>COUNT(A890:$A$1158)/(48*252)</f>
        <v>2.2238756613756613E-2</v>
      </c>
      <c r="C890">
        <v>2.3380000000000001</v>
      </c>
      <c r="D890">
        <v>0.13200000000000001</v>
      </c>
      <c r="E890">
        <f t="shared" si="156"/>
        <v>2.7775463226697212</v>
      </c>
      <c r="F890">
        <f t="shared" si="157"/>
        <v>-2.738551620137808E-3</v>
      </c>
      <c r="G890">
        <f t="shared" si="160"/>
        <v>-9.9999999999988987E-4</v>
      </c>
      <c r="H890">
        <f>IF(MOD(COUNTA($C$7:C890)-1,$J$2),H889,ROUND(F890*P890,-2))</f>
        <v>0</v>
      </c>
      <c r="I890">
        <f t="shared" si="161"/>
        <v>0</v>
      </c>
      <c r="J890">
        <f t="shared" si="162"/>
        <v>0</v>
      </c>
      <c r="K890">
        <f t="shared" si="163"/>
        <v>208.16405359786904</v>
      </c>
      <c r="L890">
        <f t="shared" si="164"/>
        <v>208.16405359786904</v>
      </c>
      <c r="M890">
        <f t="shared" si="165"/>
        <v>0</v>
      </c>
      <c r="N890">
        <f t="shared" si="167"/>
        <v>208.16405359786904</v>
      </c>
      <c r="O890" s="5">
        <f t="shared" si="158"/>
        <v>1.6874695707849198E-4</v>
      </c>
      <c r="P890">
        <f t="shared" si="166"/>
        <v>10000</v>
      </c>
      <c r="Q890">
        <f t="shared" si="159"/>
        <v>1.6874695707849199</v>
      </c>
    </row>
    <row r="891" spans="1:17" x14ac:dyDescent="0.15">
      <c r="A891" s="10">
        <v>45898.46875</v>
      </c>
      <c r="B891">
        <f>COUNT(A891:$A$1158)/(48*252)</f>
        <v>2.2156084656084655E-2</v>
      </c>
      <c r="C891">
        <v>2.3410000000000002</v>
      </c>
      <c r="D891">
        <v>0.13200000000000001</v>
      </c>
      <c r="E891">
        <f t="shared" si="156"/>
        <v>2.7974986661173573</v>
      </c>
      <c r="F891">
        <f t="shared" si="157"/>
        <v>-2.5749989931928008E-3</v>
      </c>
      <c r="G891">
        <f t="shared" si="160"/>
        <v>3.0000000000001137E-3</v>
      </c>
      <c r="H891">
        <f>IF(MOD(COUNTA($C$7:C891)-1,$J$2),H890,ROUND(F891*P891,-2))</f>
        <v>0</v>
      </c>
      <c r="I891">
        <f t="shared" si="161"/>
        <v>0</v>
      </c>
      <c r="J891">
        <f t="shared" si="162"/>
        <v>0</v>
      </c>
      <c r="K891">
        <f t="shared" si="163"/>
        <v>208.16405359786904</v>
      </c>
      <c r="L891">
        <f t="shared" si="164"/>
        <v>208.16405359786904</v>
      </c>
      <c r="M891">
        <f t="shared" si="165"/>
        <v>0</v>
      </c>
      <c r="N891">
        <f t="shared" si="167"/>
        <v>208.16405359786904</v>
      </c>
      <c r="O891" s="5">
        <f t="shared" si="158"/>
        <v>1.5773143851533205E-4</v>
      </c>
      <c r="P891">
        <f t="shared" si="166"/>
        <v>10000</v>
      </c>
      <c r="Q891">
        <f t="shared" si="159"/>
        <v>1.5773143851533205</v>
      </c>
    </row>
    <row r="892" spans="1:17" x14ac:dyDescent="0.15">
      <c r="A892" s="10">
        <v>45898.472222222015</v>
      </c>
      <c r="B892">
        <f>COUNT(A892:$A$1158)/(48*252)</f>
        <v>2.20734126984127E-2</v>
      </c>
      <c r="C892">
        <v>2.3370000000000002</v>
      </c>
      <c r="D892">
        <v>0.128</v>
      </c>
      <c r="E892">
        <f t="shared" si="156"/>
        <v>2.7825497585722192</v>
      </c>
      <c r="F892">
        <f t="shared" si="157"/>
        <v>-2.6966797155435485E-3</v>
      </c>
      <c r="G892">
        <f t="shared" si="160"/>
        <v>-4.0000000000000036E-3</v>
      </c>
      <c r="H892">
        <f>IF(MOD(COUNTA($C$7:C892)-1,$J$2),H891,ROUND(F892*P892,-2))</f>
        <v>0</v>
      </c>
      <c r="I892">
        <f t="shared" si="161"/>
        <v>0</v>
      </c>
      <c r="J892">
        <f t="shared" si="162"/>
        <v>0</v>
      </c>
      <c r="K892">
        <f t="shared" si="163"/>
        <v>208.16405359786904</v>
      </c>
      <c r="L892">
        <f t="shared" si="164"/>
        <v>208.16405359786904</v>
      </c>
      <c r="M892">
        <f t="shared" si="165"/>
        <v>0</v>
      </c>
      <c r="N892">
        <f t="shared" si="167"/>
        <v>208.16405359786904</v>
      </c>
      <c r="O892" s="5">
        <f t="shared" si="158"/>
        <v>1.6524190004213631E-4</v>
      </c>
      <c r="P892">
        <f t="shared" si="166"/>
        <v>10000</v>
      </c>
      <c r="Q892">
        <f t="shared" si="159"/>
        <v>1.652419000421363</v>
      </c>
    </row>
    <row r="893" spans="1:17" x14ac:dyDescent="0.15">
      <c r="A893" s="10">
        <v>45898.475694444962</v>
      </c>
      <c r="B893">
        <f>COUNT(A893:$A$1158)/(48*252)</f>
        <v>2.1990740740740741E-2</v>
      </c>
      <c r="C893">
        <v>2.3460000000000001</v>
      </c>
      <c r="D893">
        <v>0.13300000000000001</v>
      </c>
      <c r="E893">
        <f t="shared" si="156"/>
        <v>2.8326076866859533</v>
      </c>
      <c r="F893">
        <f t="shared" si="157"/>
        <v>-2.3085005925503888E-3</v>
      </c>
      <c r="G893">
        <f t="shared" si="160"/>
        <v>8.999999999999897E-3</v>
      </c>
      <c r="H893">
        <f>IF(MOD(COUNTA($C$7:C893)-1,$J$2),H892,ROUND(F893*P893,-2))</f>
        <v>0</v>
      </c>
      <c r="I893">
        <f t="shared" si="161"/>
        <v>0</v>
      </c>
      <c r="J893">
        <f t="shared" si="162"/>
        <v>0</v>
      </c>
      <c r="K893">
        <f t="shared" si="163"/>
        <v>208.16405359786904</v>
      </c>
      <c r="L893">
        <f t="shared" si="164"/>
        <v>208.16405359786904</v>
      </c>
      <c r="M893">
        <f t="shared" si="165"/>
        <v>0</v>
      </c>
      <c r="N893">
        <f t="shared" si="167"/>
        <v>208.16405359786904</v>
      </c>
      <c r="O893" s="5">
        <f t="shared" si="158"/>
        <v>1.398632962416272E-4</v>
      </c>
      <c r="P893">
        <f t="shared" si="166"/>
        <v>10000</v>
      </c>
      <c r="Q893">
        <f t="shared" si="159"/>
        <v>1.3986329624162721</v>
      </c>
    </row>
    <row r="894" spans="1:17" x14ac:dyDescent="0.15">
      <c r="A894" s="10">
        <v>45898.479166666977</v>
      </c>
      <c r="B894">
        <f>COUNT(A894:$A$1158)/(48*252)</f>
        <v>2.1908068783068783E-2</v>
      </c>
      <c r="C894">
        <v>2.3570000000000002</v>
      </c>
      <c r="D894">
        <v>0.14000000000000001</v>
      </c>
      <c r="E894">
        <f t="shared" si="156"/>
        <v>2.8926535180931627</v>
      </c>
      <c r="F894">
        <f t="shared" si="157"/>
        <v>-1.9100122294801736E-3</v>
      </c>
      <c r="G894">
        <f t="shared" si="160"/>
        <v>1.1000000000000121E-2</v>
      </c>
      <c r="H894">
        <f>IF(MOD(COUNTA($C$7:C894)-1,$J$2),H893,ROUND(F894*P894,-2))</f>
        <v>0</v>
      </c>
      <c r="I894">
        <f t="shared" si="161"/>
        <v>0</v>
      </c>
      <c r="J894">
        <f t="shared" si="162"/>
        <v>0</v>
      </c>
      <c r="K894">
        <f t="shared" si="163"/>
        <v>208.16405359786904</v>
      </c>
      <c r="L894">
        <f t="shared" si="164"/>
        <v>208.16405359786904</v>
      </c>
      <c r="M894">
        <f t="shared" si="165"/>
        <v>0</v>
      </c>
      <c r="N894">
        <f t="shared" si="167"/>
        <v>208.16405359786904</v>
      </c>
      <c r="O894" s="5">
        <f t="shared" si="158"/>
        <v>1.1423049499082166E-4</v>
      </c>
      <c r="P894">
        <f t="shared" si="166"/>
        <v>10000</v>
      </c>
      <c r="Q894">
        <f t="shared" si="159"/>
        <v>1.1423049499082165</v>
      </c>
    </row>
    <row r="895" spans="1:17" x14ac:dyDescent="0.15">
      <c r="A895" s="10">
        <v>45898.545138888992</v>
      </c>
      <c r="B895">
        <f>COUNT(A895:$A$1158)/(48*252)</f>
        <v>2.1825396825396824E-2</v>
      </c>
      <c r="C895">
        <v>2.36</v>
      </c>
      <c r="D895">
        <v>0.14099999999999999</v>
      </c>
      <c r="E895">
        <f t="shared" si="156"/>
        <v>2.9128920823789426</v>
      </c>
      <c r="F895">
        <f t="shared" si="157"/>
        <v>-1.7904916678109783E-3</v>
      </c>
      <c r="G895">
        <f t="shared" si="160"/>
        <v>2.9999999999996696E-3</v>
      </c>
      <c r="H895">
        <f>IF(MOD(COUNTA($C$7:C895)-1,$J$2),H894,ROUND(F895*P895,-2))</f>
        <v>0</v>
      </c>
      <c r="I895">
        <f t="shared" si="161"/>
        <v>0</v>
      </c>
      <c r="J895">
        <f t="shared" si="162"/>
        <v>0</v>
      </c>
      <c r="K895">
        <f t="shared" si="163"/>
        <v>208.16405359786904</v>
      </c>
      <c r="L895">
        <f t="shared" si="164"/>
        <v>208.16405359786904</v>
      </c>
      <c r="M895">
        <f t="shared" si="165"/>
        <v>0</v>
      </c>
      <c r="N895">
        <f t="shared" si="167"/>
        <v>208.16405359786904</v>
      </c>
      <c r="O895" s="5">
        <f t="shared" si="158"/>
        <v>1.0645098151613065E-4</v>
      </c>
      <c r="P895">
        <f t="shared" si="166"/>
        <v>10000</v>
      </c>
      <c r="Q895">
        <f t="shared" si="159"/>
        <v>1.0645098151613064</v>
      </c>
    </row>
    <row r="896" spans="1:17" x14ac:dyDescent="0.15">
      <c r="A896" s="10">
        <v>45898.548611111008</v>
      </c>
      <c r="B896">
        <f>COUNT(A896:$A$1158)/(48*252)</f>
        <v>2.1742724867724869E-2</v>
      </c>
      <c r="C896">
        <v>2.3639999999999999</v>
      </c>
      <c r="D896">
        <v>0.14299999999999999</v>
      </c>
      <c r="E896">
        <f t="shared" si="156"/>
        <v>2.9381829472918271</v>
      </c>
      <c r="F896">
        <f t="shared" si="157"/>
        <v>-1.65071071628764E-3</v>
      </c>
      <c r="G896">
        <f t="shared" si="160"/>
        <v>4.0000000000000036E-3</v>
      </c>
      <c r="H896">
        <f>IF(MOD(COUNTA($C$7:C896)-1,$J$2),H895,ROUND(F896*P896,-2))</f>
        <v>0</v>
      </c>
      <c r="I896">
        <f t="shared" si="161"/>
        <v>0</v>
      </c>
      <c r="J896">
        <f t="shared" si="162"/>
        <v>0</v>
      </c>
      <c r="K896">
        <f t="shared" si="163"/>
        <v>208.16405359786904</v>
      </c>
      <c r="L896">
        <f t="shared" si="164"/>
        <v>208.16405359786904</v>
      </c>
      <c r="M896">
        <f t="shared" si="165"/>
        <v>0</v>
      </c>
      <c r="N896">
        <f t="shared" si="167"/>
        <v>208.16405359786904</v>
      </c>
      <c r="O896" s="5">
        <f t="shared" si="158"/>
        <v>9.7477345839694016E-5</v>
      </c>
      <c r="P896">
        <f t="shared" si="166"/>
        <v>10000</v>
      </c>
      <c r="Q896">
        <f t="shared" si="159"/>
        <v>0.97477345839694018</v>
      </c>
    </row>
    <row r="897" spans="1:17" x14ac:dyDescent="0.15">
      <c r="A897" s="10">
        <v>45898.552083333023</v>
      </c>
      <c r="B897">
        <f>COUNT(A897:$A$1158)/(48*252)</f>
        <v>2.1660052910052911E-2</v>
      </c>
      <c r="C897">
        <v>2.355</v>
      </c>
      <c r="D897">
        <v>0.14000000000000001</v>
      </c>
      <c r="E897">
        <f t="shared" si="156"/>
        <v>2.8985755483321145</v>
      </c>
      <c r="F897">
        <f t="shared" si="157"/>
        <v>-1.8743099295691623E-3</v>
      </c>
      <c r="G897">
        <f t="shared" si="160"/>
        <v>-8.999999999999897E-3</v>
      </c>
      <c r="H897">
        <f>IF(MOD(COUNTA($C$7:C897)-1,$J$2),H896,ROUND(F897*P897,-2))</f>
        <v>0</v>
      </c>
      <c r="I897">
        <f t="shared" si="161"/>
        <v>0</v>
      </c>
      <c r="J897">
        <f t="shared" si="162"/>
        <v>0</v>
      </c>
      <c r="K897">
        <f t="shared" si="163"/>
        <v>208.16405359786904</v>
      </c>
      <c r="L897">
        <f t="shared" si="164"/>
        <v>208.16405359786904</v>
      </c>
      <c r="M897">
        <f t="shared" si="165"/>
        <v>0</v>
      </c>
      <c r="N897">
        <f t="shared" si="167"/>
        <v>208.16405359786904</v>
      </c>
      <c r="O897" s="5">
        <f t="shared" si="158"/>
        <v>1.1117819835257132E-4</v>
      </c>
      <c r="P897">
        <f t="shared" si="166"/>
        <v>10000</v>
      </c>
      <c r="Q897">
        <f t="shared" si="159"/>
        <v>1.1117819835257132</v>
      </c>
    </row>
    <row r="898" spans="1:17" x14ac:dyDescent="0.15">
      <c r="A898" s="10">
        <v>45898.555555555969</v>
      </c>
      <c r="B898">
        <f>COUNT(A898:$A$1158)/(48*252)</f>
        <v>2.1577380952380952E-2</v>
      </c>
      <c r="C898">
        <v>2.355</v>
      </c>
      <c r="D898">
        <v>0.14299999999999999</v>
      </c>
      <c r="E898">
        <f t="shared" si="156"/>
        <v>2.9039317321532234</v>
      </c>
      <c r="F898">
        <f t="shared" si="157"/>
        <v>-1.8425425165228271E-3</v>
      </c>
      <c r="G898">
        <f t="shared" si="160"/>
        <v>0</v>
      </c>
      <c r="H898">
        <f>IF(MOD(COUNTA($C$7:C898)-1,$J$2),H897,ROUND(F898*P898,-2))</f>
        <v>0</v>
      </c>
      <c r="I898">
        <f t="shared" si="161"/>
        <v>0</v>
      </c>
      <c r="J898">
        <f t="shared" si="162"/>
        <v>0</v>
      </c>
      <c r="K898">
        <f t="shared" si="163"/>
        <v>208.16405359786904</v>
      </c>
      <c r="L898">
        <f t="shared" si="164"/>
        <v>208.16405359786904</v>
      </c>
      <c r="M898">
        <f t="shared" si="165"/>
        <v>0</v>
      </c>
      <c r="N898">
        <f t="shared" si="167"/>
        <v>208.16405359786904</v>
      </c>
      <c r="O898" s="5">
        <f t="shared" si="158"/>
        <v>1.0892865636675034E-4</v>
      </c>
      <c r="P898">
        <f t="shared" si="166"/>
        <v>10000</v>
      </c>
      <c r="Q898">
        <f t="shared" si="159"/>
        <v>1.0892865636675033</v>
      </c>
    </row>
    <row r="899" spans="1:17" x14ac:dyDescent="0.15">
      <c r="A899" s="10">
        <v>45898.559027777985</v>
      </c>
      <c r="B899">
        <f>COUNT(A899:$A$1158)/(48*252)</f>
        <v>2.1494708994708994E-2</v>
      </c>
      <c r="C899">
        <v>2.3460000000000001</v>
      </c>
      <c r="D899">
        <v>0.13500000000000001</v>
      </c>
      <c r="E899">
        <f t="shared" si="156"/>
        <v>2.8639549940176803</v>
      </c>
      <c r="F899">
        <f t="shared" si="157"/>
        <v>-2.0919372648363632E-3</v>
      </c>
      <c r="G899">
        <f t="shared" si="160"/>
        <v>-8.999999999999897E-3</v>
      </c>
      <c r="H899">
        <f>IF(MOD(COUNTA($C$7:C899)-1,$J$2),H898,ROUND(F899*P899,-2))</f>
        <v>0</v>
      </c>
      <c r="I899">
        <f t="shared" si="161"/>
        <v>0</v>
      </c>
      <c r="J899">
        <f t="shared" si="162"/>
        <v>0</v>
      </c>
      <c r="K899">
        <f t="shared" si="163"/>
        <v>208.16405359786904</v>
      </c>
      <c r="L899">
        <f t="shared" si="164"/>
        <v>208.16405359786904</v>
      </c>
      <c r="M899">
        <f t="shared" si="165"/>
        <v>0</v>
      </c>
      <c r="N899">
        <f t="shared" si="167"/>
        <v>208.16405359786904</v>
      </c>
      <c r="O899" s="5">
        <f t="shared" si="158"/>
        <v>1.2424486502289785E-4</v>
      </c>
      <c r="P899">
        <f t="shared" si="166"/>
        <v>10000</v>
      </c>
      <c r="Q899">
        <f t="shared" si="159"/>
        <v>1.2424486502289784</v>
      </c>
    </row>
    <row r="900" spans="1:17" x14ac:dyDescent="0.15">
      <c r="A900" s="10">
        <v>45898.5625</v>
      </c>
      <c r="B900">
        <f>COUNT(A900:$A$1158)/(48*252)</f>
        <v>2.1412037037037038E-2</v>
      </c>
      <c r="C900">
        <v>2.3479999999999999</v>
      </c>
      <c r="D900">
        <v>0.13800000000000001</v>
      </c>
      <c r="E900">
        <f t="shared" si="156"/>
        <v>2.8794018843453748</v>
      </c>
      <c r="F900">
        <f t="shared" si="157"/>
        <v>-1.9921512572260713E-3</v>
      </c>
      <c r="G900">
        <f t="shared" si="160"/>
        <v>1.9999999999997797E-3</v>
      </c>
      <c r="H900">
        <f>IF(MOD(COUNTA($C$7:C900)-1,$J$2),H899,ROUND(F900*P900,-2))</f>
        <v>0</v>
      </c>
      <c r="I900">
        <f t="shared" si="161"/>
        <v>0</v>
      </c>
      <c r="J900">
        <f t="shared" si="162"/>
        <v>0</v>
      </c>
      <c r="K900">
        <f t="shared" si="163"/>
        <v>208.16405359786904</v>
      </c>
      <c r="L900">
        <f t="shared" si="164"/>
        <v>208.16405359786904</v>
      </c>
      <c r="M900">
        <f t="shared" si="165"/>
        <v>0</v>
      </c>
      <c r="N900">
        <f t="shared" si="167"/>
        <v>208.16405359786904</v>
      </c>
      <c r="O900" s="5">
        <f t="shared" si="158"/>
        <v>1.1771026943723385E-4</v>
      </c>
      <c r="P900">
        <f t="shared" si="166"/>
        <v>10000</v>
      </c>
      <c r="Q900">
        <f t="shared" si="159"/>
        <v>1.1771026943723384</v>
      </c>
    </row>
    <row r="901" spans="1:17" x14ac:dyDescent="0.15">
      <c r="A901" s="10">
        <v>45898.565972222015</v>
      </c>
      <c r="B901">
        <f>COUNT(A901:$A$1158)/(48*252)</f>
        <v>2.132936507936508E-2</v>
      </c>
      <c r="C901">
        <v>2.3319999999999999</v>
      </c>
      <c r="D901">
        <v>0.13</v>
      </c>
      <c r="E901">
        <f t="shared" si="156"/>
        <v>2.8034614029333822</v>
      </c>
      <c r="F901">
        <f t="shared" si="157"/>
        <v>-2.5278641619858044E-3</v>
      </c>
      <c r="G901">
        <f t="shared" si="160"/>
        <v>-1.6000000000000014E-2</v>
      </c>
      <c r="H901">
        <f>IF(MOD(COUNTA($C$7:C901)-1,$J$2),H900,ROUND(F901*P901,-2))</f>
        <v>0</v>
      </c>
      <c r="I901">
        <f t="shared" si="161"/>
        <v>0</v>
      </c>
      <c r="J901">
        <f t="shared" si="162"/>
        <v>0</v>
      </c>
      <c r="K901">
        <f t="shared" si="163"/>
        <v>208.16405359786904</v>
      </c>
      <c r="L901">
        <f t="shared" si="164"/>
        <v>208.16405359786904</v>
      </c>
      <c r="M901">
        <f t="shared" si="165"/>
        <v>0</v>
      </c>
      <c r="N901">
        <f t="shared" si="167"/>
        <v>208.16405359786904</v>
      </c>
      <c r="O901" s="5">
        <f t="shared" si="158"/>
        <v>1.5103550505447556E-4</v>
      </c>
      <c r="P901">
        <f t="shared" si="166"/>
        <v>10000</v>
      </c>
      <c r="Q901">
        <f t="shared" si="159"/>
        <v>1.5103550505447556</v>
      </c>
    </row>
    <row r="902" spans="1:17" x14ac:dyDescent="0.15">
      <c r="A902" s="10">
        <v>45898.569444444962</v>
      </c>
      <c r="B902">
        <f>COUNT(A902:$A$1158)/(48*252)</f>
        <v>2.1246693121693121E-2</v>
      </c>
      <c r="C902">
        <v>2.3330000000000002</v>
      </c>
      <c r="D902">
        <v>0.128</v>
      </c>
      <c r="E902">
        <f t="shared" si="156"/>
        <v>2.8138264088291685</v>
      </c>
      <c r="F902">
        <f t="shared" si="157"/>
        <v>-2.4477828434091853E-3</v>
      </c>
      <c r="G902">
        <f t="shared" si="160"/>
        <v>1.000000000000334E-3</v>
      </c>
      <c r="H902">
        <f>IF(MOD(COUNTA($C$7:C902)-1,$J$2),H901,ROUND(F902*P902,-2))</f>
        <v>0</v>
      </c>
      <c r="I902">
        <f t="shared" si="161"/>
        <v>0</v>
      </c>
      <c r="J902">
        <f t="shared" si="162"/>
        <v>0</v>
      </c>
      <c r="K902">
        <f t="shared" si="163"/>
        <v>208.16405359786904</v>
      </c>
      <c r="L902">
        <f t="shared" si="164"/>
        <v>208.16405359786904</v>
      </c>
      <c r="M902">
        <f t="shared" si="165"/>
        <v>0</v>
      </c>
      <c r="N902">
        <f t="shared" si="167"/>
        <v>208.16405359786904</v>
      </c>
      <c r="O902" s="5">
        <f t="shared" si="158"/>
        <v>1.4562325804004083E-4</v>
      </c>
      <c r="P902">
        <f t="shared" si="166"/>
        <v>10000</v>
      </c>
      <c r="Q902">
        <f t="shared" si="159"/>
        <v>1.4562325804004084</v>
      </c>
    </row>
    <row r="903" spans="1:17" x14ac:dyDescent="0.15">
      <c r="A903" s="10">
        <v>45898.572916666977</v>
      </c>
      <c r="B903">
        <f>COUNT(A903:$A$1158)/(48*252)</f>
        <v>2.1164021164021163E-2</v>
      </c>
      <c r="C903">
        <v>2.331</v>
      </c>
      <c r="D903">
        <v>0.129</v>
      </c>
      <c r="E903">
        <f t="shared" si="156"/>
        <v>2.8088836531790222</v>
      </c>
      <c r="F903">
        <f t="shared" si="157"/>
        <v>-2.4856804597913618E-3</v>
      </c>
      <c r="G903">
        <f t="shared" si="160"/>
        <v>-2.0000000000002238E-3</v>
      </c>
      <c r="H903">
        <f>IF(MOD(COUNTA($C$7:C903)-1,$J$2),H902,ROUND(F903*P903,-2))</f>
        <v>0</v>
      </c>
      <c r="I903">
        <f t="shared" si="161"/>
        <v>0</v>
      </c>
      <c r="J903">
        <f t="shared" si="162"/>
        <v>0</v>
      </c>
      <c r="K903">
        <f t="shared" si="163"/>
        <v>208.16405359786904</v>
      </c>
      <c r="L903">
        <f t="shared" si="164"/>
        <v>208.16405359786904</v>
      </c>
      <c r="M903">
        <f t="shared" si="165"/>
        <v>0</v>
      </c>
      <c r="N903">
        <f t="shared" si="167"/>
        <v>208.16405359786904</v>
      </c>
      <c r="O903" s="5">
        <f t="shared" si="158"/>
        <v>1.4764924457169419E-4</v>
      </c>
      <c r="P903">
        <f t="shared" si="166"/>
        <v>10000</v>
      </c>
      <c r="Q903">
        <f t="shared" si="159"/>
        <v>1.4764924457169419</v>
      </c>
    </row>
    <row r="904" spans="1:17" x14ac:dyDescent="0.15">
      <c r="A904" s="10">
        <v>45898.576388888992</v>
      </c>
      <c r="B904">
        <f>COUNT(A904:$A$1158)/(48*252)</f>
        <v>2.1081349206349208E-2</v>
      </c>
      <c r="C904">
        <v>2.319</v>
      </c>
      <c r="D904">
        <v>0.121</v>
      </c>
      <c r="E904">
        <f t="shared" ref="E904:E967" si="168">(LN(C904/$B$2)+($B$1+0.5*$D$1*$D$1)*B904)/($D$1*SQRT(B904))</f>
        <v>2.7524467183399919</v>
      </c>
      <c r="F904">
        <f t="shared" ref="F904:F967" si="169">NORMSDIST(E904)-1</f>
        <v>-2.9575885556190062E-3</v>
      </c>
      <c r="G904">
        <f t="shared" si="160"/>
        <v>-1.2000000000000011E-2</v>
      </c>
      <c r="H904">
        <f>IF(MOD(COUNTA($C$7:C904)-1,$J$2),H903,ROUND(F904*P904,-2))</f>
        <v>0</v>
      </c>
      <c r="I904">
        <f t="shared" si="161"/>
        <v>0</v>
      </c>
      <c r="J904">
        <f t="shared" si="162"/>
        <v>0</v>
      </c>
      <c r="K904">
        <f t="shared" si="163"/>
        <v>208.16405359786904</v>
      </c>
      <c r="L904">
        <f t="shared" si="164"/>
        <v>208.16405359786904</v>
      </c>
      <c r="M904">
        <f t="shared" si="165"/>
        <v>0</v>
      </c>
      <c r="N904">
        <f t="shared" si="167"/>
        <v>208.16405359786904</v>
      </c>
      <c r="O904" s="5">
        <f t="shared" ref="O904:O967" si="170">put_bs($B$1,$J$1,C904,$B$2,B904)</f>
        <v>1.7706372251374489E-4</v>
      </c>
      <c r="P904">
        <f t="shared" si="166"/>
        <v>10000</v>
      </c>
      <c r="Q904">
        <f t="shared" ref="Q904:Q967" si="171">P904*O904</f>
        <v>1.7706372251374489</v>
      </c>
    </row>
    <row r="905" spans="1:17" x14ac:dyDescent="0.15">
      <c r="A905" s="10">
        <v>45898.579861111008</v>
      </c>
      <c r="B905">
        <f>COUNT(A905:$A$1158)/(48*252)</f>
        <v>2.0998677248677249E-2</v>
      </c>
      <c r="C905">
        <v>2.3050000000000002</v>
      </c>
      <c r="D905">
        <v>0.113</v>
      </c>
      <c r="E905">
        <f t="shared" si="168"/>
        <v>2.6850815535123584</v>
      </c>
      <c r="F905">
        <f t="shared" si="169"/>
        <v>-3.6256055168171208E-3</v>
      </c>
      <c r="G905">
        <f t="shared" ref="G905:G968" si="172">C905-C904</f>
        <v>-1.399999999999979E-2</v>
      </c>
      <c r="H905">
        <f>IF(MOD(COUNTA($C$7:C905)-1,$J$2),H904,ROUND(F905*P905,-2))</f>
        <v>0</v>
      </c>
      <c r="I905">
        <f t="shared" ref="I905:I968" si="173">H905-H904</f>
        <v>0</v>
      </c>
      <c r="J905">
        <f t="shared" ref="J905:J968" si="174">J904</f>
        <v>0</v>
      </c>
      <c r="K905">
        <f t="shared" ref="K905:K968" si="175">K904-I905*C905-ABS(I905*C905*$F$2)</f>
        <v>208.16405359786904</v>
      </c>
      <c r="L905">
        <f t="shared" ref="L905:L968" si="176">K905+H905*C905</f>
        <v>208.16405359786904</v>
      </c>
      <c r="M905">
        <f t="shared" ref="M905:M968" si="177">L905-L904</f>
        <v>0</v>
      </c>
      <c r="N905">
        <f t="shared" si="167"/>
        <v>208.16405359786904</v>
      </c>
      <c r="O905" s="5">
        <f t="shared" si="170"/>
        <v>2.1925415677099581E-4</v>
      </c>
      <c r="P905">
        <f t="shared" ref="P905:P968" si="178">P904</f>
        <v>10000</v>
      </c>
      <c r="Q905">
        <f t="shared" si="171"/>
        <v>2.192541567709958</v>
      </c>
    </row>
    <row r="906" spans="1:17" x14ac:dyDescent="0.15">
      <c r="A906" s="10">
        <v>45898.583333333023</v>
      </c>
      <c r="B906">
        <f>COUNT(A906:$A$1158)/(48*252)</f>
        <v>2.0916005291005291E-2</v>
      </c>
      <c r="C906">
        <v>2.3050000000000002</v>
      </c>
      <c r="D906">
        <v>0.115</v>
      </c>
      <c r="E906">
        <f t="shared" si="168"/>
        <v>2.6901884698004404</v>
      </c>
      <c r="F906">
        <f t="shared" si="169"/>
        <v>-3.5705837819460795E-3</v>
      </c>
      <c r="G906">
        <f t="shared" si="172"/>
        <v>0</v>
      </c>
      <c r="H906">
        <f>IF(MOD(COUNTA($C$7:C906)-1,$J$2),H905,ROUND(F906*P906,-2))</f>
        <v>0</v>
      </c>
      <c r="I906">
        <f t="shared" si="173"/>
        <v>0</v>
      </c>
      <c r="J906">
        <f t="shared" si="174"/>
        <v>0</v>
      </c>
      <c r="K906">
        <f t="shared" si="175"/>
        <v>208.16405359786904</v>
      </c>
      <c r="L906">
        <f t="shared" si="176"/>
        <v>208.16405359786904</v>
      </c>
      <c r="M906">
        <f t="shared" si="177"/>
        <v>0</v>
      </c>
      <c r="N906">
        <f t="shared" ref="N906:N969" si="179">L906-$F$1</f>
        <v>208.16405359786904</v>
      </c>
      <c r="O906" s="5">
        <f t="shared" si="170"/>
        <v>2.1519288946265057E-4</v>
      </c>
      <c r="P906">
        <f t="shared" si="178"/>
        <v>10000</v>
      </c>
      <c r="Q906">
        <f t="shared" si="171"/>
        <v>2.1519288946265056</v>
      </c>
    </row>
    <row r="907" spans="1:17" x14ac:dyDescent="0.15">
      <c r="A907" s="10">
        <v>45898.586805555969</v>
      </c>
      <c r="B907">
        <f>COUNT(A907:$A$1158)/(48*252)</f>
        <v>2.0833333333333332E-2</v>
      </c>
      <c r="C907">
        <v>2.3149999999999999</v>
      </c>
      <c r="D907">
        <v>0.11899999999999999</v>
      </c>
      <c r="E907">
        <f t="shared" si="168"/>
        <v>2.747422238065603</v>
      </c>
      <c r="F907">
        <f t="shared" si="169"/>
        <v>-3.0032875298450223E-3</v>
      </c>
      <c r="G907">
        <f t="shared" si="172"/>
        <v>9.9999999999997868E-3</v>
      </c>
      <c r="H907">
        <f>IF(MOD(COUNTA($C$7:C907)-1,$J$2),H906,ROUND(F907*P907,-2))</f>
        <v>0</v>
      </c>
      <c r="I907">
        <f t="shared" si="173"/>
        <v>0</v>
      </c>
      <c r="J907">
        <f t="shared" si="174"/>
        <v>0</v>
      </c>
      <c r="K907">
        <f t="shared" si="175"/>
        <v>208.16405359786904</v>
      </c>
      <c r="L907">
        <f t="shared" si="176"/>
        <v>208.16405359786904</v>
      </c>
      <c r="M907">
        <f t="shared" si="177"/>
        <v>0</v>
      </c>
      <c r="N907">
        <f t="shared" si="179"/>
        <v>208.16405359786904</v>
      </c>
      <c r="O907" s="5">
        <f t="shared" si="170"/>
        <v>1.7864521893896056E-4</v>
      </c>
      <c r="P907">
        <f t="shared" si="178"/>
        <v>10000</v>
      </c>
      <c r="Q907">
        <f t="shared" si="171"/>
        <v>1.7864521893896055</v>
      </c>
    </row>
    <row r="908" spans="1:17" x14ac:dyDescent="0.15">
      <c r="A908" s="10">
        <v>45898.590277777985</v>
      </c>
      <c r="B908">
        <f>COUNT(A908:$A$1158)/(48*252)</f>
        <v>2.0750661375661377E-2</v>
      </c>
      <c r="C908">
        <v>2.3109999999999999</v>
      </c>
      <c r="D908">
        <v>0.11600000000000001</v>
      </c>
      <c r="E908">
        <f t="shared" si="168"/>
        <v>2.7318418419102395</v>
      </c>
      <c r="F908">
        <f t="shared" si="169"/>
        <v>-3.1490683344149728E-3</v>
      </c>
      <c r="G908">
        <f t="shared" si="172"/>
        <v>-4.0000000000000036E-3</v>
      </c>
      <c r="H908">
        <f>IF(MOD(COUNTA($C$7:C908)-1,$J$2),H907,ROUND(F908*P908,-2))</f>
        <v>0</v>
      </c>
      <c r="I908">
        <f t="shared" si="173"/>
        <v>0</v>
      </c>
      <c r="J908">
        <f t="shared" si="174"/>
        <v>0</v>
      </c>
      <c r="K908">
        <f t="shared" si="175"/>
        <v>208.16405359786904</v>
      </c>
      <c r="L908">
        <f t="shared" si="176"/>
        <v>208.16405359786904</v>
      </c>
      <c r="M908">
        <f t="shared" si="177"/>
        <v>0</v>
      </c>
      <c r="N908">
        <f t="shared" si="179"/>
        <v>208.16405359786904</v>
      </c>
      <c r="O908" s="5">
        <f t="shared" si="170"/>
        <v>1.8739399350031077E-4</v>
      </c>
      <c r="P908">
        <f t="shared" si="178"/>
        <v>10000</v>
      </c>
      <c r="Q908">
        <f t="shared" si="171"/>
        <v>1.8739399350031078</v>
      </c>
    </row>
    <row r="909" spans="1:17" x14ac:dyDescent="0.15">
      <c r="A909" s="10">
        <v>45898.59375</v>
      </c>
      <c r="B909">
        <f>COUNT(A909:$A$1158)/(48*252)</f>
        <v>2.0667989417989419E-2</v>
      </c>
      <c r="C909">
        <v>2.3119999999999998</v>
      </c>
      <c r="D909">
        <v>0.11799999999999999</v>
      </c>
      <c r="E909">
        <f t="shared" si="168"/>
        <v>2.7423315790395217</v>
      </c>
      <c r="F909">
        <f t="shared" si="169"/>
        <v>-3.0502362749393885E-3</v>
      </c>
      <c r="G909">
        <f t="shared" si="172"/>
        <v>9.9999999999988987E-4</v>
      </c>
      <c r="H909">
        <f>IF(MOD(COUNTA($C$7:C909)-1,$J$2),H908,ROUND(F909*P909,-2))</f>
        <v>0</v>
      </c>
      <c r="I909">
        <f t="shared" si="173"/>
        <v>0</v>
      </c>
      <c r="J909">
        <f t="shared" si="174"/>
        <v>0</v>
      </c>
      <c r="K909">
        <f t="shared" si="175"/>
        <v>208.16405359786904</v>
      </c>
      <c r="L909">
        <f t="shared" si="176"/>
        <v>208.16405359786904</v>
      </c>
      <c r="M909">
        <f t="shared" si="177"/>
        <v>0</v>
      </c>
      <c r="N909">
        <f t="shared" si="179"/>
        <v>208.16405359786904</v>
      </c>
      <c r="O909" s="5">
        <f t="shared" si="170"/>
        <v>1.8071129795029211E-4</v>
      </c>
      <c r="P909">
        <f t="shared" si="178"/>
        <v>10000</v>
      </c>
      <c r="Q909">
        <f t="shared" si="171"/>
        <v>1.807112979502921</v>
      </c>
    </row>
    <row r="910" spans="1:17" x14ac:dyDescent="0.15">
      <c r="A910" s="10">
        <v>45898.597222222015</v>
      </c>
      <c r="B910">
        <f>COUNT(A910:$A$1158)/(48*252)</f>
        <v>2.058531746031746E-2</v>
      </c>
      <c r="C910">
        <v>2.306</v>
      </c>
      <c r="D910">
        <v>0.114</v>
      </c>
      <c r="E910">
        <f t="shared" si="168"/>
        <v>2.7161778790532884</v>
      </c>
      <c r="F910">
        <f t="shared" si="169"/>
        <v>-3.3020212655885395E-3</v>
      </c>
      <c r="G910">
        <f t="shared" si="172"/>
        <v>-5.9999999999997833E-3</v>
      </c>
      <c r="H910">
        <f>IF(MOD(COUNTA($C$7:C910)-1,$J$2),H909,ROUND(F910*P910,-2))</f>
        <v>0</v>
      </c>
      <c r="I910">
        <f t="shared" si="173"/>
        <v>0</v>
      </c>
      <c r="J910">
        <f t="shared" si="174"/>
        <v>0</v>
      </c>
      <c r="K910">
        <f t="shared" si="175"/>
        <v>208.16405359786904</v>
      </c>
      <c r="L910">
        <f t="shared" si="176"/>
        <v>208.16405359786904</v>
      </c>
      <c r="M910">
        <f t="shared" si="177"/>
        <v>0</v>
      </c>
      <c r="N910">
        <f t="shared" si="179"/>
        <v>208.16405359786904</v>
      </c>
      <c r="O910" s="5">
        <f t="shared" si="170"/>
        <v>1.960937335877648E-4</v>
      </c>
      <c r="P910">
        <f t="shared" si="178"/>
        <v>10000</v>
      </c>
      <c r="Q910">
        <f t="shared" si="171"/>
        <v>1.9609373358776481</v>
      </c>
    </row>
    <row r="911" spans="1:17" x14ac:dyDescent="0.15">
      <c r="A911" s="10">
        <v>45898.600694444962</v>
      </c>
      <c r="B911">
        <f>COUNT(A911:$A$1158)/(48*252)</f>
        <v>2.0502645502645502E-2</v>
      </c>
      <c r="C911">
        <v>2.3039999999999998</v>
      </c>
      <c r="D911">
        <v>0.112</v>
      </c>
      <c r="E911">
        <f t="shared" si="168"/>
        <v>2.7109265732114647</v>
      </c>
      <c r="F911">
        <f t="shared" si="169"/>
        <v>-3.3547741257943242E-3</v>
      </c>
      <c r="G911">
        <f t="shared" si="172"/>
        <v>-2.0000000000002238E-3</v>
      </c>
      <c r="H911">
        <f>IF(MOD(COUNTA($C$7:C911)-1,$J$2),H910,ROUND(F911*P911,-2))</f>
        <v>0</v>
      </c>
      <c r="I911">
        <f t="shared" si="173"/>
        <v>0</v>
      </c>
      <c r="J911">
        <f t="shared" si="174"/>
        <v>0</v>
      </c>
      <c r="K911">
        <f t="shared" si="175"/>
        <v>208.16405359786904</v>
      </c>
      <c r="L911">
        <f t="shared" si="176"/>
        <v>208.16405359786904</v>
      </c>
      <c r="M911">
        <f t="shared" si="177"/>
        <v>0</v>
      </c>
      <c r="N911">
        <f t="shared" si="179"/>
        <v>208.16405359786904</v>
      </c>
      <c r="O911" s="5">
        <f t="shared" si="170"/>
        <v>1.9892540039834119E-4</v>
      </c>
      <c r="P911">
        <f t="shared" si="178"/>
        <v>10000</v>
      </c>
      <c r="Q911">
        <f t="shared" si="171"/>
        <v>1.9892540039834119</v>
      </c>
    </row>
    <row r="912" spans="1:17" x14ac:dyDescent="0.15">
      <c r="A912" s="10">
        <v>45898.604166666977</v>
      </c>
      <c r="B912">
        <f>COUNT(A912:$A$1158)/(48*252)</f>
        <v>2.0419973544973546E-2</v>
      </c>
      <c r="C912">
        <v>2.3039999999999998</v>
      </c>
      <c r="D912">
        <v>0.11</v>
      </c>
      <c r="E912">
        <f t="shared" si="168"/>
        <v>2.7162120537215104</v>
      </c>
      <c r="F912">
        <f t="shared" si="169"/>
        <v>-3.3016804151199119E-3</v>
      </c>
      <c r="G912">
        <f t="shared" si="172"/>
        <v>0</v>
      </c>
      <c r="H912">
        <f>IF(MOD(COUNTA($C$7:C912)-1,$J$2),H911,ROUND(F912*P912,-2))</f>
        <v>0</v>
      </c>
      <c r="I912">
        <f t="shared" si="173"/>
        <v>0</v>
      </c>
      <c r="J912">
        <f t="shared" si="174"/>
        <v>0</v>
      </c>
      <c r="K912">
        <f t="shared" si="175"/>
        <v>208.16405359786904</v>
      </c>
      <c r="L912">
        <f t="shared" si="176"/>
        <v>208.16405359786904</v>
      </c>
      <c r="M912">
        <f t="shared" si="177"/>
        <v>0</v>
      </c>
      <c r="N912">
        <f t="shared" si="179"/>
        <v>208.16405359786904</v>
      </c>
      <c r="O912" s="5">
        <f t="shared" si="170"/>
        <v>1.9509447871382188E-4</v>
      </c>
      <c r="P912">
        <f t="shared" si="178"/>
        <v>10000</v>
      </c>
      <c r="Q912">
        <f t="shared" si="171"/>
        <v>1.9509447871382188</v>
      </c>
    </row>
    <row r="913" spans="1:17" x14ac:dyDescent="0.15">
      <c r="A913" s="10">
        <v>45898.607638888992</v>
      </c>
      <c r="B913">
        <f>COUNT(A913:$A$1158)/(48*252)</f>
        <v>2.0337301587301588E-2</v>
      </c>
      <c r="C913">
        <v>2.2749999999999999</v>
      </c>
      <c r="D913">
        <v>9.1999999999999998E-2</v>
      </c>
      <c r="E913">
        <f t="shared" si="168"/>
        <v>2.5672491542087506</v>
      </c>
      <c r="F913">
        <f t="shared" si="169"/>
        <v>-5.125446362759245E-3</v>
      </c>
      <c r="G913">
        <f t="shared" si="172"/>
        <v>-2.8999999999999915E-2</v>
      </c>
      <c r="H913">
        <f>IF(MOD(COUNTA($C$7:C913)-1,$J$2),H912,ROUND(F913*P913,-2))</f>
        <v>-100</v>
      </c>
      <c r="I913">
        <f t="shared" si="173"/>
        <v>-100</v>
      </c>
      <c r="J913">
        <f t="shared" si="174"/>
        <v>0</v>
      </c>
      <c r="K913">
        <f t="shared" si="175"/>
        <v>435.65381609786903</v>
      </c>
      <c r="L913">
        <f t="shared" si="176"/>
        <v>208.15381609786903</v>
      </c>
      <c r="M913">
        <f t="shared" si="177"/>
        <v>-1.0237500000016553E-2</v>
      </c>
      <c r="N913">
        <f t="shared" si="179"/>
        <v>208.15381609786903</v>
      </c>
      <c r="O913" s="5">
        <f t="shared" si="170"/>
        <v>3.1083962373158747E-4</v>
      </c>
      <c r="P913">
        <f t="shared" si="178"/>
        <v>10000</v>
      </c>
      <c r="Q913">
        <f t="shared" si="171"/>
        <v>3.1083962373158744</v>
      </c>
    </row>
    <row r="914" spans="1:17" x14ac:dyDescent="0.15">
      <c r="A914" s="10">
        <v>45898.611111111008</v>
      </c>
      <c r="B914">
        <f>COUNT(A914:$A$1158)/(48*252)</f>
        <v>2.0254629629629629E-2</v>
      </c>
      <c r="C914">
        <v>2.2930000000000001</v>
      </c>
      <c r="D914">
        <v>9.9000000000000005E-2</v>
      </c>
      <c r="E914">
        <f t="shared" si="168"/>
        <v>2.6684717347108187</v>
      </c>
      <c r="F914">
        <f t="shared" si="169"/>
        <v>-3.8098594774519379E-3</v>
      </c>
      <c r="G914">
        <f t="shared" si="172"/>
        <v>1.8000000000000238E-2</v>
      </c>
      <c r="H914">
        <f>IF(MOD(COUNTA($C$7:C914)-1,$J$2),H913,ROUND(F914*P914,-2))</f>
        <v>-100</v>
      </c>
      <c r="I914">
        <f t="shared" si="173"/>
        <v>0</v>
      </c>
      <c r="J914">
        <f t="shared" si="174"/>
        <v>0</v>
      </c>
      <c r="K914">
        <f t="shared" si="175"/>
        <v>435.65381609786903</v>
      </c>
      <c r="L914">
        <f t="shared" si="176"/>
        <v>206.35381609786901</v>
      </c>
      <c r="M914">
        <f t="shared" si="177"/>
        <v>-1.8000000000000114</v>
      </c>
      <c r="N914">
        <f t="shared" si="179"/>
        <v>206.35381609786901</v>
      </c>
      <c r="O914" s="5">
        <f t="shared" si="170"/>
        <v>2.2601906640040692E-4</v>
      </c>
      <c r="P914">
        <f t="shared" si="178"/>
        <v>10000</v>
      </c>
      <c r="Q914">
        <f t="shared" si="171"/>
        <v>2.2601906640040692</v>
      </c>
    </row>
    <row r="915" spans="1:17" x14ac:dyDescent="0.15">
      <c r="A915" s="10">
        <v>45898.614583333023</v>
      </c>
      <c r="B915">
        <f>COUNT(A915:$A$1158)/(48*252)</f>
        <v>2.0171957671957671E-2</v>
      </c>
      <c r="C915">
        <v>2.2879999999999998</v>
      </c>
      <c r="D915">
        <v>9.8000000000000004E-2</v>
      </c>
      <c r="E915">
        <f t="shared" si="168"/>
        <v>2.6470394802842692</v>
      </c>
      <c r="F915">
        <f t="shared" si="169"/>
        <v>-4.0599936247136537E-3</v>
      </c>
      <c r="G915">
        <f t="shared" si="172"/>
        <v>-5.0000000000003375E-3</v>
      </c>
      <c r="H915">
        <f>IF(MOD(COUNTA($C$7:C915)-1,$J$2),H914,ROUND(F915*P915,-2))</f>
        <v>0</v>
      </c>
      <c r="I915">
        <f t="shared" si="173"/>
        <v>100</v>
      </c>
      <c r="J915">
        <f t="shared" si="174"/>
        <v>0</v>
      </c>
      <c r="K915">
        <f t="shared" si="175"/>
        <v>206.84352009786903</v>
      </c>
      <c r="L915">
        <f t="shared" si="176"/>
        <v>206.84352009786903</v>
      </c>
      <c r="M915">
        <f t="shared" si="177"/>
        <v>0.48970400000001746</v>
      </c>
      <c r="N915">
        <f t="shared" si="179"/>
        <v>206.84352009786903</v>
      </c>
      <c r="O915" s="5">
        <f t="shared" si="170"/>
        <v>2.4123561986057196E-4</v>
      </c>
      <c r="P915">
        <f t="shared" si="178"/>
        <v>10000</v>
      </c>
      <c r="Q915">
        <f t="shared" si="171"/>
        <v>2.4123561986057194</v>
      </c>
    </row>
    <row r="916" spans="1:17" x14ac:dyDescent="0.15">
      <c r="A916" s="10">
        <v>45898.618055555969</v>
      </c>
      <c r="B916">
        <f>COUNT(A916:$A$1158)/(48*252)</f>
        <v>2.0089285714285716E-2</v>
      </c>
      <c r="C916">
        <v>2.3130000000000002</v>
      </c>
      <c r="D916">
        <v>0.11600000000000001</v>
      </c>
      <c r="E916">
        <f t="shared" si="168"/>
        <v>2.7854611563490477</v>
      </c>
      <c r="F916">
        <f t="shared" si="169"/>
        <v>-2.6725821881389278E-3</v>
      </c>
      <c r="G916">
        <f t="shared" si="172"/>
        <v>2.5000000000000355E-2</v>
      </c>
      <c r="H916">
        <f>IF(MOD(COUNTA($C$7:C916)-1,$J$2),H915,ROUND(F916*P916,-2))</f>
        <v>0</v>
      </c>
      <c r="I916">
        <f t="shared" si="173"/>
        <v>0</v>
      </c>
      <c r="J916">
        <f t="shared" si="174"/>
        <v>0</v>
      </c>
      <c r="K916">
        <f t="shared" si="175"/>
        <v>206.84352009786903</v>
      </c>
      <c r="L916">
        <f t="shared" si="176"/>
        <v>206.84352009786903</v>
      </c>
      <c r="M916">
        <f t="shared" si="177"/>
        <v>0</v>
      </c>
      <c r="N916">
        <f t="shared" si="179"/>
        <v>206.84352009786903</v>
      </c>
      <c r="O916" s="5">
        <f t="shared" si="170"/>
        <v>1.5433426429341517E-4</v>
      </c>
      <c r="P916">
        <f t="shared" si="178"/>
        <v>10000</v>
      </c>
      <c r="Q916">
        <f t="shared" si="171"/>
        <v>1.5433426429341517</v>
      </c>
    </row>
    <row r="917" spans="1:17" x14ac:dyDescent="0.15">
      <c r="A917" s="10">
        <v>45898.621527777985</v>
      </c>
      <c r="B917">
        <f>COUNT(A917:$A$1158)/(48*252)</f>
        <v>2.0006613756613757E-2</v>
      </c>
      <c r="C917">
        <v>2.3069999999999999</v>
      </c>
      <c r="D917">
        <v>0.107</v>
      </c>
      <c r="E917">
        <f t="shared" si="168"/>
        <v>2.7591146955455765</v>
      </c>
      <c r="F917">
        <f t="shared" si="169"/>
        <v>-2.8979094567582742E-3</v>
      </c>
      <c r="G917">
        <f t="shared" si="172"/>
        <v>-6.0000000000002274E-3</v>
      </c>
      <c r="H917">
        <f>IF(MOD(COUNTA($C$7:C917)-1,$J$2),H916,ROUND(F917*P917,-2))</f>
        <v>0</v>
      </c>
      <c r="I917">
        <f t="shared" si="173"/>
        <v>0</v>
      </c>
      <c r="J917">
        <f t="shared" si="174"/>
        <v>0</v>
      </c>
      <c r="K917">
        <f t="shared" si="175"/>
        <v>206.84352009786903</v>
      </c>
      <c r="L917">
        <f t="shared" si="176"/>
        <v>206.84352009786903</v>
      </c>
      <c r="M917">
        <f t="shared" si="177"/>
        <v>0</v>
      </c>
      <c r="N917">
        <f t="shared" si="179"/>
        <v>206.84352009786903</v>
      </c>
      <c r="O917" s="5">
        <f t="shared" si="170"/>
        <v>1.6773275935394547E-4</v>
      </c>
      <c r="P917">
        <f t="shared" si="178"/>
        <v>10000</v>
      </c>
      <c r="Q917">
        <f t="shared" si="171"/>
        <v>1.6773275935394547</v>
      </c>
    </row>
    <row r="918" spans="1:17" x14ac:dyDescent="0.15">
      <c r="A918" s="10">
        <v>45898.625</v>
      </c>
      <c r="B918">
        <f>COUNT(A918:$A$1158)/(48*252)</f>
        <v>1.9923941798941799E-2</v>
      </c>
      <c r="C918">
        <v>2.3199999999999998</v>
      </c>
      <c r="D918">
        <v>0.11</v>
      </c>
      <c r="E918">
        <f t="shared" si="168"/>
        <v>2.8337825350873831</v>
      </c>
      <c r="F918">
        <f t="shared" si="169"/>
        <v>-2.300031198199104E-3</v>
      </c>
      <c r="G918">
        <f t="shared" si="172"/>
        <v>1.2999999999999901E-2</v>
      </c>
      <c r="H918">
        <f>IF(MOD(COUNTA($C$7:C918)-1,$J$2),H917,ROUND(F918*P918,-2))</f>
        <v>0</v>
      </c>
      <c r="I918">
        <f t="shared" si="173"/>
        <v>0</v>
      </c>
      <c r="J918">
        <f t="shared" si="174"/>
        <v>0</v>
      </c>
      <c r="K918">
        <f t="shared" si="175"/>
        <v>206.84352009786903</v>
      </c>
      <c r="L918">
        <f t="shared" si="176"/>
        <v>206.84352009786903</v>
      </c>
      <c r="M918">
        <f t="shared" si="177"/>
        <v>0</v>
      </c>
      <c r="N918">
        <f t="shared" si="179"/>
        <v>206.84352009786903</v>
      </c>
      <c r="O918" s="5">
        <f t="shared" si="170"/>
        <v>1.3097760738702002E-4</v>
      </c>
      <c r="P918">
        <f t="shared" si="178"/>
        <v>10000</v>
      </c>
      <c r="Q918">
        <f t="shared" si="171"/>
        <v>1.3097760738702002</v>
      </c>
    </row>
    <row r="919" spans="1:17" x14ac:dyDescent="0.15">
      <c r="A919" s="10">
        <v>45899.399305555969</v>
      </c>
      <c r="B919">
        <f>COUNT(A919:$A$1158)/(48*252)</f>
        <v>1.984126984126984E-2</v>
      </c>
      <c r="C919">
        <v>2.31</v>
      </c>
      <c r="D919">
        <v>0.11600000000000001</v>
      </c>
      <c r="E919">
        <f t="shared" si="168"/>
        <v>2.7862132640580488</v>
      </c>
      <c r="F919">
        <f t="shared" si="169"/>
        <v>-2.6663887108442363E-3</v>
      </c>
      <c r="G919">
        <f t="shared" si="172"/>
        <v>-9.9999999999997868E-3</v>
      </c>
      <c r="H919">
        <f>IF(MOD(COUNTA($C$7:C919)-1,$J$2),H918,ROUND(F919*P919,-2))</f>
        <v>0</v>
      </c>
      <c r="I919">
        <f t="shared" si="173"/>
        <v>0</v>
      </c>
      <c r="J919">
        <f t="shared" si="174"/>
        <v>0</v>
      </c>
      <c r="K919">
        <f t="shared" si="175"/>
        <v>206.84352009786903</v>
      </c>
      <c r="L919">
        <f t="shared" si="176"/>
        <v>206.84352009786903</v>
      </c>
      <c r="M919">
        <f t="shared" si="177"/>
        <v>0</v>
      </c>
      <c r="N919">
        <f t="shared" si="179"/>
        <v>206.84352009786903</v>
      </c>
      <c r="O919" s="5">
        <f t="shared" si="170"/>
        <v>1.5277217703649898E-4</v>
      </c>
      <c r="P919">
        <f t="shared" si="178"/>
        <v>10000</v>
      </c>
      <c r="Q919">
        <f t="shared" si="171"/>
        <v>1.5277217703649897</v>
      </c>
    </row>
    <row r="920" spans="1:17" x14ac:dyDescent="0.15">
      <c r="A920" s="10">
        <v>45899.402777777985</v>
      </c>
      <c r="B920">
        <f>COUNT(A920:$A$1158)/(48*252)</f>
        <v>1.9758597883597885E-2</v>
      </c>
      <c r="C920">
        <v>2.3109999999999999</v>
      </c>
      <c r="D920">
        <v>0.11899999999999999</v>
      </c>
      <c r="E920">
        <f t="shared" si="168"/>
        <v>2.7971843829545722</v>
      </c>
      <c r="F920">
        <f t="shared" si="169"/>
        <v>-2.5775052643761676E-3</v>
      </c>
      <c r="G920">
        <f t="shared" si="172"/>
        <v>9.9999999999988987E-4</v>
      </c>
      <c r="H920">
        <f>IF(MOD(COUNTA($C$7:C920)-1,$J$2),H919,ROUND(F920*P920,-2))</f>
        <v>0</v>
      </c>
      <c r="I920">
        <f t="shared" si="173"/>
        <v>0</v>
      </c>
      <c r="J920">
        <f t="shared" si="174"/>
        <v>0</v>
      </c>
      <c r="K920">
        <f t="shared" si="175"/>
        <v>206.84352009786903</v>
      </c>
      <c r="L920">
        <f t="shared" si="176"/>
        <v>206.84352009786903</v>
      </c>
      <c r="M920">
        <f t="shared" si="177"/>
        <v>0</v>
      </c>
      <c r="N920">
        <f t="shared" si="179"/>
        <v>206.84352009786903</v>
      </c>
      <c r="O920" s="5">
        <f t="shared" si="170"/>
        <v>1.4700004365268519E-4</v>
      </c>
      <c r="P920">
        <f t="shared" si="178"/>
        <v>10000</v>
      </c>
      <c r="Q920">
        <f t="shared" si="171"/>
        <v>1.470000436526852</v>
      </c>
    </row>
    <row r="921" spans="1:17" x14ac:dyDescent="0.15">
      <c r="A921" s="10">
        <v>45899.40625</v>
      </c>
      <c r="B921">
        <f>COUNT(A921:$A$1158)/(48*252)</f>
        <v>1.9675925925925927E-2</v>
      </c>
      <c r="C921">
        <v>2.31</v>
      </c>
      <c r="D921">
        <v>0.114</v>
      </c>
      <c r="E921">
        <f t="shared" si="168"/>
        <v>2.7974948187418369</v>
      </c>
      <c r="F921">
        <f t="shared" si="169"/>
        <v>-2.5750296610149714E-3</v>
      </c>
      <c r="G921">
        <f t="shared" si="172"/>
        <v>-9.9999999999988987E-4</v>
      </c>
      <c r="H921">
        <f>IF(MOD(COUNTA($C$7:C921)-1,$J$2),H920,ROUND(F921*P921,-2))</f>
        <v>0</v>
      </c>
      <c r="I921">
        <f t="shared" si="173"/>
        <v>0</v>
      </c>
      <c r="J921">
        <f t="shared" si="174"/>
        <v>0</v>
      </c>
      <c r="K921">
        <f t="shared" si="175"/>
        <v>206.84352009786903</v>
      </c>
      <c r="L921">
        <f t="shared" si="176"/>
        <v>206.84352009786903</v>
      </c>
      <c r="M921">
        <f t="shared" si="177"/>
        <v>0</v>
      </c>
      <c r="N921">
        <f t="shared" si="179"/>
        <v>206.84352009786903</v>
      </c>
      <c r="O921" s="5">
        <f t="shared" si="170"/>
        <v>1.4646877905556081E-4</v>
      </c>
      <c r="P921">
        <f t="shared" si="178"/>
        <v>10000</v>
      </c>
      <c r="Q921">
        <f t="shared" si="171"/>
        <v>1.4646877905556082</v>
      </c>
    </row>
    <row r="922" spans="1:17" x14ac:dyDescent="0.15">
      <c r="A922" s="10">
        <v>45899.409722222015</v>
      </c>
      <c r="B922">
        <f>COUNT(A922:$A$1158)/(48*252)</f>
        <v>1.9593253968253968E-2</v>
      </c>
      <c r="C922">
        <v>2.3039999999999998</v>
      </c>
      <c r="D922">
        <v>0.112</v>
      </c>
      <c r="E922">
        <f t="shared" si="168"/>
        <v>2.7709161732994176</v>
      </c>
      <c r="F922">
        <f t="shared" si="169"/>
        <v>-2.7949407741723054E-3</v>
      </c>
      <c r="G922">
        <f t="shared" si="172"/>
        <v>-6.0000000000002274E-3</v>
      </c>
      <c r="H922">
        <f>IF(MOD(COUNTA($C$7:C922)-1,$J$2),H921,ROUND(F922*P922,-2))</f>
        <v>0</v>
      </c>
      <c r="I922">
        <f t="shared" si="173"/>
        <v>0</v>
      </c>
      <c r="J922">
        <f t="shared" si="174"/>
        <v>0</v>
      </c>
      <c r="K922">
        <f t="shared" si="175"/>
        <v>206.84352009786903</v>
      </c>
      <c r="L922">
        <f t="shared" si="176"/>
        <v>206.84352009786903</v>
      </c>
      <c r="M922">
        <f t="shared" si="177"/>
        <v>0</v>
      </c>
      <c r="N922">
        <f t="shared" si="179"/>
        <v>206.84352009786903</v>
      </c>
      <c r="O922" s="5">
        <f t="shared" si="170"/>
        <v>1.5934389772922792E-4</v>
      </c>
      <c r="P922">
        <f t="shared" si="178"/>
        <v>10000</v>
      </c>
      <c r="Q922">
        <f t="shared" si="171"/>
        <v>1.5934389772922792</v>
      </c>
    </row>
    <row r="923" spans="1:17" x14ac:dyDescent="0.15">
      <c r="A923" s="10">
        <v>45899.413194444962</v>
      </c>
      <c r="B923">
        <f>COUNT(A923:$A$1158)/(48*252)</f>
        <v>1.9510582010582009E-2</v>
      </c>
      <c r="C923">
        <v>2.3090000000000002</v>
      </c>
      <c r="D923">
        <v>0.113</v>
      </c>
      <c r="E923">
        <f t="shared" si="168"/>
        <v>2.8035367072044766</v>
      </c>
      <c r="F923">
        <f t="shared" si="169"/>
        <v>-2.5272739096544594E-3</v>
      </c>
      <c r="G923">
        <f t="shared" si="172"/>
        <v>5.0000000000003375E-3</v>
      </c>
      <c r="H923">
        <f>IF(MOD(COUNTA($C$7:C923)-1,$J$2),H922,ROUND(F923*P923,-2))</f>
        <v>0</v>
      </c>
      <c r="I923">
        <f t="shared" si="173"/>
        <v>0</v>
      </c>
      <c r="J923">
        <f t="shared" si="174"/>
        <v>0</v>
      </c>
      <c r="K923">
        <f t="shared" si="175"/>
        <v>206.84352009786903</v>
      </c>
      <c r="L923">
        <f t="shared" si="176"/>
        <v>206.84352009786903</v>
      </c>
      <c r="M923">
        <f t="shared" si="177"/>
        <v>0</v>
      </c>
      <c r="N923">
        <f t="shared" si="179"/>
        <v>206.84352009786903</v>
      </c>
      <c r="O923" s="5">
        <f t="shared" si="170"/>
        <v>1.4284277403868624E-4</v>
      </c>
      <c r="P923">
        <f t="shared" si="178"/>
        <v>10000</v>
      </c>
      <c r="Q923">
        <f t="shared" si="171"/>
        <v>1.4284277403868624</v>
      </c>
    </row>
    <row r="924" spans="1:17" x14ac:dyDescent="0.15">
      <c r="A924" s="10">
        <v>45899.416666666977</v>
      </c>
      <c r="B924">
        <f>COUNT(A924:$A$1158)/(48*252)</f>
        <v>1.9427910052910054E-2</v>
      </c>
      <c r="C924">
        <v>2.31</v>
      </c>
      <c r="D924">
        <v>0.114</v>
      </c>
      <c r="E924">
        <f t="shared" si="168"/>
        <v>2.8146896178523688</v>
      </c>
      <c r="F924">
        <f t="shared" si="169"/>
        <v>-2.441218224442876E-3</v>
      </c>
      <c r="G924">
        <f t="shared" si="172"/>
        <v>9.9999999999988987E-4</v>
      </c>
      <c r="H924">
        <f>IF(MOD(COUNTA($C$7:C924)-1,$J$2),H923,ROUND(F924*P924,-2))</f>
        <v>0</v>
      </c>
      <c r="I924">
        <f t="shared" si="173"/>
        <v>0</v>
      </c>
      <c r="J924">
        <f t="shared" si="174"/>
        <v>0</v>
      </c>
      <c r="K924">
        <f t="shared" si="175"/>
        <v>206.84352009786903</v>
      </c>
      <c r="L924">
        <f t="shared" si="176"/>
        <v>206.84352009786903</v>
      </c>
      <c r="M924">
        <f t="shared" si="177"/>
        <v>0</v>
      </c>
      <c r="N924">
        <f t="shared" si="179"/>
        <v>206.84352009786903</v>
      </c>
      <c r="O924" s="5">
        <f t="shared" si="170"/>
        <v>1.3733401410795463E-4</v>
      </c>
      <c r="P924">
        <f t="shared" si="178"/>
        <v>10000</v>
      </c>
      <c r="Q924">
        <f t="shared" si="171"/>
        <v>1.3733401410795463</v>
      </c>
    </row>
    <row r="925" spans="1:17" x14ac:dyDescent="0.15">
      <c r="A925" s="10">
        <v>45899.420138888992</v>
      </c>
      <c r="B925">
        <f>COUNT(A925:$A$1158)/(48*252)</f>
        <v>1.9345238095238096E-2</v>
      </c>
      <c r="C925">
        <v>2.3079999999999998</v>
      </c>
      <c r="D925">
        <v>0.112</v>
      </c>
      <c r="E925">
        <f t="shared" si="168"/>
        <v>2.8096782267219003</v>
      </c>
      <c r="F925">
        <f t="shared" si="169"/>
        <v>-2.4795526493731623E-3</v>
      </c>
      <c r="G925">
        <f t="shared" si="172"/>
        <v>-2.0000000000002238E-3</v>
      </c>
      <c r="H925">
        <f>IF(MOD(COUNTA($C$7:C925)-1,$J$2),H924,ROUND(F925*P925,-2))</f>
        <v>0</v>
      </c>
      <c r="I925">
        <f t="shared" si="173"/>
        <v>0</v>
      </c>
      <c r="J925">
        <f t="shared" si="174"/>
        <v>0</v>
      </c>
      <c r="K925">
        <f t="shared" si="175"/>
        <v>206.84352009786903</v>
      </c>
      <c r="L925">
        <f t="shared" si="176"/>
        <v>206.84352009786903</v>
      </c>
      <c r="M925">
        <f t="shared" si="177"/>
        <v>0</v>
      </c>
      <c r="N925">
        <f t="shared" si="179"/>
        <v>206.84352009786903</v>
      </c>
      <c r="O925" s="5">
        <f t="shared" si="170"/>
        <v>1.3925029724781539E-4</v>
      </c>
      <c r="P925">
        <f t="shared" si="178"/>
        <v>10000</v>
      </c>
      <c r="Q925">
        <f t="shared" si="171"/>
        <v>1.3925029724781539</v>
      </c>
    </row>
    <row r="926" spans="1:17" x14ac:dyDescent="0.15">
      <c r="A926" s="10">
        <v>45899.423611111008</v>
      </c>
      <c r="B926">
        <f>COUNT(A926:$A$1158)/(48*252)</f>
        <v>1.9262566137566137E-2</v>
      </c>
      <c r="C926">
        <v>2.3170000000000002</v>
      </c>
      <c r="D926">
        <v>0.11799999999999999</v>
      </c>
      <c r="E926">
        <f t="shared" si="168"/>
        <v>2.8642066000643487</v>
      </c>
      <c r="F926">
        <f t="shared" si="169"/>
        <v>-2.0902762203099945E-3</v>
      </c>
      <c r="G926">
        <f t="shared" si="172"/>
        <v>9.0000000000003411E-3</v>
      </c>
      <c r="H926">
        <f>IF(MOD(COUNTA($C$7:C926)-1,$J$2),H925,ROUND(F926*P926,-2))</f>
        <v>0</v>
      </c>
      <c r="I926">
        <f t="shared" si="173"/>
        <v>0</v>
      </c>
      <c r="J926">
        <f t="shared" si="174"/>
        <v>0</v>
      </c>
      <c r="K926">
        <f t="shared" si="175"/>
        <v>206.84352009786903</v>
      </c>
      <c r="L926">
        <f t="shared" si="176"/>
        <v>206.84352009786903</v>
      </c>
      <c r="M926">
        <f t="shared" si="177"/>
        <v>0</v>
      </c>
      <c r="N926">
        <f t="shared" si="179"/>
        <v>206.84352009786903</v>
      </c>
      <c r="O926" s="5">
        <f t="shared" si="170"/>
        <v>1.1591681267116797E-4</v>
      </c>
      <c r="P926">
        <f t="shared" si="178"/>
        <v>10000</v>
      </c>
      <c r="Q926">
        <f t="shared" si="171"/>
        <v>1.1591681267116798</v>
      </c>
    </row>
    <row r="927" spans="1:17" x14ac:dyDescent="0.15">
      <c r="A927" s="10">
        <v>45899.427083333023</v>
      </c>
      <c r="B927">
        <f>COUNT(A927:$A$1158)/(48*252)</f>
        <v>1.9179894179894179E-2</v>
      </c>
      <c r="C927">
        <v>2.3140000000000001</v>
      </c>
      <c r="D927">
        <v>0.115</v>
      </c>
      <c r="E927">
        <f t="shared" si="168"/>
        <v>2.8539200327255609</v>
      </c>
      <c r="F927">
        <f t="shared" si="169"/>
        <v>-2.1591699904138784E-3</v>
      </c>
      <c r="G927">
        <f t="shared" si="172"/>
        <v>-3.0000000000001137E-3</v>
      </c>
      <c r="H927">
        <f>IF(MOD(COUNTA($C$7:C927)-1,$J$2),H926,ROUND(F927*P927,-2))</f>
        <v>0</v>
      </c>
      <c r="I927">
        <f t="shared" si="173"/>
        <v>0</v>
      </c>
      <c r="J927">
        <f t="shared" si="174"/>
        <v>0</v>
      </c>
      <c r="K927">
        <f t="shared" si="175"/>
        <v>206.84352009786903</v>
      </c>
      <c r="L927">
        <f t="shared" si="176"/>
        <v>206.84352009786903</v>
      </c>
      <c r="M927">
        <f t="shared" si="177"/>
        <v>0</v>
      </c>
      <c r="N927">
        <f t="shared" si="179"/>
        <v>206.84352009786903</v>
      </c>
      <c r="O927" s="5">
        <f t="shared" si="170"/>
        <v>1.1964098136177555E-4</v>
      </c>
      <c r="P927">
        <f t="shared" si="178"/>
        <v>10000</v>
      </c>
      <c r="Q927">
        <f t="shared" si="171"/>
        <v>1.1964098136177554</v>
      </c>
    </row>
    <row r="928" spans="1:17" x14ac:dyDescent="0.15">
      <c r="A928" s="10">
        <v>45899.430555555969</v>
      </c>
      <c r="B928">
        <f>COUNT(A928:$A$1158)/(48*252)</f>
        <v>1.9097222222222224E-2</v>
      </c>
      <c r="C928">
        <v>2.319</v>
      </c>
      <c r="D928">
        <v>0.11700000000000001</v>
      </c>
      <c r="E928">
        <f t="shared" si="168"/>
        <v>2.8870172270147503</v>
      </c>
      <c r="F928">
        <f t="shared" si="169"/>
        <v>-1.9445646800146932E-3</v>
      </c>
      <c r="G928">
        <f t="shared" si="172"/>
        <v>4.9999999999998934E-3</v>
      </c>
      <c r="H928">
        <f>IF(MOD(COUNTA($C$7:C928)-1,$J$2),H927,ROUND(F928*P928,-2))</f>
        <v>0</v>
      </c>
      <c r="I928">
        <f t="shared" si="173"/>
        <v>0</v>
      </c>
      <c r="J928">
        <f t="shared" si="174"/>
        <v>0</v>
      </c>
      <c r="K928">
        <f t="shared" si="175"/>
        <v>206.84352009786903</v>
      </c>
      <c r="L928">
        <f t="shared" si="176"/>
        <v>206.84352009786903</v>
      </c>
      <c r="M928">
        <f t="shared" si="177"/>
        <v>0</v>
      </c>
      <c r="N928">
        <f t="shared" si="179"/>
        <v>206.84352009786903</v>
      </c>
      <c r="O928" s="5">
        <f t="shared" si="170"/>
        <v>1.0681815615141196E-4</v>
      </c>
      <c r="P928">
        <f t="shared" si="178"/>
        <v>10000</v>
      </c>
      <c r="Q928">
        <f t="shared" si="171"/>
        <v>1.0681815615141195</v>
      </c>
    </row>
    <row r="929" spans="1:17" x14ac:dyDescent="0.15">
      <c r="A929" s="10">
        <v>45899.434027777985</v>
      </c>
      <c r="B929">
        <f>COUNT(A929:$A$1158)/(48*252)</f>
        <v>1.9014550264550265E-2</v>
      </c>
      <c r="C929">
        <v>2.3180000000000001</v>
      </c>
      <c r="D929">
        <v>0.115</v>
      </c>
      <c r="E929">
        <f t="shared" si="168"/>
        <v>2.8876496475029492</v>
      </c>
      <c r="F929">
        <f t="shared" si="169"/>
        <v>-1.9406596365941775E-3</v>
      </c>
      <c r="G929">
        <f t="shared" si="172"/>
        <v>-9.9999999999988987E-4</v>
      </c>
      <c r="H929">
        <f>IF(MOD(COUNTA($C$7:C929)-1,$J$2),H928,ROUND(F929*P929,-2))</f>
        <v>0</v>
      </c>
      <c r="I929">
        <f t="shared" si="173"/>
        <v>0</v>
      </c>
      <c r="J929">
        <f t="shared" si="174"/>
        <v>0</v>
      </c>
      <c r="K929">
        <f t="shared" si="175"/>
        <v>206.84352009786903</v>
      </c>
      <c r="L929">
        <f t="shared" si="176"/>
        <v>206.84352009786903</v>
      </c>
      <c r="M929">
        <f t="shared" si="177"/>
        <v>0</v>
      </c>
      <c r="N929">
        <f t="shared" si="179"/>
        <v>206.84352009786903</v>
      </c>
      <c r="O929" s="5">
        <f t="shared" si="170"/>
        <v>1.0630420282993838E-4</v>
      </c>
      <c r="P929">
        <f t="shared" si="178"/>
        <v>10000</v>
      </c>
      <c r="Q929">
        <f t="shared" si="171"/>
        <v>1.0630420282993838</v>
      </c>
    </row>
    <row r="930" spans="1:17" x14ac:dyDescent="0.15">
      <c r="A930" s="10">
        <v>45899.4375</v>
      </c>
      <c r="B930">
        <f>COUNT(A930:$A$1158)/(48*252)</f>
        <v>1.8931878306878307E-2</v>
      </c>
      <c r="C930">
        <v>2.3130000000000002</v>
      </c>
      <c r="D930">
        <v>0.112</v>
      </c>
      <c r="E930">
        <f t="shared" si="168"/>
        <v>2.8664835155963826</v>
      </c>
      <c r="F930">
        <f t="shared" si="169"/>
        <v>-2.0752988735541766E-3</v>
      </c>
      <c r="G930">
        <f t="shared" si="172"/>
        <v>-4.9999999999998934E-3</v>
      </c>
      <c r="H930">
        <f>IF(MOD(COUNTA($C$7:C930)-1,$J$2),H929,ROUND(F930*P930,-2))</f>
        <v>0</v>
      </c>
      <c r="I930">
        <f t="shared" si="173"/>
        <v>0</v>
      </c>
      <c r="J930">
        <f t="shared" si="174"/>
        <v>0</v>
      </c>
      <c r="K930">
        <f t="shared" si="175"/>
        <v>206.84352009786903</v>
      </c>
      <c r="L930">
        <f t="shared" si="176"/>
        <v>206.84352009786903</v>
      </c>
      <c r="M930">
        <f t="shared" si="177"/>
        <v>0</v>
      </c>
      <c r="N930">
        <f t="shared" si="179"/>
        <v>206.84352009786903</v>
      </c>
      <c r="O930" s="5">
        <f t="shared" si="170"/>
        <v>1.1380750055412382E-4</v>
      </c>
      <c r="P930">
        <f t="shared" si="178"/>
        <v>10000</v>
      </c>
      <c r="Q930">
        <f t="shared" si="171"/>
        <v>1.1380750055412381</v>
      </c>
    </row>
    <row r="931" spans="1:17" x14ac:dyDescent="0.15">
      <c r="A931" s="10">
        <v>45899.440972222015</v>
      </c>
      <c r="B931">
        <f>COUNT(A931:$A$1158)/(48*252)</f>
        <v>1.8849206349206348E-2</v>
      </c>
      <c r="C931">
        <v>2.3140000000000001</v>
      </c>
      <c r="D931">
        <v>0.112</v>
      </c>
      <c r="E931">
        <f t="shared" si="168"/>
        <v>2.8780267194600078</v>
      </c>
      <c r="F931">
        <f t="shared" si="169"/>
        <v>-2.0008562169333555E-3</v>
      </c>
      <c r="G931">
        <f t="shared" si="172"/>
        <v>9.9999999999988987E-4</v>
      </c>
      <c r="H931">
        <f>IF(MOD(COUNTA($C$7:C931)-1,$J$2),H930,ROUND(F931*P931,-2))</f>
        <v>0</v>
      </c>
      <c r="I931">
        <f t="shared" si="173"/>
        <v>0</v>
      </c>
      <c r="J931">
        <f t="shared" si="174"/>
        <v>0</v>
      </c>
      <c r="K931">
        <f t="shared" si="175"/>
        <v>206.84352009786903</v>
      </c>
      <c r="L931">
        <f t="shared" si="176"/>
        <v>206.84352009786903</v>
      </c>
      <c r="M931">
        <f t="shared" si="177"/>
        <v>0</v>
      </c>
      <c r="N931">
        <f t="shared" si="179"/>
        <v>206.84352009786903</v>
      </c>
      <c r="O931" s="5">
        <f t="shared" si="170"/>
        <v>1.0919824206433951E-4</v>
      </c>
      <c r="P931">
        <f t="shared" si="178"/>
        <v>10000</v>
      </c>
      <c r="Q931">
        <f t="shared" si="171"/>
        <v>1.0919824206433952</v>
      </c>
    </row>
    <row r="932" spans="1:17" x14ac:dyDescent="0.15">
      <c r="A932" s="10">
        <v>45899.444444444962</v>
      </c>
      <c r="B932">
        <f>COUNT(A932:$A$1158)/(48*252)</f>
        <v>1.8766534391534393E-2</v>
      </c>
      <c r="C932">
        <v>2.3170000000000002</v>
      </c>
      <c r="D932">
        <v>0.11600000000000001</v>
      </c>
      <c r="E932">
        <f t="shared" si="168"/>
        <v>2.9005816922160288</v>
      </c>
      <c r="F932">
        <f t="shared" si="169"/>
        <v>-1.8623536776569694E-3</v>
      </c>
      <c r="G932">
        <f t="shared" si="172"/>
        <v>3.0000000000001137E-3</v>
      </c>
      <c r="H932">
        <f>IF(MOD(COUNTA($C$7:C932)-1,$J$2),H931,ROUND(F932*P932,-2))</f>
        <v>0</v>
      </c>
      <c r="I932">
        <f t="shared" si="173"/>
        <v>0</v>
      </c>
      <c r="J932">
        <f t="shared" si="174"/>
        <v>0</v>
      </c>
      <c r="K932">
        <f t="shared" si="175"/>
        <v>206.84352009786903</v>
      </c>
      <c r="L932">
        <f t="shared" si="176"/>
        <v>206.84352009786903</v>
      </c>
      <c r="M932">
        <f t="shared" si="177"/>
        <v>0</v>
      </c>
      <c r="N932">
        <f t="shared" si="179"/>
        <v>206.84352009786903</v>
      </c>
      <c r="O932" s="5">
        <f t="shared" si="170"/>
        <v>1.0094957742433873E-4</v>
      </c>
      <c r="P932">
        <f t="shared" si="178"/>
        <v>10000</v>
      </c>
      <c r="Q932">
        <f t="shared" si="171"/>
        <v>1.0094957742433872</v>
      </c>
    </row>
    <row r="933" spans="1:17" x14ac:dyDescent="0.15">
      <c r="A933" s="10">
        <v>45899.447916666977</v>
      </c>
      <c r="B933">
        <f>COUNT(A933:$A$1158)/(48*252)</f>
        <v>1.8683862433862435E-2</v>
      </c>
      <c r="C933">
        <v>2.3180000000000001</v>
      </c>
      <c r="D933">
        <v>0.114</v>
      </c>
      <c r="E933">
        <f t="shared" si="168"/>
        <v>2.9122695186475664</v>
      </c>
      <c r="F933">
        <f t="shared" si="169"/>
        <v>-1.7940644482627999E-3</v>
      </c>
      <c r="G933">
        <f t="shared" si="172"/>
        <v>9.9999999999988987E-4</v>
      </c>
      <c r="H933">
        <f>IF(MOD(COUNTA($C$7:C933)-1,$J$2),H932,ROUND(F933*P933,-2))</f>
        <v>0</v>
      </c>
      <c r="I933">
        <f t="shared" si="173"/>
        <v>0</v>
      </c>
      <c r="J933">
        <f t="shared" si="174"/>
        <v>0</v>
      </c>
      <c r="K933">
        <f t="shared" si="175"/>
        <v>206.84352009786903</v>
      </c>
      <c r="L933">
        <f t="shared" si="176"/>
        <v>206.84352009786903</v>
      </c>
      <c r="M933">
        <f t="shared" si="177"/>
        <v>0</v>
      </c>
      <c r="N933">
        <f t="shared" si="179"/>
        <v>206.84352009786903</v>
      </c>
      <c r="O933" s="5">
        <f t="shared" si="170"/>
        <v>9.677744504413624E-5</v>
      </c>
      <c r="P933">
        <f t="shared" si="178"/>
        <v>10000</v>
      </c>
      <c r="Q933">
        <f t="shared" si="171"/>
        <v>0.96777445044136234</v>
      </c>
    </row>
    <row r="934" spans="1:17" x14ac:dyDescent="0.15">
      <c r="A934" s="10">
        <v>45899.451388888992</v>
      </c>
      <c r="B934">
        <f>COUNT(A934:$A$1158)/(48*252)</f>
        <v>1.8601190476190476E-2</v>
      </c>
      <c r="C934">
        <v>2.3199999999999998</v>
      </c>
      <c r="D934">
        <v>0.11799999999999999</v>
      </c>
      <c r="E934">
        <f t="shared" si="168"/>
        <v>2.9295118354289591</v>
      </c>
      <c r="F934">
        <f t="shared" si="169"/>
        <v>-1.6974744202540304E-3</v>
      </c>
      <c r="G934">
        <f t="shared" si="172"/>
        <v>1.9999999999997797E-3</v>
      </c>
      <c r="H934">
        <f>IF(MOD(COUNTA($C$7:C934)-1,$J$2),H933,ROUND(F934*P934,-2))</f>
        <v>0</v>
      </c>
      <c r="I934">
        <f t="shared" si="173"/>
        <v>0</v>
      </c>
      <c r="J934">
        <f t="shared" si="174"/>
        <v>0</v>
      </c>
      <c r="K934">
        <f t="shared" si="175"/>
        <v>206.84352009786903</v>
      </c>
      <c r="L934">
        <f t="shared" si="176"/>
        <v>206.84352009786903</v>
      </c>
      <c r="M934">
        <f t="shared" si="177"/>
        <v>0</v>
      </c>
      <c r="N934">
        <f t="shared" si="179"/>
        <v>206.84352009786903</v>
      </c>
      <c r="O934" s="5">
        <f t="shared" si="170"/>
        <v>9.1032681542076686E-5</v>
      </c>
      <c r="P934">
        <f t="shared" si="178"/>
        <v>10000</v>
      </c>
      <c r="Q934">
        <f t="shared" si="171"/>
        <v>0.91032681542076688</v>
      </c>
    </row>
    <row r="935" spans="1:17" x14ac:dyDescent="0.15">
      <c r="A935" s="10">
        <v>45899.454861111008</v>
      </c>
      <c r="B935">
        <f>COUNT(A935:$A$1158)/(48*252)</f>
        <v>1.8518518518518517E-2</v>
      </c>
      <c r="C935">
        <v>2.3220000000000001</v>
      </c>
      <c r="D935">
        <v>0.11899999999999999</v>
      </c>
      <c r="E935">
        <f t="shared" si="168"/>
        <v>2.9468359689885775</v>
      </c>
      <c r="F935">
        <f t="shared" si="169"/>
        <v>-1.6052172702970546E-3</v>
      </c>
      <c r="G935">
        <f t="shared" si="172"/>
        <v>2.0000000000002238E-3</v>
      </c>
      <c r="H935">
        <f>IF(MOD(COUNTA($C$7:C935)-1,$J$2),H934,ROUND(F935*P935,-2))</f>
        <v>0</v>
      </c>
      <c r="I935">
        <f t="shared" si="173"/>
        <v>0</v>
      </c>
      <c r="J935">
        <f t="shared" si="174"/>
        <v>0</v>
      </c>
      <c r="K935">
        <f t="shared" si="175"/>
        <v>206.84352009786903</v>
      </c>
      <c r="L935">
        <f t="shared" si="176"/>
        <v>206.84352009786903</v>
      </c>
      <c r="M935">
        <f t="shared" si="177"/>
        <v>0</v>
      </c>
      <c r="N935">
        <f t="shared" si="179"/>
        <v>206.84352009786903</v>
      </c>
      <c r="O935" s="5">
        <f t="shared" si="170"/>
        <v>8.5581325449972899E-5</v>
      </c>
      <c r="P935">
        <f t="shared" si="178"/>
        <v>10000</v>
      </c>
      <c r="Q935">
        <f t="shared" si="171"/>
        <v>0.855813254499729</v>
      </c>
    </row>
    <row r="936" spans="1:17" x14ac:dyDescent="0.15">
      <c r="A936" s="10">
        <v>45899.458333333023</v>
      </c>
      <c r="B936">
        <f>COUNT(A936:$A$1158)/(48*252)</f>
        <v>1.8435846560846562E-2</v>
      </c>
      <c r="C936">
        <v>2.323</v>
      </c>
      <c r="D936">
        <v>0.121</v>
      </c>
      <c r="E936">
        <f t="shared" si="168"/>
        <v>2.958737024858944</v>
      </c>
      <c r="F936">
        <f t="shared" si="169"/>
        <v>-1.544512919370189E-3</v>
      </c>
      <c r="G936">
        <f t="shared" si="172"/>
        <v>9.9999999999988987E-4</v>
      </c>
      <c r="H936">
        <f>IF(MOD(COUNTA($C$7:C936)-1,$J$2),H935,ROUND(F936*P936,-2))</f>
        <v>0</v>
      </c>
      <c r="I936">
        <f t="shared" si="173"/>
        <v>0</v>
      </c>
      <c r="J936">
        <f t="shared" si="174"/>
        <v>0</v>
      </c>
      <c r="K936">
        <f t="shared" si="175"/>
        <v>206.84352009786903</v>
      </c>
      <c r="L936">
        <f t="shared" si="176"/>
        <v>206.84352009786903</v>
      </c>
      <c r="M936">
        <f t="shared" si="177"/>
        <v>0</v>
      </c>
      <c r="N936">
        <f t="shared" si="179"/>
        <v>206.84352009786903</v>
      </c>
      <c r="O936" s="5">
        <f t="shared" si="170"/>
        <v>8.1941889997420251E-5</v>
      </c>
      <c r="P936">
        <f t="shared" si="178"/>
        <v>10000</v>
      </c>
      <c r="Q936">
        <f t="shared" si="171"/>
        <v>0.81941889997420247</v>
      </c>
    </row>
    <row r="937" spans="1:17" x14ac:dyDescent="0.15">
      <c r="A937" s="10">
        <v>45899.461805555969</v>
      </c>
      <c r="B937">
        <f>COUNT(A937:$A$1158)/(48*252)</f>
        <v>1.8353174603174604E-2</v>
      </c>
      <c r="C937">
        <v>2.323</v>
      </c>
      <c r="D937">
        <v>0.122</v>
      </c>
      <c r="E937">
        <f t="shared" si="168"/>
        <v>2.9651858985119168</v>
      </c>
      <c r="F937">
        <f t="shared" si="169"/>
        <v>-1.5125003744975718E-3</v>
      </c>
      <c r="G937">
        <f t="shared" si="172"/>
        <v>0</v>
      </c>
      <c r="H937">
        <f>IF(MOD(COUNTA($C$7:C937)-1,$J$2),H936,ROUND(F937*P937,-2))</f>
        <v>0</v>
      </c>
      <c r="I937">
        <f t="shared" si="173"/>
        <v>0</v>
      </c>
      <c r="J937">
        <f t="shared" si="174"/>
        <v>0</v>
      </c>
      <c r="K937">
        <f t="shared" si="175"/>
        <v>206.84352009786903</v>
      </c>
      <c r="L937">
        <f t="shared" si="176"/>
        <v>206.84352009786903</v>
      </c>
      <c r="M937">
        <f t="shared" si="177"/>
        <v>0</v>
      </c>
      <c r="N937">
        <f t="shared" si="179"/>
        <v>206.84352009786903</v>
      </c>
      <c r="O937" s="5">
        <f t="shared" si="170"/>
        <v>7.9927518076011381E-5</v>
      </c>
      <c r="P937">
        <f t="shared" si="178"/>
        <v>10000</v>
      </c>
      <c r="Q937">
        <f t="shared" si="171"/>
        <v>0.79927518076011383</v>
      </c>
    </row>
    <row r="938" spans="1:17" x14ac:dyDescent="0.15">
      <c r="A938" s="10">
        <v>45899.465277777985</v>
      </c>
      <c r="B938">
        <f>COUNT(A938:$A$1158)/(48*252)</f>
        <v>1.8270502645502645E-2</v>
      </c>
      <c r="C938">
        <v>2.3199999999999998</v>
      </c>
      <c r="D938">
        <v>0.11899999999999999</v>
      </c>
      <c r="E938">
        <f t="shared" si="168"/>
        <v>2.955072647618437</v>
      </c>
      <c r="F938">
        <f t="shared" si="169"/>
        <v>-1.5629771683143279E-3</v>
      </c>
      <c r="G938">
        <f t="shared" si="172"/>
        <v>-3.0000000000001137E-3</v>
      </c>
      <c r="H938">
        <f>IF(MOD(COUNTA($C$7:C938)-1,$J$2),H937,ROUND(F938*P938,-2))</f>
        <v>0</v>
      </c>
      <c r="I938">
        <f t="shared" si="173"/>
        <v>0</v>
      </c>
      <c r="J938">
        <f t="shared" si="174"/>
        <v>0</v>
      </c>
      <c r="K938">
        <f t="shared" si="175"/>
        <v>206.84352009786903</v>
      </c>
      <c r="L938">
        <f t="shared" si="176"/>
        <v>206.84352009786903</v>
      </c>
      <c r="M938">
        <f t="shared" si="177"/>
        <v>0</v>
      </c>
      <c r="N938">
        <f t="shared" si="179"/>
        <v>206.84352009786903</v>
      </c>
      <c r="O938" s="5">
        <f t="shared" si="170"/>
        <v>8.2511686275054535E-5</v>
      </c>
      <c r="P938">
        <f t="shared" si="178"/>
        <v>10000</v>
      </c>
      <c r="Q938">
        <f t="shared" si="171"/>
        <v>0.82511686275054541</v>
      </c>
    </row>
    <row r="939" spans="1:17" x14ac:dyDescent="0.15">
      <c r="A939" s="10">
        <v>45899.46875</v>
      </c>
      <c r="B939">
        <f>COUNT(A939:$A$1158)/(48*252)</f>
        <v>1.8187830687830687E-2</v>
      </c>
      <c r="C939">
        <v>2.3180000000000001</v>
      </c>
      <c r="D939">
        <v>0.11600000000000001</v>
      </c>
      <c r="E939">
        <f t="shared" si="168"/>
        <v>2.9504647351166895</v>
      </c>
      <c r="F939">
        <f t="shared" si="169"/>
        <v>-1.5864813191569516E-3</v>
      </c>
      <c r="G939">
        <f t="shared" si="172"/>
        <v>-1.9999999999997797E-3</v>
      </c>
      <c r="H939">
        <f>IF(MOD(COUNTA($C$7:C939)-1,$J$2),H938,ROUND(F939*P939,-2))</f>
        <v>0</v>
      </c>
      <c r="I939">
        <f t="shared" si="173"/>
        <v>0</v>
      </c>
      <c r="J939">
        <f t="shared" si="174"/>
        <v>0</v>
      </c>
      <c r="K939">
        <f t="shared" si="175"/>
        <v>206.84352009786903</v>
      </c>
      <c r="L939">
        <f t="shared" si="176"/>
        <v>206.84352009786903</v>
      </c>
      <c r="M939">
        <f t="shared" si="177"/>
        <v>0</v>
      </c>
      <c r="N939">
        <f t="shared" si="179"/>
        <v>206.84352009786903</v>
      </c>
      <c r="O939" s="5">
        <f t="shared" si="170"/>
        <v>8.3585421769932951E-5</v>
      </c>
      <c r="P939">
        <f t="shared" si="178"/>
        <v>10000</v>
      </c>
      <c r="Q939">
        <f t="shared" si="171"/>
        <v>0.83585421769932955</v>
      </c>
    </row>
    <row r="940" spans="1:17" x14ac:dyDescent="0.15">
      <c r="A940" s="10">
        <v>45899.472222222015</v>
      </c>
      <c r="B940">
        <f>COUNT(A940:$A$1158)/(48*252)</f>
        <v>1.8105158730158732E-2</v>
      </c>
      <c r="C940">
        <v>2.3170000000000002</v>
      </c>
      <c r="D940">
        <v>0.11600000000000001</v>
      </c>
      <c r="E940">
        <f t="shared" si="168"/>
        <v>2.9514141528325233</v>
      </c>
      <c r="F940">
        <f t="shared" si="169"/>
        <v>-1.5816123179686059E-3</v>
      </c>
      <c r="G940">
        <f t="shared" si="172"/>
        <v>-9.9999999999988987E-4</v>
      </c>
      <c r="H940">
        <f>IF(MOD(COUNTA($C$7:C940)-1,$J$2),H939,ROUND(F940*P940,-2))</f>
        <v>0</v>
      </c>
      <c r="I940">
        <f t="shared" si="173"/>
        <v>0</v>
      </c>
      <c r="J940">
        <f t="shared" si="174"/>
        <v>0</v>
      </c>
      <c r="K940">
        <f t="shared" si="175"/>
        <v>206.84352009786903</v>
      </c>
      <c r="L940">
        <f t="shared" si="176"/>
        <v>206.84352009786903</v>
      </c>
      <c r="M940">
        <f t="shared" si="177"/>
        <v>0</v>
      </c>
      <c r="N940">
        <f t="shared" si="179"/>
        <v>206.84352009786903</v>
      </c>
      <c r="O940" s="5">
        <f t="shared" si="170"/>
        <v>8.3079168874415979E-5</v>
      </c>
      <c r="P940">
        <f t="shared" si="178"/>
        <v>10000</v>
      </c>
      <c r="Q940">
        <f t="shared" si="171"/>
        <v>0.83079168874415976</v>
      </c>
    </row>
    <row r="941" spans="1:17" x14ac:dyDescent="0.15">
      <c r="A941" s="10">
        <v>45899.475694444962</v>
      </c>
      <c r="B941">
        <f>COUNT(A941:$A$1158)/(48*252)</f>
        <v>1.8022486772486773E-2</v>
      </c>
      <c r="C941">
        <v>2.3199999999999998</v>
      </c>
      <c r="D941">
        <v>0.11700000000000001</v>
      </c>
      <c r="E941">
        <f t="shared" si="168"/>
        <v>2.9747081732490637</v>
      </c>
      <c r="F941">
        <f t="shared" si="169"/>
        <v>-1.4663369707523799E-3</v>
      </c>
      <c r="G941">
        <f t="shared" si="172"/>
        <v>2.9999999999996696E-3</v>
      </c>
      <c r="H941">
        <f>IF(MOD(COUNTA($C$7:C941)-1,$J$2),H940,ROUND(F941*P941,-2))</f>
        <v>0</v>
      </c>
      <c r="I941">
        <f t="shared" si="173"/>
        <v>0</v>
      </c>
      <c r="J941">
        <f t="shared" si="174"/>
        <v>0</v>
      </c>
      <c r="K941">
        <f t="shared" si="175"/>
        <v>206.84352009786903</v>
      </c>
      <c r="L941">
        <f t="shared" si="176"/>
        <v>206.84352009786903</v>
      </c>
      <c r="M941">
        <f t="shared" si="177"/>
        <v>0</v>
      </c>
      <c r="N941">
        <f t="shared" si="179"/>
        <v>206.84352009786903</v>
      </c>
      <c r="O941" s="5">
        <f t="shared" si="170"/>
        <v>7.6486510830557717E-5</v>
      </c>
      <c r="P941">
        <f t="shared" si="178"/>
        <v>10000</v>
      </c>
      <c r="Q941">
        <f t="shared" si="171"/>
        <v>0.76486510830557719</v>
      </c>
    </row>
    <row r="942" spans="1:17" x14ac:dyDescent="0.15">
      <c r="A942" s="10">
        <v>45899.479166666977</v>
      </c>
      <c r="B942">
        <f>COUNT(A942:$A$1158)/(48*252)</f>
        <v>1.7939814814814815E-2</v>
      </c>
      <c r="C942">
        <v>2.3180000000000001</v>
      </c>
      <c r="D942">
        <v>0.115</v>
      </c>
      <c r="E942">
        <f t="shared" si="168"/>
        <v>2.9701601338254724</v>
      </c>
      <c r="F942">
        <f t="shared" si="169"/>
        <v>-1.4882227558632444E-3</v>
      </c>
      <c r="G942">
        <f t="shared" si="172"/>
        <v>-1.9999999999997797E-3</v>
      </c>
      <c r="H942">
        <f>IF(MOD(COUNTA($C$7:C942)-1,$J$2),H941,ROUND(F942*P942,-2))</f>
        <v>0</v>
      </c>
      <c r="I942">
        <f t="shared" si="173"/>
        <v>0</v>
      </c>
      <c r="J942">
        <f t="shared" si="174"/>
        <v>0</v>
      </c>
      <c r="K942">
        <f t="shared" si="175"/>
        <v>206.84352009786903</v>
      </c>
      <c r="L942">
        <f t="shared" si="176"/>
        <v>206.84352009786903</v>
      </c>
      <c r="M942">
        <f t="shared" si="177"/>
        <v>0</v>
      </c>
      <c r="N942">
        <f t="shared" si="179"/>
        <v>206.84352009786903</v>
      </c>
      <c r="O942" s="5">
        <f t="shared" si="170"/>
        <v>7.746925712374432E-5</v>
      </c>
      <c r="P942">
        <f t="shared" si="178"/>
        <v>10000</v>
      </c>
      <c r="Q942">
        <f t="shared" si="171"/>
        <v>0.77469257123744317</v>
      </c>
    </row>
    <row r="943" spans="1:17" x14ac:dyDescent="0.15">
      <c r="A943" s="10">
        <v>45899.545138888992</v>
      </c>
      <c r="B943">
        <f>COUNT(A943:$A$1158)/(48*252)</f>
        <v>1.7857142857142856E-2</v>
      </c>
      <c r="C943">
        <v>2.3170000000000002</v>
      </c>
      <c r="D943">
        <v>0.11700000000000001</v>
      </c>
      <c r="E943">
        <f t="shared" si="168"/>
        <v>2.9712084399079433</v>
      </c>
      <c r="F943">
        <f t="shared" si="169"/>
        <v>-1.4831518973025259E-3</v>
      </c>
      <c r="G943">
        <f t="shared" si="172"/>
        <v>-9.9999999999988987E-4</v>
      </c>
      <c r="H943">
        <f>IF(MOD(COUNTA($C$7:C943)-1,$J$2),H942,ROUND(F943*P943,-2))</f>
        <v>0</v>
      </c>
      <c r="I943">
        <f t="shared" si="173"/>
        <v>0</v>
      </c>
      <c r="J943">
        <f t="shared" si="174"/>
        <v>0</v>
      </c>
      <c r="K943">
        <f t="shared" si="175"/>
        <v>206.84352009786903</v>
      </c>
      <c r="L943">
        <f t="shared" si="176"/>
        <v>206.84352009786903</v>
      </c>
      <c r="M943">
        <f t="shared" si="177"/>
        <v>0</v>
      </c>
      <c r="N943">
        <f t="shared" si="179"/>
        <v>206.84352009786903</v>
      </c>
      <c r="O943" s="5">
        <f t="shared" si="170"/>
        <v>7.6969615927180868E-5</v>
      </c>
      <c r="P943">
        <f t="shared" si="178"/>
        <v>10000</v>
      </c>
      <c r="Q943">
        <f t="shared" si="171"/>
        <v>0.76969615927180868</v>
      </c>
    </row>
    <row r="944" spans="1:17" x14ac:dyDescent="0.15">
      <c r="A944" s="10">
        <v>45899.548611111008</v>
      </c>
      <c r="B944">
        <f>COUNT(A944:$A$1158)/(48*252)</f>
        <v>1.7774470899470901E-2</v>
      </c>
      <c r="C944">
        <v>2.3130000000000002</v>
      </c>
      <c r="D944">
        <v>0.111</v>
      </c>
      <c r="E944">
        <f t="shared" si="168"/>
        <v>2.9553877850517467</v>
      </c>
      <c r="F944">
        <f t="shared" si="169"/>
        <v>-1.5613813645720676E-3</v>
      </c>
      <c r="G944">
        <f t="shared" si="172"/>
        <v>-4.0000000000000036E-3</v>
      </c>
      <c r="H944">
        <f>IF(MOD(COUNTA($C$7:C944)-1,$J$2),H943,ROUND(F944*P944,-2))</f>
        <v>0</v>
      </c>
      <c r="I944">
        <f t="shared" si="173"/>
        <v>0</v>
      </c>
      <c r="J944">
        <f t="shared" si="174"/>
        <v>0</v>
      </c>
      <c r="K944">
        <f t="shared" si="175"/>
        <v>206.84352009786903</v>
      </c>
      <c r="L944">
        <f t="shared" si="176"/>
        <v>206.84352009786903</v>
      </c>
      <c r="M944">
        <f t="shared" si="177"/>
        <v>0</v>
      </c>
      <c r="N944">
        <f t="shared" si="179"/>
        <v>206.84352009786903</v>
      </c>
      <c r="O944" s="5">
        <f t="shared" si="170"/>
        <v>8.1025355949761613E-5</v>
      </c>
      <c r="P944">
        <f t="shared" si="178"/>
        <v>10000</v>
      </c>
      <c r="Q944">
        <f t="shared" si="171"/>
        <v>0.81025355949761613</v>
      </c>
    </row>
    <row r="945" spans="1:17" x14ac:dyDescent="0.15">
      <c r="A945" s="10">
        <v>45899.552083333023</v>
      </c>
      <c r="B945">
        <f>COUNT(A945:$A$1158)/(48*252)</f>
        <v>1.7691798941798943E-2</v>
      </c>
      <c r="C945">
        <v>2.3149999999999999</v>
      </c>
      <c r="D945">
        <v>0.113</v>
      </c>
      <c r="E945">
        <f t="shared" si="168"/>
        <v>2.9733604943185759</v>
      </c>
      <c r="F945">
        <f t="shared" si="169"/>
        <v>-1.472791364061754E-3</v>
      </c>
      <c r="G945">
        <f t="shared" si="172"/>
        <v>1.9999999999997797E-3</v>
      </c>
      <c r="H945">
        <f>IF(MOD(COUNTA($C$7:C945)-1,$J$2),H944,ROUND(F945*P945,-2))</f>
        <v>0</v>
      </c>
      <c r="I945">
        <f t="shared" si="173"/>
        <v>0</v>
      </c>
      <c r="J945">
        <f t="shared" si="174"/>
        <v>0</v>
      </c>
      <c r="K945">
        <f t="shared" si="175"/>
        <v>206.84352009786903</v>
      </c>
      <c r="L945">
        <f t="shared" si="176"/>
        <v>206.84352009786903</v>
      </c>
      <c r="M945">
        <f t="shared" si="177"/>
        <v>0</v>
      </c>
      <c r="N945">
        <f t="shared" si="179"/>
        <v>206.84352009786903</v>
      </c>
      <c r="O945" s="5">
        <f t="shared" si="170"/>
        <v>7.5962448681323597E-5</v>
      </c>
      <c r="P945">
        <f t="shared" si="178"/>
        <v>10000</v>
      </c>
      <c r="Q945">
        <f t="shared" si="171"/>
        <v>0.75962448681323602</v>
      </c>
    </row>
    <row r="946" spans="1:17" x14ac:dyDescent="0.15">
      <c r="A946" s="10">
        <v>45899.555555555969</v>
      </c>
      <c r="B946">
        <f>COUNT(A946:$A$1158)/(48*252)</f>
        <v>1.7609126984126984E-2</v>
      </c>
      <c r="C946">
        <v>2.3039999999999998</v>
      </c>
      <c r="D946">
        <v>0.107</v>
      </c>
      <c r="E946">
        <f t="shared" si="168"/>
        <v>2.9177751156775344</v>
      </c>
      <c r="F946">
        <f t="shared" si="169"/>
        <v>-1.7626925078302325E-3</v>
      </c>
      <c r="G946">
        <f t="shared" si="172"/>
        <v>-1.1000000000000121E-2</v>
      </c>
      <c r="H946">
        <f>IF(MOD(COUNTA($C$7:C946)-1,$J$2),H945,ROUND(F946*P946,-2))</f>
        <v>0</v>
      </c>
      <c r="I946">
        <f t="shared" si="173"/>
        <v>0</v>
      </c>
      <c r="J946">
        <f t="shared" si="174"/>
        <v>0</v>
      </c>
      <c r="K946">
        <f t="shared" si="175"/>
        <v>206.84352009786903</v>
      </c>
      <c r="L946">
        <f t="shared" si="176"/>
        <v>206.84352009786903</v>
      </c>
      <c r="M946">
        <f t="shared" si="177"/>
        <v>0</v>
      </c>
      <c r="N946">
        <f t="shared" si="179"/>
        <v>206.84352009786903</v>
      </c>
      <c r="O946" s="5">
        <f t="shared" si="170"/>
        <v>9.1563792460530591E-5</v>
      </c>
      <c r="P946">
        <f t="shared" si="178"/>
        <v>10000</v>
      </c>
      <c r="Q946">
        <f t="shared" si="171"/>
        <v>0.91563792460530591</v>
      </c>
    </row>
    <row r="947" spans="1:17" x14ac:dyDescent="0.15">
      <c r="A947" s="10">
        <v>45899.559027777985</v>
      </c>
      <c r="B947">
        <f>COUNT(A947:$A$1158)/(48*252)</f>
        <v>1.7526455026455025E-2</v>
      </c>
      <c r="C947">
        <v>2.3079999999999998</v>
      </c>
      <c r="D947">
        <v>0.109</v>
      </c>
      <c r="E947">
        <f t="shared" si="168"/>
        <v>2.9471950818833106</v>
      </c>
      <c r="F947">
        <f t="shared" si="169"/>
        <v>-1.6033541585659394E-3</v>
      </c>
      <c r="G947">
        <f t="shared" si="172"/>
        <v>4.0000000000000036E-3</v>
      </c>
      <c r="H947">
        <f>IF(MOD(COUNTA($C$7:C947)-1,$J$2),H946,ROUND(F947*P947,-2))</f>
        <v>0</v>
      </c>
      <c r="I947">
        <f t="shared" si="173"/>
        <v>0</v>
      </c>
      <c r="J947">
        <f t="shared" si="174"/>
        <v>0</v>
      </c>
      <c r="K947">
        <f t="shared" si="175"/>
        <v>206.84352009786903</v>
      </c>
      <c r="L947">
        <f t="shared" si="176"/>
        <v>206.84352009786903</v>
      </c>
      <c r="M947">
        <f t="shared" si="177"/>
        <v>0</v>
      </c>
      <c r="N947">
        <f t="shared" si="179"/>
        <v>206.84352009786903</v>
      </c>
      <c r="O947" s="5">
        <f t="shared" si="170"/>
        <v>8.2603517765394898E-5</v>
      </c>
      <c r="P947">
        <f t="shared" si="178"/>
        <v>10000</v>
      </c>
      <c r="Q947">
        <f t="shared" si="171"/>
        <v>0.82603517765394896</v>
      </c>
    </row>
    <row r="948" spans="1:17" x14ac:dyDescent="0.15">
      <c r="A948" s="10">
        <v>45899.5625</v>
      </c>
      <c r="B948">
        <f>COUNT(A948:$A$1158)/(48*252)</f>
        <v>1.744378306878307E-2</v>
      </c>
      <c r="C948">
        <v>2.3039999999999998</v>
      </c>
      <c r="D948">
        <v>0.108</v>
      </c>
      <c r="E948">
        <f t="shared" si="168"/>
        <v>2.9311452194699439</v>
      </c>
      <c r="F948">
        <f t="shared" si="169"/>
        <v>-1.6885743523067376E-3</v>
      </c>
      <c r="G948">
        <f t="shared" si="172"/>
        <v>-4.0000000000000036E-3</v>
      </c>
      <c r="H948">
        <f>IF(MOD(COUNTA($C$7:C948)-1,$J$2),H947,ROUND(F948*P948,-2))</f>
        <v>0</v>
      </c>
      <c r="I948">
        <f t="shared" si="173"/>
        <v>0</v>
      </c>
      <c r="J948">
        <f t="shared" si="174"/>
        <v>0</v>
      </c>
      <c r="K948">
        <f t="shared" si="175"/>
        <v>206.84352009786903</v>
      </c>
      <c r="L948">
        <f t="shared" si="176"/>
        <v>206.84352009786903</v>
      </c>
      <c r="M948">
        <f t="shared" si="177"/>
        <v>0</v>
      </c>
      <c r="N948">
        <f t="shared" si="179"/>
        <v>206.84352009786903</v>
      </c>
      <c r="O948" s="5">
        <f t="shared" si="170"/>
        <v>8.6991949875551283E-5</v>
      </c>
      <c r="P948">
        <f t="shared" si="178"/>
        <v>10000</v>
      </c>
      <c r="Q948">
        <f t="shared" si="171"/>
        <v>0.86991949875551278</v>
      </c>
    </row>
    <row r="949" spans="1:17" x14ac:dyDescent="0.15">
      <c r="A949" s="10">
        <v>45899.565972222015</v>
      </c>
      <c r="B949">
        <f>COUNT(A949:$A$1158)/(48*252)</f>
        <v>1.7361111111111112E-2</v>
      </c>
      <c r="C949">
        <v>2.3090000000000002</v>
      </c>
      <c r="D949">
        <v>0.112</v>
      </c>
      <c r="E949">
        <f t="shared" si="168"/>
        <v>2.966480016148926</v>
      </c>
      <c r="F949">
        <f t="shared" si="169"/>
        <v>-1.5061496822269538E-3</v>
      </c>
      <c r="G949">
        <f t="shared" si="172"/>
        <v>5.0000000000003375E-3</v>
      </c>
      <c r="H949">
        <f>IF(MOD(COUNTA($C$7:C949)-1,$J$2),H948,ROUND(F949*P949,-2))</f>
        <v>0</v>
      </c>
      <c r="I949">
        <f t="shared" si="173"/>
        <v>0</v>
      </c>
      <c r="J949">
        <f t="shared" si="174"/>
        <v>0</v>
      </c>
      <c r="K949">
        <f t="shared" si="175"/>
        <v>206.84352009786903</v>
      </c>
      <c r="L949">
        <f t="shared" si="176"/>
        <v>206.84352009786903</v>
      </c>
      <c r="M949">
        <f t="shared" si="177"/>
        <v>0</v>
      </c>
      <c r="N949">
        <f t="shared" si="179"/>
        <v>206.84352009786903</v>
      </c>
      <c r="O949" s="5">
        <f t="shared" si="170"/>
        <v>7.6874008311598584E-5</v>
      </c>
      <c r="P949">
        <f t="shared" si="178"/>
        <v>10000</v>
      </c>
      <c r="Q949">
        <f t="shared" si="171"/>
        <v>0.76874008311598585</v>
      </c>
    </row>
    <row r="950" spans="1:17" x14ac:dyDescent="0.15">
      <c r="A950" s="10">
        <v>45899.569444444962</v>
      </c>
      <c r="B950">
        <f>COUNT(A950:$A$1158)/(48*252)</f>
        <v>1.7278439153439153E-2</v>
      </c>
      <c r="C950">
        <v>2.3119999999999998</v>
      </c>
      <c r="D950">
        <v>0.113</v>
      </c>
      <c r="E950">
        <f t="shared" si="168"/>
        <v>2.9905122697982822</v>
      </c>
      <c r="F950">
        <f t="shared" si="169"/>
        <v>-1.3925497001224807E-3</v>
      </c>
      <c r="G950">
        <f t="shared" si="172"/>
        <v>2.9999999999996696E-3</v>
      </c>
      <c r="H950">
        <f>IF(MOD(COUNTA($C$7:C950)-1,$J$2),H949,ROUND(F950*P950,-2))</f>
        <v>0</v>
      </c>
      <c r="I950">
        <f t="shared" si="173"/>
        <v>0</v>
      </c>
      <c r="J950">
        <f t="shared" si="174"/>
        <v>0</v>
      </c>
      <c r="K950">
        <f t="shared" si="175"/>
        <v>206.84352009786903</v>
      </c>
      <c r="L950">
        <f t="shared" si="176"/>
        <v>206.84352009786903</v>
      </c>
      <c r="M950">
        <f t="shared" si="177"/>
        <v>0</v>
      </c>
      <c r="N950">
        <f t="shared" si="179"/>
        <v>206.84352009786903</v>
      </c>
      <c r="O950" s="5">
        <f t="shared" si="170"/>
        <v>7.0561408258033951E-5</v>
      </c>
      <c r="P950">
        <f t="shared" si="178"/>
        <v>10000</v>
      </c>
      <c r="Q950">
        <f t="shared" si="171"/>
        <v>0.70561408258033953</v>
      </c>
    </row>
    <row r="951" spans="1:17" x14ac:dyDescent="0.15">
      <c r="A951" s="10">
        <v>45899.572916666977</v>
      </c>
      <c r="B951">
        <f>COUNT(A951:$A$1158)/(48*252)</f>
        <v>1.7195767195767195E-2</v>
      </c>
      <c r="C951">
        <v>2.31</v>
      </c>
      <c r="D951">
        <v>0.112</v>
      </c>
      <c r="E951">
        <f t="shared" si="168"/>
        <v>2.9860146066171738</v>
      </c>
      <c r="F951">
        <f t="shared" si="169"/>
        <v>-1.4131957128036277E-3</v>
      </c>
      <c r="G951">
        <f t="shared" si="172"/>
        <v>-1.9999999999997797E-3</v>
      </c>
      <c r="H951">
        <f>IF(MOD(COUNTA($C$7:C951)-1,$J$2),H950,ROUND(F951*P951,-2))</f>
        <v>0</v>
      </c>
      <c r="I951">
        <f t="shared" si="173"/>
        <v>0</v>
      </c>
      <c r="J951">
        <f t="shared" si="174"/>
        <v>0</v>
      </c>
      <c r="K951">
        <f t="shared" si="175"/>
        <v>206.84352009786903</v>
      </c>
      <c r="L951">
        <f t="shared" si="176"/>
        <v>206.84352009786903</v>
      </c>
      <c r="M951">
        <f t="shared" si="177"/>
        <v>0</v>
      </c>
      <c r="N951">
        <f t="shared" si="179"/>
        <v>206.84352009786903</v>
      </c>
      <c r="O951" s="5">
        <f t="shared" si="170"/>
        <v>7.1452447966952656E-5</v>
      </c>
      <c r="P951">
        <f t="shared" si="178"/>
        <v>10000</v>
      </c>
      <c r="Q951">
        <f t="shared" si="171"/>
        <v>0.71452447966952659</v>
      </c>
    </row>
    <row r="952" spans="1:17" x14ac:dyDescent="0.15">
      <c r="A952" s="10">
        <v>45899.576388888992</v>
      </c>
      <c r="B952">
        <f>COUNT(A952:$A$1158)/(48*252)</f>
        <v>1.711309523809524E-2</v>
      </c>
      <c r="C952">
        <v>2.3050000000000002</v>
      </c>
      <c r="D952">
        <v>0.108</v>
      </c>
      <c r="E952">
        <f t="shared" si="168"/>
        <v>2.9642323277794804</v>
      </c>
      <c r="F952">
        <f t="shared" si="169"/>
        <v>-1.5171955021594519E-3</v>
      </c>
      <c r="G952">
        <f t="shared" si="172"/>
        <v>-4.9999999999998934E-3</v>
      </c>
      <c r="H952">
        <f>IF(MOD(COUNTA($C$7:C952)-1,$J$2),H951,ROUND(F952*P952,-2))</f>
        <v>0</v>
      </c>
      <c r="I952">
        <f t="shared" si="173"/>
        <v>0</v>
      </c>
      <c r="J952">
        <f t="shared" si="174"/>
        <v>0</v>
      </c>
      <c r="K952">
        <f t="shared" si="175"/>
        <v>206.84352009786903</v>
      </c>
      <c r="L952">
        <f t="shared" si="176"/>
        <v>206.84352009786903</v>
      </c>
      <c r="M952">
        <f t="shared" si="177"/>
        <v>0</v>
      </c>
      <c r="N952">
        <f t="shared" si="179"/>
        <v>206.84352009786903</v>
      </c>
      <c r="O952" s="5">
        <f t="shared" si="170"/>
        <v>7.6782182302434498E-5</v>
      </c>
      <c r="P952">
        <f t="shared" si="178"/>
        <v>10000</v>
      </c>
      <c r="Q952">
        <f t="shared" si="171"/>
        <v>0.76782182302434498</v>
      </c>
    </row>
    <row r="953" spans="1:17" x14ac:dyDescent="0.15">
      <c r="A953" s="10">
        <v>45899.579861111008</v>
      </c>
      <c r="B953">
        <f>COUNT(A953:$A$1158)/(48*252)</f>
        <v>1.7030423280423281E-2</v>
      </c>
      <c r="C953">
        <v>2.3109999999999999</v>
      </c>
      <c r="D953">
        <v>0.112</v>
      </c>
      <c r="E953">
        <f t="shared" si="168"/>
        <v>3.0058048018076748</v>
      </c>
      <c r="F953">
        <f t="shared" si="169"/>
        <v>-1.3243948794269267E-3</v>
      </c>
      <c r="G953">
        <f t="shared" si="172"/>
        <v>5.9999999999997833E-3</v>
      </c>
      <c r="H953">
        <f>IF(MOD(COUNTA($C$7:C953)-1,$J$2),H952,ROUND(F953*P953,-2))</f>
        <v>0</v>
      </c>
      <c r="I953">
        <f t="shared" si="173"/>
        <v>0</v>
      </c>
      <c r="J953">
        <f t="shared" si="174"/>
        <v>0</v>
      </c>
      <c r="K953">
        <f t="shared" si="175"/>
        <v>206.84352009786903</v>
      </c>
      <c r="L953">
        <f t="shared" si="176"/>
        <v>206.84352009786903</v>
      </c>
      <c r="M953">
        <f t="shared" si="177"/>
        <v>0</v>
      </c>
      <c r="N953">
        <f t="shared" si="179"/>
        <v>206.84352009786903</v>
      </c>
      <c r="O953" s="5">
        <f t="shared" si="170"/>
        <v>6.6327868718889932E-5</v>
      </c>
      <c r="P953">
        <f t="shared" si="178"/>
        <v>10000</v>
      </c>
      <c r="Q953">
        <f t="shared" si="171"/>
        <v>0.66327868718889937</v>
      </c>
    </row>
    <row r="954" spans="1:17" x14ac:dyDescent="0.15">
      <c r="A954" s="10">
        <v>45899.583333333023</v>
      </c>
      <c r="B954">
        <f>COUNT(A954:$A$1158)/(48*252)</f>
        <v>1.6947751322751323E-2</v>
      </c>
      <c r="C954">
        <v>2.3149999999999999</v>
      </c>
      <c r="D954">
        <v>0.115</v>
      </c>
      <c r="E954">
        <f t="shared" si="168"/>
        <v>3.0359852979437782</v>
      </c>
      <c r="F954">
        <f t="shared" si="169"/>
        <v>-1.1987552721870465E-3</v>
      </c>
      <c r="G954">
        <f t="shared" si="172"/>
        <v>4.0000000000000036E-3</v>
      </c>
      <c r="H954">
        <f>IF(MOD(COUNTA($C$7:C954)-1,$J$2),H953,ROUND(F954*P954,-2))</f>
        <v>0</v>
      </c>
      <c r="I954">
        <f t="shared" si="173"/>
        <v>0</v>
      </c>
      <c r="J954">
        <f t="shared" si="174"/>
        <v>0</v>
      </c>
      <c r="K954">
        <f t="shared" si="175"/>
        <v>206.84352009786903</v>
      </c>
      <c r="L954">
        <f t="shared" si="176"/>
        <v>206.84352009786903</v>
      </c>
      <c r="M954">
        <f t="shared" si="177"/>
        <v>0</v>
      </c>
      <c r="N954">
        <f t="shared" si="179"/>
        <v>206.84352009786903</v>
      </c>
      <c r="O954" s="5">
        <f t="shared" si="170"/>
        <v>5.9534581633474432E-5</v>
      </c>
      <c r="P954">
        <f t="shared" si="178"/>
        <v>10000</v>
      </c>
      <c r="Q954">
        <f t="shared" si="171"/>
        <v>0.59534581633474437</v>
      </c>
    </row>
    <row r="955" spans="1:17" x14ac:dyDescent="0.15">
      <c r="A955" s="10">
        <v>45899.586805555969</v>
      </c>
      <c r="B955">
        <f>COUNT(A955:$A$1158)/(48*252)</f>
        <v>1.6865079365079364E-2</v>
      </c>
      <c r="C955">
        <v>2.319</v>
      </c>
      <c r="D955">
        <v>0.11700000000000001</v>
      </c>
      <c r="E955">
        <f t="shared" si="168"/>
        <v>3.066291549852997</v>
      </c>
      <c r="F955">
        <f t="shared" si="169"/>
        <v>-1.0836593493058766E-3</v>
      </c>
      <c r="G955">
        <f t="shared" si="172"/>
        <v>4.0000000000000036E-3</v>
      </c>
      <c r="H955">
        <f>IF(MOD(COUNTA($C$7:C955)-1,$J$2),H954,ROUND(F955*P955,-2))</f>
        <v>0</v>
      </c>
      <c r="I955">
        <f t="shared" si="173"/>
        <v>0</v>
      </c>
      <c r="J955">
        <f t="shared" si="174"/>
        <v>0</v>
      </c>
      <c r="K955">
        <f t="shared" si="175"/>
        <v>206.84352009786903</v>
      </c>
      <c r="L955">
        <f t="shared" si="176"/>
        <v>206.84352009786903</v>
      </c>
      <c r="M955">
        <f t="shared" si="177"/>
        <v>0</v>
      </c>
      <c r="N955">
        <f t="shared" si="179"/>
        <v>206.84352009786903</v>
      </c>
      <c r="O955" s="5">
        <f t="shared" si="170"/>
        <v>5.3369331655555609E-5</v>
      </c>
      <c r="P955">
        <f t="shared" si="178"/>
        <v>10000</v>
      </c>
      <c r="Q955">
        <f t="shared" si="171"/>
        <v>0.53369331655555607</v>
      </c>
    </row>
    <row r="956" spans="1:17" x14ac:dyDescent="0.15">
      <c r="A956" s="10">
        <v>45899.590277777985</v>
      </c>
      <c r="B956">
        <f>COUNT(A956:$A$1158)/(48*252)</f>
        <v>1.6782407407407409E-2</v>
      </c>
      <c r="C956">
        <v>2.3149999999999999</v>
      </c>
      <c r="D956">
        <v>0.114</v>
      </c>
      <c r="E956">
        <f t="shared" si="168"/>
        <v>3.0504703291317052</v>
      </c>
      <c r="F956">
        <f t="shared" si="169"/>
        <v>-1.1424162735769183E-3</v>
      </c>
      <c r="G956">
        <f t="shared" si="172"/>
        <v>-4.0000000000000036E-3</v>
      </c>
      <c r="H956">
        <f>IF(MOD(COUNTA($C$7:C956)-1,$J$2),H955,ROUND(F956*P956,-2))</f>
        <v>0</v>
      </c>
      <c r="I956">
        <f t="shared" si="173"/>
        <v>0</v>
      </c>
      <c r="J956">
        <f t="shared" si="174"/>
        <v>0</v>
      </c>
      <c r="K956">
        <f t="shared" si="175"/>
        <v>206.84352009786903</v>
      </c>
      <c r="L956">
        <f t="shared" si="176"/>
        <v>206.84352009786903</v>
      </c>
      <c r="M956">
        <f t="shared" si="177"/>
        <v>0</v>
      </c>
      <c r="N956">
        <f t="shared" si="179"/>
        <v>206.84352009786903</v>
      </c>
      <c r="O956" s="5">
        <f t="shared" si="170"/>
        <v>5.6248217470319158E-5</v>
      </c>
      <c r="P956">
        <f t="shared" si="178"/>
        <v>10000</v>
      </c>
      <c r="Q956">
        <f t="shared" si="171"/>
        <v>0.56248217470319162</v>
      </c>
    </row>
    <row r="957" spans="1:17" x14ac:dyDescent="0.15">
      <c r="A957" s="10">
        <v>45899.59375</v>
      </c>
      <c r="B957">
        <f>COUNT(A957:$A$1158)/(48*252)</f>
        <v>1.6699735449735451E-2</v>
      </c>
      <c r="C957">
        <v>2.3180000000000001</v>
      </c>
      <c r="D957">
        <v>0.11600000000000001</v>
      </c>
      <c r="E957">
        <f t="shared" si="168"/>
        <v>3.075201434692973</v>
      </c>
      <c r="F957">
        <f t="shared" si="169"/>
        <v>-1.051802132781221E-3</v>
      </c>
      <c r="G957">
        <f t="shared" si="172"/>
        <v>3.0000000000001137E-3</v>
      </c>
      <c r="H957">
        <f>IF(MOD(COUNTA($C$7:C957)-1,$J$2),H956,ROUND(F957*P957,-2))</f>
        <v>0</v>
      </c>
      <c r="I957">
        <f t="shared" si="173"/>
        <v>0</v>
      </c>
      <c r="J957">
        <f t="shared" si="174"/>
        <v>0</v>
      </c>
      <c r="K957">
        <f t="shared" si="175"/>
        <v>206.84352009786903</v>
      </c>
      <c r="L957">
        <f t="shared" si="176"/>
        <v>206.84352009786903</v>
      </c>
      <c r="M957">
        <f t="shared" si="177"/>
        <v>0</v>
      </c>
      <c r="N957">
        <f t="shared" si="179"/>
        <v>206.84352009786903</v>
      </c>
      <c r="O957" s="5">
        <f t="shared" si="170"/>
        <v>5.1403838004827201E-5</v>
      </c>
      <c r="P957">
        <f t="shared" si="178"/>
        <v>10000</v>
      </c>
      <c r="Q957">
        <f t="shared" si="171"/>
        <v>0.51403838004827196</v>
      </c>
    </row>
    <row r="958" spans="1:17" x14ac:dyDescent="0.15">
      <c r="A958" s="10">
        <v>45899.597222222015</v>
      </c>
      <c r="B958">
        <f>COUNT(A958:$A$1158)/(48*252)</f>
        <v>1.6617063492063492E-2</v>
      </c>
      <c r="C958">
        <v>2.3199999999999998</v>
      </c>
      <c r="D958">
        <v>0.11700000000000001</v>
      </c>
      <c r="E958">
        <f t="shared" si="168"/>
        <v>3.094244789973696</v>
      </c>
      <c r="F958">
        <f t="shared" si="169"/>
        <v>-9.8657305749749735E-4</v>
      </c>
      <c r="G958">
        <f t="shared" si="172"/>
        <v>1.9999999999997797E-3</v>
      </c>
      <c r="H958">
        <f>IF(MOD(COUNTA($C$7:C958)-1,$J$2),H957,ROUND(F958*P958,-2))</f>
        <v>0</v>
      </c>
      <c r="I958">
        <f t="shared" si="173"/>
        <v>0</v>
      </c>
      <c r="J958">
        <f t="shared" si="174"/>
        <v>0</v>
      </c>
      <c r="K958">
        <f t="shared" si="175"/>
        <v>206.84352009786903</v>
      </c>
      <c r="L958">
        <f t="shared" si="176"/>
        <v>206.84352009786903</v>
      </c>
      <c r="M958">
        <f t="shared" si="177"/>
        <v>0</v>
      </c>
      <c r="N958">
        <f t="shared" si="179"/>
        <v>206.84352009786903</v>
      </c>
      <c r="O958" s="5">
        <f t="shared" si="170"/>
        <v>4.790742547028078E-5</v>
      </c>
      <c r="P958">
        <f t="shared" si="178"/>
        <v>10000</v>
      </c>
      <c r="Q958">
        <f t="shared" si="171"/>
        <v>0.47907425470280779</v>
      </c>
    </row>
    <row r="959" spans="1:17" x14ac:dyDescent="0.15">
      <c r="A959" s="10">
        <v>45899.600694444962</v>
      </c>
      <c r="B959">
        <f>COUNT(A959:$A$1158)/(48*252)</f>
        <v>1.6534391534391533E-2</v>
      </c>
      <c r="C959">
        <v>2.3199999999999998</v>
      </c>
      <c r="D959">
        <v>0.11799999999999999</v>
      </c>
      <c r="E959">
        <f t="shared" si="168"/>
        <v>3.1017521827794643</v>
      </c>
      <c r="F959">
        <f t="shared" si="169"/>
        <v>-9.6189466982254945E-4</v>
      </c>
      <c r="G959">
        <f t="shared" si="172"/>
        <v>0</v>
      </c>
      <c r="H959">
        <f>IF(MOD(COUNTA($C$7:C959)-1,$J$2),H958,ROUND(F959*P959,-2))</f>
        <v>0</v>
      </c>
      <c r="I959">
        <f t="shared" si="173"/>
        <v>0</v>
      </c>
      <c r="J959">
        <f t="shared" si="174"/>
        <v>0</v>
      </c>
      <c r="K959">
        <f t="shared" si="175"/>
        <v>206.84352009786903</v>
      </c>
      <c r="L959">
        <f t="shared" si="176"/>
        <v>206.84352009786903</v>
      </c>
      <c r="M959">
        <f t="shared" si="177"/>
        <v>0</v>
      </c>
      <c r="N959">
        <f t="shared" si="179"/>
        <v>206.84352009786903</v>
      </c>
      <c r="O959" s="5">
        <f t="shared" si="170"/>
        <v>4.6503481928038097E-5</v>
      </c>
      <c r="P959">
        <f t="shared" si="178"/>
        <v>10000</v>
      </c>
      <c r="Q959">
        <f t="shared" si="171"/>
        <v>0.46503481928038098</v>
      </c>
    </row>
    <row r="960" spans="1:17" x14ac:dyDescent="0.15">
      <c r="A960" s="10">
        <v>45899.604166666977</v>
      </c>
      <c r="B960">
        <f>COUNT(A960:$A$1158)/(48*252)</f>
        <v>1.6451719576719578E-2</v>
      </c>
      <c r="C960">
        <v>2.323</v>
      </c>
      <c r="D960">
        <v>0.12</v>
      </c>
      <c r="E960">
        <f t="shared" si="168"/>
        <v>3.1268168355404113</v>
      </c>
      <c r="F960">
        <f t="shared" si="169"/>
        <v>-8.8354991457462173E-4</v>
      </c>
      <c r="G960">
        <f t="shared" si="172"/>
        <v>3.0000000000001137E-3</v>
      </c>
      <c r="H960">
        <f>IF(MOD(COUNTA($C$7:C960)-1,$J$2),H959,ROUND(F960*P960,-2))</f>
        <v>0</v>
      </c>
      <c r="I960">
        <f t="shared" si="173"/>
        <v>0</v>
      </c>
      <c r="J960">
        <f t="shared" si="174"/>
        <v>0</v>
      </c>
      <c r="K960">
        <f t="shared" si="175"/>
        <v>206.84352009786903</v>
      </c>
      <c r="L960">
        <f t="shared" si="176"/>
        <v>206.84352009786903</v>
      </c>
      <c r="M960">
        <f t="shared" si="177"/>
        <v>0</v>
      </c>
      <c r="N960">
        <f t="shared" si="179"/>
        <v>206.84352009786903</v>
      </c>
      <c r="O960" s="5">
        <f t="shared" si="170"/>
        <v>4.2397539737068848E-5</v>
      </c>
      <c r="P960">
        <f t="shared" si="178"/>
        <v>10000</v>
      </c>
      <c r="Q960">
        <f t="shared" si="171"/>
        <v>0.42397539737068846</v>
      </c>
    </row>
    <row r="961" spans="1:17" x14ac:dyDescent="0.15">
      <c r="A961" s="10">
        <v>45899.607638888992</v>
      </c>
      <c r="B961">
        <f>COUNT(A961:$A$1158)/(48*252)</f>
        <v>1.636904761904762E-2</v>
      </c>
      <c r="C961">
        <v>2.323</v>
      </c>
      <c r="D961">
        <v>0.12</v>
      </c>
      <c r="E961">
        <f t="shared" si="168"/>
        <v>3.1344832181606557</v>
      </c>
      <c r="F961">
        <f t="shared" si="169"/>
        <v>-8.6078550392565401E-4</v>
      </c>
      <c r="G961">
        <f t="shared" si="172"/>
        <v>0</v>
      </c>
      <c r="H961">
        <f>IF(MOD(COUNTA($C$7:C961)-1,$J$2),H960,ROUND(F961*P961,-2))</f>
        <v>0</v>
      </c>
      <c r="I961">
        <f t="shared" si="173"/>
        <v>0</v>
      </c>
      <c r="J961">
        <f t="shared" si="174"/>
        <v>0</v>
      </c>
      <c r="K961">
        <f t="shared" si="175"/>
        <v>206.84352009786903</v>
      </c>
      <c r="L961">
        <f t="shared" si="176"/>
        <v>206.84352009786903</v>
      </c>
      <c r="M961">
        <f t="shared" si="177"/>
        <v>0</v>
      </c>
      <c r="N961">
        <f t="shared" si="179"/>
        <v>206.84352009786903</v>
      </c>
      <c r="O961" s="5">
        <f t="shared" si="170"/>
        <v>4.1121243930521915E-5</v>
      </c>
      <c r="P961">
        <f t="shared" si="178"/>
        <v>10000</v>
      </c>
      <c r="Q961">
        <f t="shared" si="171"/>
        <v>0.41121243930521917</v>
      </c>
    </row>
    <row r="962" spans="1:17" x14ac:dyDescent="0.15">
      <c r="A962" s="10">
        <v>45899.611111111008</v>
      </c>
      <c r="B962">
        <f>COUNT(A962:$A$1158)/(48*252)</f>
        <v>1.6286375661375661E-2</v>
      </c>
      <c r="C962">
        <v>2.3290000000000002</v>
      </c>
      <c r="D962">
        <v>0.124</v>
      </c>
      <c r="E962">
        <f t="shared" si="168"/>
        <v>3.1773180215765553</v>
      </c>
      <c r="F962">
        <f t="shared" si="169"/>
        <v>-7.4321970851387587E-4</v>
      </c>
      <c r="G962">
        <f t="shared" si="172"/>
        <v>6.0000000000002274E-3</v>
      </c>
      <c r="H962">
        <f>IF(MOD(COUNTA($C$7:C962)-1,$J$2),H961,ROUND(F962*P962,-2))</f>
        <v>0</v>
      </c>
      <c r="I962">
        <f t="shared" si="173"/>
        <v>0</v>
      </c>
      <c r="J962">
        <f t="shared" si="174"/>
        <v>0</v>
      </c>
      <c r="K962">
        <f t="shared" si="175"/>
        <v>206.84352009786903</v>
      </c>
      <c r="L962">
        <f t="shared" si="176"/>
        <v>206.84352009786903</v>
      </c>
      <c r="M962">
        <f t="shared" si="177"/>
        <v>0</v>
      </c>
      <c r="N962">
        <f t="shared" si="179"/>
        <v>206.84352009786903</v>
      </c>
      <c r="O962" s="5">
        <f t="shared" si="170"/>
        <v>3.5132754986695776E-5</v>
      </c>
      <c r="P962">
        <f t="shared" si="178"/>
        <v>10000</v>
      </c>
      <c r="Q962">
        <f t="shared" si="171"/>
        <v>0.35132754986695774</v>
      </c>
    </row>
    <row r="963" spans="1:17" x14ac:dyDescent="0.15">
      <c r="A963" s="10">
        <v>45899.614583333023</v>
      </c>
      <c r="B963">
        <f>COUNT(A963:$A$1158)/(48*252)</f>
        <v>1.6203703703703703E-2</v>
      </c>
      <c r="C963">
        <v>2.3359999999999999</v>
      </c>
      <c r="D963">
        <v>0.13</v>
      </c>
      <c r="E963">
        <f t="shared" si="168"/>
        <v>3.226143408147979</v>
      </c>
      <c r="F963">
        <f t="shared" si="169"/>
        <v>-6.273523611358689E-4</v>
      </c>
      <c r="G963">
        <f t="shared" si="172"/>
        <v>6.9999999999996732E-3</v>
      </c>
      <c r="H963">
        <f>IF(MOD(COUNTA($C$7:C963)-1,$J$2),H962,ROUND(F963*P963,-2))</f>
        <v>0</v>
      </c>
      <c r="I963">
        <f t="shared" si="173"/>
        <v>0</v>
      </c>
      <c r="J963">
        <f t="shared" si="174"/>
        <v>0</v>
      </c>
      <c r="K963">
        <f t="shared" si="175"/>
        <v>206.84352009786903</v>
      </c>
      <c r="L963">
        <f t="shared" si="176"/>
        <v>206.84352009786903</v>
      </c>
      <c r="M963">
        <f t="shared" si="177"/>
        <v>0</v>
      </c>
      <c r="N963">
        <f t="shared" si="179"/>
        <v>206.84352009786903</v>
      </c>
      <c r="O963" s="5">
        <f t="shared" si="170"/>
        <v>2.9316682566813334E-5</v>
      </c>
      <c r="P963">
        <f t="shared" si="178"/>
        <v>10000</v>
      </c>
      <c r="Q963">
        <f t="shared" si="171"/>
        <v>0.29316682566813335</v>
      </c>
    </row>
    <row r="964" spans="1:17" x14ac:dyDescent="0.15">
      <c r="A964" s="10">
        <v>45899.618055555969</v>
      </c>
      <c r="B964">
        <f>COUNT(A964:$A$1158)/(48*252)</f>
        <v>1.6121031746031748E-2</v>
      </c>
      <c r="C964">
        <v>2.3319999999999999</v>
      </c>
      <c r="D964">
        <v>0.127</v>
      </c>
      <c r="E964">
        <f t="shared" si="168"/>
        <v>3.2107381767101937</v>
      </c>
      <c r="F964">
        <f t="shared" si="169"/>
        <v>-6.619725107120944E-4</v>
      </c>
      <c r="G964">
        <f t="shared" si="172"/>
        <v>-4.0000000000000036E-3</v>
      </c>
      <c r="H964">
        <f>IF(MOD(COUNTA($C$7:C964)-1,$J$2),H963,ROUND(F964*P964,-2))</f>
        <v>0</v>
      </c>
      <c r="I964">
        <f t="shared" si="173"/>
        <v>0</v>
      </c>
      <c r="J964">
        <f t="shared" si="174"/>
        <v>0</v>
      </c>
      <c r="K964">
        <f t="shared" si="175"/>
        <v>206.84352009786903</v>
      </c>
      <c r="L964">
        <f t="shared" si="176"/>
        <v>206.84352009786903</v>
      </c>
      <c r="M964">
        <f t="shared" si="177"/>
        <v>0</v>
      </c>
      <c r="N964">
        <f t="shared" si="179"/>
        <v>206.84352009786903</v>
      </c>
      <c r="O964" s="5">
        <f t="shared" si="170"/>
        <v>3.0916672657868181E-5</v>
      </c>
      <c r="P964">
        <f t="shared" si="178"/>
        <v>10000</v>
      </c>
      <c r="Q964">
        <f t="shared" si="171"/>
        <v>0.30916672657868183</v>
      </c>
    </row>
    <row r="965" spans="1:17" x14ac:dyDescent="0.15">
      <c r="A965" s="10">
        <v>45899.621527777985</v>
      </c>
      <c r="B965">
        <f>COUNT(A965:$A$1158)/(48*252)</f>
        <v>1.6038359788359789E-2</v>
      </c>
      <c r="C965">
        <v>2.3330000000000002</v>
      </c>
      <c r="D965">
        <v>0.126</v>
      </c>
      <c r="E965">
        <f t="shared" si="168"/>
        <v>3.2246609399898127</v>
      </c>
      <c r="F965">
        <f t="shared" si="169"/>
        <v>-6.3060971897443974E-4</v>
      </c>
      <c r="G965">
        <f t="shared" si="172"/>
        <v>1.000000000000334E-3</v>
      </c>
      <c r="H965">
        <f>IF(MOD(COUNTA($C$7:C965)-1,$J$2),H964,ROUND(F965*P965,-2))</f>
        <v>0</v>
      </c>
      <c r="I965">
        <f t="shared" si="173"/>
        <v>0</v>
      </c>
      <c r="J965">
        <f t="shared" si="174"/>
        <v>0</v>
      </c>
      <c r="K965">
        <f t="shared" si="175"/>
        <v>206.84352009786903</v>
      </c>
      <c r="L965">
        <f t="shared" si="176"/>
        <v>206.84352009786903</v>
      </c>
      <c r="M965">
        <f t="shared" si="177"/>
        <v>0</v>
      </c>
      <c r="N965">
        <f t="shared" si="179"/>
        <v>206.84352009786903</v>
      </c>
      <c r="O965" s="5">
        <f t="shared" si="170"/>
        <v>2.928821845083634E-5</v>
      </c>
      <c r="P965">
        <f t="shared" si="178"/>
        <v>10000</v>
      </c>
      <c r="Q965">
        <f t="shared" si="171"/>
        <v>0.2928821845083634</v>
      </c>
    </row>
    <row r="966" spans="1:17" x14ac:dyDescent="0.15">
      <c r="A966" s="10">
        <v>45899.625</v>
      </c>
      <c r="B966">
        <f>COUNT(A966:$A$1158)/(48*252)</f>
        <v>1.5955687830687831E-2</v>
      </c>
      <c r="C966">
        <v>2.3330000000000002</v>
      </c>
      <c r="D966">
        <v>0.126</v>
      </c>
      <c r="E966">
        <f t="shared" si="168"/>
        <v>3.2327816882975782</v>
      </c>
      <c r="F966">
        <f t="shared" si="169"/>
        <v>-6.129560385162991E-4</v>
      </c>
      <c r="G966">
        <f t="shared" si="172"/>
        <v>0</v>
      </c>
      <c r="H966">
        <f>IF(MOD(COUNTA($C$7:C966)-1,$J$2),H965,ROUND(F966*P966,-2))</f>
        <v>0</v>
      </c>
      <c r="I966">
        <f t="shared" si="173"/>
        <v>0</v>
      </c>
      <c r="J966">
        <f t="shared" si="174"/>
        <v>0</v>
      </c>
      <c r="K966">
        <f t="shared" si="175"/>
        <v>206.84352009786903</v>
      </c>
      <c r="L966">
        <f t="shared" si="176"/>
        <v>206.84352009786903</v>
      </c>
      <c r="M966">
        <f t="shared" si="177"/>
        <v>0</v>
      </c>
      <c r="N966">
        <f t="shared" si="179"/>
        <v>206.84352009786903</v>
      </c>
      <c r="O966" s="5">
        <f t="shared" si="170"/>
        <v>2.8337615847312189E-5</v>
      </c>
      <c r="P966">
        <f t="shared" si="178"/>
        <v>10000</v>
      </c>
      <c r="Q966">
        <f t="shared" si="171"/>
        <v>0.28337615847312192</v>
      </c>
    </row>
    <row r="967" spans="1:17" x14ac:dyDescent="0.15">
      <c r="A967" s="10">
        <v>45900.399305555969</v>
      </c>
      <c r="B967">
        <f>COUNT(A967:$A$1158)/(48*252)</f>
        <v>1.5873015873015872E-2</v>
      </c>
      <c r="C967">
        <v>2.3319999999999999</v>
      </c>
      <c r="D967">
        <v>0.13100000000000001</v>
      </c>
      <c r="E967">
        <f t="shared" si="168"/>
        <v>3.2350556001608481</v>
      </c>
      <c r="F967">
        <f t="shared" si="169"/>
        <v>-6.0809522642524261E-4</v>
      </c>
      <c r="G967">
        <f t="shared" si="172"/>
        <v>-1.000000000000334E-3</v>
      </c>
      <c r="H967">
        <f>IF(MOD(COUNTA($C$7:C967)-1,$J$2),H966,ROUND(F967*P967,-2))</f>
        <v>0</v>
      </c>
      <c r="I967">
        <f t="shared" si="173"/>
        <v>0</v>
      </c>
      <c r="J967">
        <f t="shared" si="174"/>
        <v>0</v>
      </c>
      <c r="K967">
        <f t="shared" si="175"/>
        <v>206.84352009786903</v>
      </c>
      <c r="L967">
        <f t="shared" si="176"/>
        <v>206.84352009786903</v>
      </c>
      <c r="M967">
        <f t="shared" si="177"/>
        <v>0</v>
      </c>
      <c r="N967">
        <f t="shared" si="179"/>
        <v>206.84352009786903</v>
      </c>
      <c r="O967" s="5">
        <f t="shared" si="170"/>
        <v>2.8011160670893785E-5</v>
      </c>
      <c r="P967">
        <f t="shared" si="178"/>
        <v>10000</v>
      </c>
      <c r="Q967">
        <f t="shared" si="171"/>
        <v>0.28011160670893787</v>
      </c>
    </row>
    <row r="968" spans="1:17" x14ac:dyDescent="0.15">
      <c r="A968" s="10">
        <v>45900.402777777985</v>
      </c>
      <c r="B968">
        <f>COUNT(A968:$A$1158)/(48*252)</f>
        <v>1.5790343915343917E-2</v>
      </c>
      <c r="C968">
        <v>2.3370000000000002</v>
      </c>
      <c r="D968">
        <v>0.13600000000000001</v>
      </c>
      <c r="E968">
        <f t="shared" ref="E968:E1031" si="180">(LN(C968/$B$2)+($B$1+0.5*$D$1*$D$1)*B968)/($D$1*SQRT(B968))</f>
        <v>3.27289538353233</v>
      </c>
      <c r="F968">
        <f t="shared" ref="F968:F1031" si="181">NORMSDIST(E968)-1</f>
        <v>-5.3225935254785917E-4</v>
      </c>
      <c r="G968">
        <f t="shared" si="172"/>
        <v>5.0000000000003375E-3</v>
      </c>
      <c r="H968">
        <f>IF(MOD(COUNTA($C$7:C968)-1,$J$2),H967,ROUND(F968*P968,-2))</f>
        <v>0</v>
      </c>
      <c r="I968">
        <f t="shared" si="173"/>
        <v>0</v>
      </c>
      <c r="J968">
        <f t="shared" si="174"/>
        <v>0</v>
      </c>
      <c r="K968">
        <f t="shared" si="175"/>
        <v>206.84352009786903</v>
      </c>
      <c r="L968">
        <f t="shared" si="176"/>
        <v>206.84352009786903</v>
      </c>
      <c r="M968">
        <f t="shared" si="177"/>
        <v>0</v>
      </c>
      <c r="N968">
        <f t="shared" si="179"/>
        <v>206.84352009786903</v>
      </c>
      <c r="O968" s="5">
        <f t="shared" ref="O968:O1031" si="182">put_bs($B$1,$J$1,C968,$B$2,B968)</f>
        <v>2.4282510218656206E-5</v>
      </c>
      <c r="P968">
        <f t="shared" si="178"/>
        <v>10000</v>
      </c>
      <c r="Q968">
        <f t="shared" ref="Q968:Q1031" si="183">P968*O968</f>
        <v>0.24282510218656206</v>
      </c>
    </row>
    <row r="969" spans="1:17" x14ac:dyDescent="0.15">
      <c r="A969" s="10">
        <v>45900.40625</v>
      </c>
      <c r="B969">
        <f>COUNT(A969:$A$1158)/(48*252)</f>
        <v>1.5707671957671959E-2</v>
      </c>
      <c r="C969">
        <v>2.3319999999999999</v>
      </c>
      <c r="D969">
        <v>0.13</v>
      </c>
      <c r="E969">
        <f t="shared" si="180"/>
        <v>3.2515891321267194</v>
      </c>
      <c r="F969">
        <f t="shared" si="181"/>
        <v>-5.7380893053382565E-4</v>
      </c>
      <c r="G969">
        <f t="shared" ref="G969:G1032" si="184">C969-C968</f>
        <v>-5.0000000000003375E-3</v>
      </c>
      <c r="H969">
        <f>IF(MOD(COUNTA($C$7:C969)-1,$J$2),H968,ROUND(F969*P969,-2))</f>
        <v>0</v>
      </c>
      <c r="I969">
        <f t="shared" ref="I969:I1032" si="185">H969-H968</f>
        <v>0</v>
      </c>
      <c r="J969">
        <f t="shared" ref="J969:J1032" si="186">J968</f>
        <v>0</v>
      </c>
      <c r="K969">
        <f t="shared" ref="K969:K1032" si="187">K968-I969*C969-ABS(I969*C969*$F$2)</f>
        <v>206.84352009786903</v>
      </c>
      <c r="L969">
        <f t="shared" ref="L969:L1032" si="188">K969+H969*C969</f>
        <v>206.84352009786903</v>
      </c>
      <c r="M969">
        <f t="shared" ref="M969:M1032" si="189">L969-L968</f>
        <v>0</v>
      </c>
      <c r="N969">
        <f t="shared" si="179"/>
        <v>206.84352009786903</v>
      </c>
      <c r="O969" s="5">
        <f t="shared" si="182"/>
        <v>2.6186354723455344E-5</v>
      </c>
      <c r="P969">
        <f t="shared" ref="P969:P1032" si="190">P968</f>
        <v>10000</v>
      </c>
      <c r="Q969">
        <f t="shared" si="183"/>
        <v>0.26186354723455346</v>
      </c>
    </row>
    <row r="970" spans="1:17" x14ac:dyDescent="0.15">
      <c r="A970" s="10">
        <v>45900.409722222015</v>
      </c>
      <c r="B970">
        <f>COUNT(A970:$A$1158)/(48*252)</f>
        <v>1.5625E-2</v>
      </c>
      <c r="C970">
        <v>2.3330000000000002</v>
      </c>
      <c r="D970">
        <v>0.13100000000000001</v>
      </c>
      <c r="E970">
        <f t="shared" si="180"/>
        <v>3.2659125293224833</v>
      </c>
      <c r="F970">
        <f t="shared" si="181"/>
        <v>-5.4555973859893303E-4</v>
      </c>
      <c r="G970">
        <f t="shared" si="184"/>
        <v>1.000000000000334E-3</v>
      </c>
      <c r="H970">
        <f>IF(MOD(COUNTA($C$7:C970)-1,$J$2),H969,ROUND(F970*P970,-2))</f>
        <v>0</v>
      </c>
      <c r="I970">
        <f t="shared" si="185"/>
        <v>0</v>
      </c>
      <c r="J970">
        <f t="shared" si="186"/>
        <v>0</v>
      </c>
      <c r="K970">
        <f t="shared" si="187"/>
        <v>206.84352009786903</v>
      </c>
      <c r="L970">
        <f t="shared" si="188"/>
        <v>206.84352009786903</v>
      </c>
      <c r="M970">
        <f t="shared" si="189"/>
        <v>0</v>
      </c>
      <c r="N970">
        <f t="shared" ref="N970:N1033" si="191">L970-$F$1</f>
        <v>206.84352009786903</v>
      </c>
      <c r="O970" s="5">
        <f t="shared" si="182"/>
        <v>2.4755409868948246E-5</v>
      </c>
      <c r="P970">
        <f t="shared" si="190"/>
        <v>10000</v>
      </c>
      <c r="Q970">
        <f t="shared" si="183"/>
        <v>0.24755409868948247</v>
      </c>
    </row>
    <row r="971" spans="1:17" x14ac:dyDescent="0.15">
      <c r="A971" s="10">
        <v>45900.413194444962</v>
      </c>
      <c r="B971">
        <f>COUNT(A971:$A$1158)/(48*252)</f>
        <v>1.5542328042328041E-2</v>
      </c>
      <c r="C971">
        <v>2.331</v>
      </c>
      <c r="D971">
        <v>0.13300000000000001</v>
      </c>
      <c r="E971">
        <f t="shared" si="180"/>
        <v>3.2624122918720548</v>
      </c>
      <c r="F971">
        <f t="shared" si="181"/>
        <v>-5.5234175432283816E-4</v>
      </c>
      <c r="G971">
        <f t="shared" si="184"/>
        <v>-2.0000000000002238E-3</v>
      </c>
      <c r="H971">
        <f>IF(MOD(COUNTA($C$7:C971)-1,$J$2),H970,ROUND(F971*P971,-2))</f>
        <v>0</v>
      </c>
      <c r="I971">
        <f t="shared" si="185"/>
        <v>0</v>
      </c>
      <c r="J971">
        <f t="shared" si="186"/>
        <v>0</v>
      </c>
      <c r="K971">
        <f t="shared" si="187"/>
        <v>206.84352009786903</v>
      </c>
      <c r="L971">
        <f t="shared" si="188"/>
        <v>206.84352009786903</v>
      </c>
      <c r="M971">
        <f t="shared" si="189"/>
        <v>0</v>
      </c>
      <c r="N971">
        <f t="shared" si="191"/>
        <v>206.84352009786903</v>
      </c>
      <c r="O971" s="5">
        <f t="shared" si="182"/>
        <v>2.4995167168304685E-5</v>
      </c>
      <c r="P971">
        <f t="shared" si="190"/>
        <v>10000</v>
      </c>
      <c r="Q971">
        <f t="shared" si="183"/>
        <v>0.24995167168304686</v>
      </c>
    </row>
    <row r="972" spans="1:17" x14ac:dyDescent="0.15">
      <c r="A972" s="10">
        <v>45900.416666666977</v>
      </c>
      <c r="B972">
        <f>COUNT(A972:$A$1158)/(48*252)</f>
        <v>1.5459656084656085E-2</v>
      </c>
      <c r="C972">
        <v>2.331</v>
      </c>
      <c r="D972">
        <v>0.13200000000000001</v>
      </c>
      <c r="E972">
        <f t="shared" si="180"/>
        <v>3.2708976450726346</v>
      </c>
      <c r="F972">
        <f t="shared" si="181"/>
        <v>-5.3603352345044097E-4</v>
      </c>
      <c r="G972">
        <f t="shared" si="184"/>
        <v>0</v>
      </c>
      <c r="H972">
        <f>IF(MOD(COUNTA($C$7:C972)-1,$J$2),H971,ROUND(F972*P972,-2))</f>
        <v>0</v>
      </c>
      <c r="I972">
        <f t="shared" si="185"/>
        <v>0</v>
      </c>
      <c r="J972">
        <f t="shared" si="186"/>
        <v>0</v>
      </c>
      <c r="K972">
        <f t="shared" si="187"/>
        <v>206.84352009786903</v>
      </c>
      <c r="L972">
        <f t="shared" si="188"/>
        <v>206.84352009786903</v>
      </c>
      <c r="M972">
        <f t="shared" si="189"/>
        <v>0</v>
      </c>
      <c r="N972">
        <f t="shared" si="191"/>
        <v>206.84352009786903</v>
      </c>
      <c r="O972" s="5">
        <f t="shared" si="182"/>
        <v>2.4142051039098946E-5</v>
      </c>
      <c r="P972">
        <f t="shared" si="190"/>
        <v>10000</v>
      </c>
      <c r="Q972">
        <f t="shared" si="183"/>
        <v>0.24142051039098947</v>
      </c>
    </row>
    <row r="973" spans="1:17" x14ac:dyDescent="0.15">
      <c r="A973" s="10">
        <v>45900.420138888992</v>
      </c>
      <c r="B973">
        <f>COUNT(A973:$A$1158)/(48*252)</f>
        <v>1.5376984126984126E-2</v>
      </c>
      <c r="C973">
        <v>2.33</v>
      </c>
      <c r="D973">
        <v>0.13400000000000001</v>
      </c>
      <c r="E973">
        <f t="shared" si="180"/>
        <v>3.2734414354458563</v>
      </c>
      <c r="F973">
        <f t="shared" si="181"/>
        <v>-5.3123202592120222E-4</v>
      </c>
      <c r="G973">
        <f t="shared" si="184"/>
        <v>-9.9999999999988987E-4</v>
      </c>
      <c r="H973">
        <f>IF(MOD(COUNTA($C$7:C973)-1,$J$2),H972,ROUND(F973*P973,-2))</f>
        <v>0</v>
      </c>
      <c r="I973">
        <f t="shared" si="185"/>
        <v>0</v>
      </c>
      <c r="J973">
        <f t="shared" si="186"/>
        <v>0</v>
      </c>
      <c r="K973">
        <f t="shared" si="187"/>
        <v>206.84352009786903</v>
      </c>
      <c r="L973">
        <f t="shared" si="188"/>
        <v>206.84352009786903</v>
      </c>
      <c r="M973">
        <f t="shared" si="189"/>
        <v>0</v>
      </c>
      <c r="N973">
        <f t="shared" si="191"/>
        <v>206.84352009786903</v>
      </c>
      <c r="O973" s="5">
        <f t="shared" si="182"/>
        <v>2.3835762860491402E-5</v>
      </c>
      <c r="P973">
        <f t="shared" si="190"/>
        <v>10000</v>
      </c>
      <c r="Q973">
        <f t="shared" si="183"/>
        <v>0.23835762860491402</v>
      </c>
    </row>
    <row r="974" spans="1:17" x14ac:dyDescent="0.15">
      <c r="A974" s="10">
        <v>45900.423611111008</v>
      </c>
      <c r="B974">
        <f>COUNT(A974:$A$1158)/(48*252)</f>
        <v>1.5294312169312169E-2</v>
      </c>
      <c r="C974">
        <v>2.3319999999999999</v>
      </c>
      <c r="D974">
        <v>0.13400000000000001</v>
      </c>
      <c r="E974">
        <f t="shared" si="180"/>
        <v>3.2941002659935386</v>
      </c>
      <c r="F974">
        <f t="shared" si="181"/>
        <v>-4.9368635567959007E-4</v>
      </c>
      <c r="G974">
        <f t="shared" si="184"/>
        <v>1.9999999999997797E-3</v>
      </c>
      <c r="H974">
        <f>IF(MOD(COUNTA($C$7:C974)-1,$J$2),H973,ROUND(F974*P974,-2))</f>
        <v>0</v>
      </c>
      <c r="I974">
        <f t="shared" si="185"/>
        <v>0</v>
      </c>
      <c r="J974">
        <f t="shared" si="186"/>
        <v>0</v>
      </c>
      <c r="K974">
        <f t="shared" si="187"/>
        <v>206.84352009786903</v>
      </c>
      <c r="L974">
        <f t="shared" si="188"/>
        <v>206.84352009786903</v>
      </c>
      <c r="M974">
        <f t="shared" si="189"/>
        <v>0</v>
      </c>
      <c r="N974">
        <f t="shared" si="191"/>
        <v>206.84352009786903</v>
      </c>
      <c r="O974" s="5">
        <f t="shared" si="182"/>
        <v>2.2000137235128094E-5</v>
      </c>
      <c r="P974">
        <f t="shared" si="190"/>
        <v>10000</v>
      </c>
      <c r="Q974">
        <f t="shared" si="183"/>
        <v>0.22000137235128092</v>
      </c>
    </row>
    <row r="975" spans="1:17" x14ac:dyDescent="0.15">
      <c r="A975" s="10">
        <v>45900.427083333023</v>
      </c>
      <c r="B975">
        <f>COUNT(A975:$A$1158)/(48*252)</f>
        <v>1.5211640211640211E-2</v>
      </c>
      <c r="C975">
        <v>2.3279999999999998</v>
      </c>
      <c r="D975">
        <v>0.13100000000000001</v>
      </c>
      <c r="E975">
        <f t="shared" si="180"/>
        <v>3.2786340813304582</v>
      </c>
      <c r="F975">
        <f t="shared" si="181"/>
        <v>-5.2155398637676598E-4</v>
      </c>
      <c r="G975">
        <f t="shared" si="184"/>
        <v>-4.0000000000000036E-3</v>
      </c>
      <c r="H975">
        <f>IF(MOD(COUNTA($C$7:C975)-1,$J$2),H974,ROUND(F975*P975,-2))</f>
        <v>0</v>
      </c>
      <c r="I975">
        <f t="shared" si="185"/>
        <v>0</v>
      </c>
      <c r="J975">
        <f t="shared" si="186"/>
        <v>0</v>
      </c>
      <c r="K975">
        <f t="shared" si="187"/>
        <v>206.84352009786903</v>
      </c>
      <c r="L975">
        <f t="shared" si="188"/>
        <v>206.84352009786903</v>
      </c>
      <c r="M975">
        <f t="shared" si="189"/>
        <v>0</v>
      </c>
      <c r="N975">
        <f t="shared" si="191"/>
        <v>206.84352009786903</v>
      </c>
      <c r="O975" s="5">
        <f t="shared" si="182"/>
        <v>2.3224130875514927E-5</v>
      </c>
      <c r="P975">
        <f t="shared" si="190"/>
        <v>10000</v>
      </c>
      <c r="Q975">
        <f t="shared" si="183"/>
        <v>0.23224130875514926</v>
      </c>
    </row>
    <row r="976" spans="1:17" x14ac:dyDescent="0.15">
      <c r="A976" s="10">
        <v>45900.430555555969</v>
      </c>
      <c r="B976">
        <f>COUNT(A976:$A$1158)/(48*252)</f>
        <v>1.5128968253968254E-2</v>
      </c>
      <c r="C976">
        <v>2.33</v>
      </c>
      <c r="D976">
        <v>0.13100000000000001</v>
      </c>
      <c r="E976">
        <f t="shared" si="180"/>
        <v>3.2994783477485656</v>
      </c>
      <c r="F976">
        <f t="shared" si="181"/>
        <v>-4.8432349818527953E-4</v>
      </c>
      <c r="G976">
        <f t="shared" si="184"/>
        <v>2.0000000000002238E-3</v>
      </c>
      <c r="H976">
        <f>IF(MOD(COUNTA($C$7:C976)-1,$J$2),H975,ROUND(F976*P976,-2))</f>
        <v>0</v>
      </c>
      <c r="I976">
        <f t="shared" si="185"/>
        <v>0</v>
      </c>
      <c r="J976">
        <f t="shared" si="186"/>
        <v>0</v>
      </c>
      <c r="K976">
        <f t="shared" si="187"/>
        <v>206.84352009786903</v>
      </c>
      <c r="L976">
        <f t="shared" si="188"/>
        <v>206.84352009786903</v>
      </c>
      <c r="M976">
        <f t="shared" si="189"/>
        <v>0</v>
      </c>
      <c r="N976">
        <f t="shared" si="191"/>
        <v>206.84352009786903</v>
      </c>
      <c r="O976" s="5">
        <f t="shared" si="182"/>
        <v>2.1417845276617935E-5</v>
      </c>
      <c r="P976">
        <f t="shared" si="190"/>
        <v>10000</v>
      </c>
      <c r="Q976">
        <f t="shared" si="183"/>
        <v>0.21417845276617936</v>
      </c>
    </row>
    <row r="977" spans="1:17" x14ac:dyDescent="0.15">
      <c r="A977" s="10">
        <v>45900.434027777985</v>
      </c>
      <c r="B977">
        <f>COUNT(A977:$A$1158)/(48*252)</f>
        <v>1.5046296296296295E-2</v>
      </c>
      <c r="C977">
        <v>2.3330000000000002</v>
      </c>
      <c r="D977">
        <v>0.13400000000000001</v>
      </c>
      <c r="E977">
        <f t="shared" si="180"/>
        <v>3.3265220843745782</v>
      </c>
      <c r="F977">
        <f t="shared" si="181"/>
        <v>-4.3968525630577737E-4</v>
      </c>
      <c r="G977">
        <f t="shared" si="184"/>
        <v>3.0000000000001137E-3</v>
      </c>
      <c r="H977">
        <f>IF(MOD(COUNTA($C$7:C977)-1,$J$2),H976,ROUND(F977*P977,-2))</f>
        <v>0</v>
      </c>
      <c r="I977">
        <f t="shared" si="185"/>
        <v>0</v>
      </c>
      <c r="J977">
        <f t="shared" si="186"/>
        <v>0</v>
      </c>
      <c r="K977">
        <f t="shared" si="187"/>
        <v>206.84352009786903</v>
      </c>
      <c r="L977">
        <f t="shared" si="188"/>
        <v>206.84352009786903</v>
      </c>
      <c r="M977">
        <f t="shared" si="189"/>
        <v>0</v>
      </c>
      <c r="N977">
        <f t="shared" si="191"/>
        <v>206.84352009786903</v>
      </c>
      <c r="O977" s="5">
        <f t="shared" si="182"/>
        <v>1.9289895178258585E-5</v>
      </c>
      <c r="P977">
        <f t="shared" si="190"/>
        <v>10000</v>
      </c>
      <c r="Q977">
        <f t="shared" si="183"/>
        <v>0.19289895178258584</v>
      </c>
    </row>
    <row r="978" spans="1:17" x14ac:dyDescent="0.15">
      <c r="A978" s="10">
        <v>45900.4375</v>
      </c>
      <c r="B978">
        <f>COUNT(A978:$A$1158)/(48*252)</f>
        <v>1.4963624338624339E-2</v>
      </c>
      <c r="C978">
        <v>2.3340000000000001</v>
      </c>
      <c r="D978">
        <v>0.13200000000000001</v>
      </c>
      <c r="E978">
        <f t="shared" si="180"/>
        <v>3.3415540823844854</v>
      </c>
      <c r="F978">
        <f t="shared" si="181"/>
        <v>-4.1655392244455136E-4</v>
      </c>
      <c r="G978">
        <f t="shared" si="184"/>
        <v>9.9999999999988987E-4</v>
      </c>
      <c r="H978">
        <f>IF(MOD(COUNTA($C$7:C978)-1,$J$2),H977,ROUND(F978*P978,-2))</f>
        <v>0</v>
      </c>
      <c r="I978">
        <f t="shared" si="185"/>
        <v>0</v>
      </c>
      <c r="J978">
        <f t="shared" si="186"/>
        <v>0</v>
      </c>
      <c r="K978">
        <f t="shared" si="187"/>
        <v>206.84352009786903</v>
      </c>
      <c r="L978">
        <f t="shared" si="188"/>
        <v>206.84352009786903</v>
      </c>
      <c r="M978">
        <f t="shared" si="189"/>
        <v>0</v>
      </c>
      <c r="N978">
        <f t="shared" si="191"/>
        <v>206.84352009786903</v>
      </c>
      <c r="O978" s="5">
        <f t="shared" si="182"/>
        <v>1.8166770076183175E-5</v>
      </c>
      <c r="P978">
        <f t="shared" si="190"/>
        <v>10000</v>
      </c>
      <c r="Q978">
        <f t="shared" si="183"/>
        <v>0.18166770076183175</v>
      </c>
    </row>
    <row r="979" spans="1:17" x14ac:dyDescent="0.15">
      <c r="A979" s="10">
        <v>45900.440972222015</v>
      </c>
      <c r="B979">
        <f>COUNT(A979:$A$1158)/(48*252)</f>
        <v>1.488095238095238E-2</v>
      </c>
      <c r="C979">
        <v>2.3319999999999999</v>
      </c>
      <c r="D979">
        <v>0.13100000000000001</v>
      </c>
      <c r="E979">
        <f t="shared" si="180"/>
        <v>3.3383862933463502</v>
      </c>
      <c r="F979">
        <f t="shared" si="181"/>
        <v>-4.2133255507148526E-4</v>
      </c>
      <c r="G979">
        <f t="shared" si="184"/>
        <v>-2.0000000000002238E-3</v>
      </c>
      <c r="H979">
        <f>IF(MOD(COUNTA($C$7:C979)-1,$J$2),H978,ROUND(F979*P979,-2))</f>
        <v>0</v>
      </c>
      <c r="I979">
        <f t="shared" si="185"/>
        <v>0</v>
      </c>
      <c r="J979">
        <f t="shared" si="186"/>
        <v>0</v>
      </c>
      <c r="K979">
        <f t="shared" si="187"/>
        <v>206.84352009786903</v>
      </c>
      <c r="L979">
        <f t="shared" si="188"/>
        <v>206.84352009786903</v>
      </c>
      <c r="M979">
        <f t="shared" si="189"/>
        <v>0</v>
      </c>
      <c r="N979">
        <f t="shared" si="191"/>
        <v>206.84352009786903</v>
      </c>
      <c r="O979" s="5">
        <f t="shared" si="182"/>
        <v>1.8321506224249981E-5</v>
      </c>
      <c r="P979">
        <f t="shared" si="190"/>
        <v>10000</v>
      </c>
      <c r="Q979">
        <f t="shared" si="183"/>
        <v>0.18321506224249981</v>
      </c>
    </row>
    <row r="980" spans="1:17" x14ac:dyDescent="0.15">
      <c r="A980" s="10">
        <v>45900.444444444962</v>
      </c>
      <c r="B980">
        <f>COUNT(A980:$A$1158)/(48*252)</f>
        <v>1.4798280423280423E-2</v>
      </c>
      <c r="C980">
        <v>2.331</v>
      </c>
      <c r="D980">
        <v>0.129</v>
      </c>
      <c r="E980">
        <f t="shared" si="180"/>
        <v>3.3413430902002981</v>
      </c>
      <c r="F980">
        <f t="shared" si="181"/>
        <v>-4.1687063624495924E-4</v>
      </c>
      <c r="G980">
        <f t="shared" si="184"/>
        <v>-9.9999999999988987E-4</v>
      </c>
      <c r="H980">
        <f>IF(MOD(COUNTA($C$7:C980)-1,$J$2),H979,ROUND(F980*P980,-2))</f>
        <v>0</v>
      </c>
      <c r="I980">
        <f t="shared" si="185"/>
        <v>0</v>
      </c>
      <c r="J980">
        <f t="shared" si="186"/>
        <v>0</v>
      </c>
      <c r="K980">
        <f t="shared" si="187"/>
        <v>206.84352009786903</v>
      </c>
      <c r="L980">
        <f t="shared" si="188"/>
        <v>206.84352009786903</v>
      </c>
      <c r="M980">
        <f t="shared" si="189"/>
        <v>0</v>
      </c>
      <c r="N980">
        <f t="shared" si="191"/>
        <v>206.84352009786903</v>
      </c>
      <c r="O980" s="5">
        <f t="shared" si="182"/>
        <v>1.8055754610704763E-5</v>
      </c>
      <c r="P980">
        <f t="shared" si="190"/>
        <v>10000</v>
      </c>
      <c r="Q980">
        <f t="shared" si="183"/>
        <v>0.18055754610704763</v>
      </c>
    </row>
    <row r="981" spans="1:17" x14ac:dyDescent="0.15">
      <c r="A981" s="10">
        <v>45900.447916666977</v>
      </c>
      <c r="B981">
        <f>COUNT(A981:$A$1158)/(48*252)</f>
        <v>1.4715608465608465E-2</v>
      </c>
      <c r="C981">
        <v>2.3279999999999998</v>
      </c>
      <c r="D981">
        <v>0.129</v>
      </c>
      <c r="E981">
        <f t="shared" si="180"/>
        <v>3.3320438631499663</v>
      </c>
      <c r="F981">
        <f t="shared" si="181"/>
        <v>-4.3105333555215619E-4</v>
      </c>
      <c r="G981">
        <f t="shared" si="184"/>
        <v>-3.0000000000001137E-3</v>
      </c>
      <c r="H981">
        <f>IF(MOD(COUNTA($C$7:C981)-1,$J$2),H980,ROUND(F981*P981,-2))</f>
        <v>0</v>
      </c>
      <c r="I981">
        <f t="shared" si="185"/>
        <v>0</v>
      </c>
      <c r="J981">
        <f t="shared" si="186"/>
        <v>0</v>
      </c>
      <c r="K981">
        <f t="shared" si="187"/>
        <v>206.84352009786903</v>
      </c>
      <c r="L981">
        <f t="shared" si="188"/>
        <v>206.84352009786903</v>
      </c>
      <c r="M981">
        <f t="shared" si="189"/>
        <v>0</v>
      </c>
      <c r="N981">
        <f t="shared" si="191"/>
        <v>206.84352009786903</v>
      </c>
      <c r="O981" s="5">
        <f t="shared" si="182"/>
        <v>1.8634013303555318E-5</v>
      </c>
      <c r="P981">
        <f t="shared" si="190"/>
        <v>10000</v>
      </c>
      <c r="Q981">
        <f t="shared" si="183"/>
        <v>0.18634013303555319</v>
      </c>
    </row>
    <row r="982" spans="1:17" x14ac:dyDescent="0.15">
      <c r="A982" s="10">
        <v>45900.451388888992</v>
      </c>
      <c r="B982">
        <f>COUNT(A982:$A$1158)/(48*252)</f>
        <v>1.4632936507936508E-2</v>
      </c>
      <c r="C982">
        <v>2.3279999999999998</v>
      </c>
      <c r="D982">
        <v>0.129</v>
      </c>
      <c r="E982">
        <f t="shared" si="180"/>
        <v>3.3412108180143472</v>
      </c>
      <c r="F982">
        <f t="shared" si="181"/>
        <v>-4.1706929980189766E-4</v>
      </c>
      <c r="G982">
        <f t="shared" si="184"/>
        <v>0</v>
      </c>
      <c r="H982">
        <f>IF(MOD(COUNTA($C$7:C982)-1,$J$2),H981,ROUND(F982*P982,-2))</f>
        <v>0</v>
      </c>
      <c r="I982">
        <f t="shared" si="185"/>
        <v>0</v>
      </c>
      <c r="J982">
        <f t="shared" si="186"/>
        <v>0</v>
      </c>
      <c r="K982">
        <f t="shared" si="187"/>
        <v>206.84352009786903</v>
      </c>
      <c r="L982">
        <f t="shared" si="188"/>
        <v>206.84352009786903</v>
      </c>
      <c r="M982">
        <f t="shared" si="189"/>
        <v>0</v>
      </c>
      <c r="N982">
        <f t="shared" si="191"/>
        <v>206.84352009786903</v>
      </c>
      <c r="O982" s="5">
        <f t="shared" si="182"/>
        <v>1.793883509139632E-5</v>
      </c>
      <c r="P982">
        <f t="shared" si="190"/>
        <v>10000</v>
      </c>
      <c r="Q982">
        <f t="shared" si="183"/>
        <v>0.17938835091396318</v>
      </c>
    </row>
    <row r="983" spans="1:17" x14ac:dyDescent="0.15">
      <c r="A983" s="10">
        <v>45900.454861111008</v>
      </c>
      <c r="B983">
        <f>COUNT(A983:$A$1158)/(48*252)</f>
        <v>1.4550264550264549E-2</v>
      </c>
      <c r="C983">
        <v>2.33</v>
      </c>
      <c r="D983">
        <v>0.129</v>
      </c>
      <c r="E983">
        <f t="shared" si="180"/>
        <v>3.3628222134321319</v>
      </c>
      <c r="F983">
        <f t="shared" si="181"/>
        <v>-3.8575016295805398E-4</v>
      </c>
      <c r="G983">
        <f t="shared" si="184"/>
        <v>2.0000000000002238E-3</v>
      </c>
      <c r="H983">
        <f>IF(MOD(COUNTA($C$7:C983)-1,$J$2),H982,ROUND(F983*P983,-2))</f>
        <v>0</v>
      </c>
      <c r="I983">
        <f t="shared" si="185"/>
        <v>0</v>
      </c>
      <c r="J983">
        <f t="shared" si="186"/>
        <v>0</v>
      </c>
      <c r="K983">
        <f t="shared" si="187"/>
        <v>206.84352009786903</v>
      </c>
      <c r="L983">
        <f t="shared" si="188"/>
        <v>206.84352009786903</v>
      </c>
      <c r="M983">
        <f t="shared" si="189"/>
        <v>0</v>
      </c>
      <c r="N983">
        <f t="shared" si="191"/>
        <v>206.84352009786903</v>
      </c>
      <c r="O983" s="5">
        <f t="shared" si="182"/>
        <v>1.6473776605099052E-5</v>
      </c>
      <c r="P983">
        <f t="shared" si="190"/>
        <v>10000</v>
      </c>
      <c r="Q983">
        <f t="shared" si="183"/>
        <v>0.16473776605099053</v>
      </c>
    </row>
    <row r="984" spans="1:17" x14ac:dyDescent="0.15">
      <c r="A984" s="10">
        <v>45900.458333333023</v>
      </c>
      <c r="B984">
        <f>COUNT(A984:$A$1158)/(48*252)</f>
        <v>1.4467592592592593E-2</v>
      </c>
      <c r="C984">
        <v>2.3260000000000001</v>
      </c>
      <c r="D984">
        <v>0.129</v>
      </c>
      <c r="E984">
        <f t="shared" si="180"/>
        <v>3.3473701766933077</v>
      </c>
      <c r="F984">
        <f t="shared" si="181"/>
        <v>-4.0791094971825981E-4</v>
      </c>
      <c r="G984">
        <f t="shared" si="184"/>
        <v>-4.0000000000000036E-3</v>
      </c>
      <c r="H984">
        <f>IF(MOD(COUNTA($C$7:C984)-1,$J$2),H983,ROUND(F984*P984,-2))</f>
        <v>0</v>
      </c>
      <c r="I984">
        <f t="shared" si="185"/>
        <v>0</v>
      </c>
      <c r="J984">
        <f t="shared" si="186"/>
        <v>0</v>
      </c>
      <c r="K984">
        <f t="shared" si="187"/>
        <v>206.84352009786903</v>
      </c>
      <c r="L984">
        <f t="shared" si="188"/>
        <v>206.84352009786903</v>
      </c>
      <c r="M984">
        <f t="shared" si="189"/>
        <v>0</v>
      </c>
      <c r="N984">
        <f t="shared" si="191"/>
        <v>206.84352009786903</v>
      </c>
      <c r="O984" s="5">
        <f t="shared" si="182"/>
        <v>1.7403389517685829E-5</v>
      </c>
      <c r="P984">
        <f t="shared" si="190"/>
        <v>10000</v>
      </c>
      <c r="Q984">
        <f t="shared" si="183"/>
        <v>0.1740338951768583</v>
      </c>
    </row>
    <row r="985" spans="1:17" x14ac:dyDescent="0.15">
      <c r="A985" s="10">
        <v>45900.461805555969</v>
      </c>
      <c r="B985">
        <f>COUNT(A985:$A$1158)/(48*252)</f>
        <v>1.4384920634920634E-2</v>
      </c>
      <c r="C985">
        <v>2.3210000000000002</v>
      </c>
      <c r="D985">
        <v>0.125</v>
      </c>
      <c r="E985">
        <f t="shared" si="180"/>
        <v>3.3255757599226796</v>
      </c>
      <c r="F985">
        <f t="shared" si="181"/>
        <v>-4.4118058584285968E-4</v>
      </c>
      <c r="G985">
        <f t="shared" si="184"/>
        <v>-4.9999999999998934E-3</v>
      </c>
      <c r="H985">
        <f>IF(MOD(COUNTA($C$7:C985)-1,$J$2),H984,ROUND(F985*P985,-2))</f>
        <v>0</v>
      </c>
      <c r="I985">
        <f t="shared" si="185"/>
        <v>0</v>
      </c>
      <c r="J985">
        <f t="shared" si="186"/>
        <v>0</v>
      </c>
      <c r="K985">
        <f t="shared" si="187"/>
        <v>206.84352009786903</v>
      </c>
      <c r="L985">
        <f t="shared" si="188"/>
        <v>206.84352009786903</v>
      </c>
      <c r="M985">
        <f t="shared" si="189"/>
        <v>0</v>
      </c>
      <c r="N985">
        <f t="shared" si="191"/>
        <v>206.84352009786903</v>
      </c>
      <c r="O985" s="5">
        <f t="shared" si="182"/>
        <v>1.8824774442052555E-5</v>
      </c>
      <c r="P985">
        <f t="shared" si="190"/>
        <v>10000</v>
      </c>
      <c r="Q985">
        <f t="shared" si="183"/>
        <v>0.18824774442052555</v>
      </c>
    </row>
    <row r="986" spans="1:17" x14ac:dyDescent="0.15">
      <c r="A986" s="10">
        <v>45900.465277777985</v>
      </c>
      <c r="B986">
        <f>COUNT(A986:$A$1158)/(48*252)</f>
        <v>1.4302248677248677E-2</v>
      </c>
      <c r="C986">
        <v>2.3239999999999998</v>
      </c>
      <c r="D986">
        <v>0.128</v>
      </c>
      <c r="E986">
        <f t="shared" si="180"/>
        <v>3.3536995330082653</v>
      </c>
      <c r="F986">
        <f t="shared" si="181"/>
        <v>-3.9869449492246911E-4</v>
      </c>
      <c r="G986">
        <f t="shared" si="184"/>
        <v>2.9999999999996696E-3</v>
      </c>
      <c r="H986">
        <f>IF(MOD(COUNTA($C$7:C986)-1,$J$2),H985,ROUND(F986*P986,-2))</f>
        <v>0</v>
      </c>
      <c r="I986">
        <f t="shared" si="185"/>
        <v>0</v>
      </c>
      <c r="J986">
        <f t="shared" si="186"/>
        <v>0</v>
      </c>
      <c r="K986">
        <f t="shared" si="187"/>
        <v>206.84352009786903</v>
      </c>
      <c r="L986">
        <f t="shared" si="188"/>
        <v>206.84352009786903</v>
      </c>
      <c r="M986">
        <f t="shared" si="189"/>
        <v>0</v>
      </c>
      <c r="N986">
        <f t="shared" si="191"/>
        <v>206.84352009786903</v>
      </c>
      <c r="O986" s="5">
        <f t="shared" si="182"/>
        <v>1.6871187815410693E-5</v>
      </c>
      <c r="P986">
        <f t="shared" si="190"/>
        <v>10000</v>
      </c>
      <c r="Q986">
        <f t="shared" si="183"/>
        <v>0.16871187815410693</v>
      </c>
    </row>
    <row r="987" spans="1:17" x14ac:dyDescent="0.15">
      <c r="A987" s="10">
        <v>45900.46875</v>
      </c>
      <c r="B987">
        <f>COUNT(A987:$A$1158)/(48*252)</f>
        <v>1.4219576719576719E-2</v>
      </c>
      <c r="C987">
        <v>2.327</v>
      </c>
      <c r="D987">
        <v>0.128</v>
      </c>
      <c r="E987">
        <f t="shared" si="180"/>
        <v>3.3819901662474314</v>
      </c>
      <c r="F987">
        <f t="shared" si="181"/>
        <v>-3.598136033031718E-4</v>
      </c>
      <c r="G987">
        <f t="shared" si="184"/>
        <v>3.0000000000001137E-3</v>
      </c>
      <c r="H987">
        <f>IF(MOD(COUNTA($C$7:C987)-1,$J$2),H986,ROUND(F987*P987,-2))</f>
        <v>0</v>
      </c>
      <c r="I987">
        <f t="shared" si="185"/>
        <v>0</v>
      </c>
      <c r="J987">
        <f t="shared" si="186"/>
        <v>0</v>
      </c>
      <c r="K987">
        <f t="shared" si="187"/>
        <v>206.84352009786903</v>
      </c>
      <c r="L987">
        <f t="shared" si="188"/>
        <v>206.84352009786903</v>
      </c>
      <c r="M987">
        <f t="shared" si="189"/>
        <v>0</v>
      </c>
      <c r="N987">
        <f t="shared" si="191"/>
        <v>206.84352009786903</v>
      </c>
      <c r="O987" s="5">
        <f t="shared" si="182"/>
        <v>1.5099613384259372E-5</v>
      </c>
      <c r="P987">
        <f t="shared" si="190"/>
        <v>10000</v>
      </c>
      <c r="Q987">
        <f t="shared" si="183"/>
        <v>0.15099613384259372</v>
      </c>
    </row>
    <row r="988" spans="1:17" x14ac:dyDescent="0.15">
      <c r="A988" s="10">
        <v>45900.472222222015</v>
      </c>
      <c r="B988">
        <f>COUNT(A988:$A$1158)/(48*252)</f>
        <v>1.4136904761904762E-2</v>
      </c>
      <c r="C988">
        <v>2.327</v>
      </c>
      <c r="D988">
        <v>0.128</v>
      </c>
      <c r="E988">
        <f t="shared" si="180"/>
        <v>3.3916282288054429</v>
      </c>
      <c r="F988">
        <f t="shared" si="181"/>
        <v>-3.4739321786014798E-4</v>
      </c>
      <c r="G988">
        <f t="shared" si="184"/>
        <v>0</v>
      </c>
      <c r="H988">
        <f>IF(MOD(COUNTA($C$7:C988)-1,$J$2),H987,ROUND(F988*P988,-2))</f>
        <v>0</v>
      </c>
      <c r="I988">
        <f t="shared" si="185"/>
        <v>0</v>
      </c>
      <c r="J988">
        <f t="shared" si="186"/>
        <v>0</v>
      </c>
      <c r="K988">
        <f t="shared" si="187"/>
        <v>206.84352009786903</v>
      </c>
      <c r="L988">
        <f t="shared" si="188"/>
        <v>206.84352009786903</v>
      </c>
      <c r="M988">
        <f t="shared" si="189"/>
        <v>0</v>
      </c>
      <c r="N988">
        <f t="shared" si="191"/>
        <v>206.84352009786903</v>
      </c>
      <c r="O988" s="5">
        <f t="shared" si="182"/>
        <v>1.4502354771224338E-5</v>
      </c>
      <c r="P988">
        <f t="shared" si="190"/>
        <v>10000</v>
      </c>
      <c r="Q988">
        <f t="shared" si="183"/>
        <v>0.14502354771224338</v>
      </c>
    </row>
    <row r="989" spans="1:17" x14ac:dyDescent="0.15">
      <c r="A989" s="10">
        <v>45900.475694444962</v>
      </c>
      <c r="B989">
        <f>COUNT(A989:$A$1158)/(48*252)</f>
        <v>1.4054232804232803E-2</v>
      </c>
      <c r="C989">
        <v>2.3260000000000001</v>
      </c>
      <c r="D989">
        <v>0.127</v>
      </c>
      <c r="E989">
        <f t="shared" si="180"/>
        <v>3.3950540969877583</v>
      </c>
      <c r="F989">
        <f t="shared" si="181"/>
        <v>-3.4307520769027988E-4</v>
      </c>
      <c r="G989">
        <f t="shared" si="184"/>
        <v>-9.9999999999988987E-4</v>
      </c>
      <c r="H989">
        <f>IF(MOD(COUNTA($C$7:C989)-1,$J$2),H988,ROUND(F989*P989,-2))</f>
        <v>0</v>
      </c>
      <c r="I989">
        <f t="shared" si="185"/>
        <v>0</v>
      </c>
      <c r="J989">
        <f t="shared" si="186"/>
        <v>0</v>
      </c>
      <c r="K989">
        <f t="shared" si="187"/>
        <v>206.84352009786903</v>
      </c>
      <c r="L989">
        <f t="shared" si="188"/>
        <v>206.84352009786903</v>
      </c>
      <c r="M989">
        <f t="shared" si="189"/>
        <v>0</v>
      </c>
      <c r="N989">
        <f t="shared" si="191"/>
        <v>206.84352009786903</v>
      </c>
      <c r="O989" s="5">
        <f t="shared" si="182"/>
        <v>1.4261840928196006E-5</v>
      </c>
      <c r="P989">
        <f t="shared" si="190"/>
        <v>10000</v>
      </c>
      <c r="Q989">
        <f t="shared" si="183"/>
        <v>0.14261840928196007</v>
      </c>
    </row>
    <row r="990" spans="1:17" x14ac:dyDescent="0.15">
      <c r="A990" s="10">
        <v>45900.479166666977</v>
      </c>
      <c r="B990">
        <f>COUNT(A990:$A$1158)/(48*252)</f>
        <v>1.3971560846560847E-2</v>
      </c>
      <c r="C990">
        <v>2.3250000000000002</v>
      </c>
      <c r="D990">
        <v>0.125</v>
      </c>
      <c r="E990">
        <f t="shared" si="180"/>
        <v>3.3985269168662269</v>
      </c>
      <c r="F990">
        <f t="shared" si="181"/>
        <v>-3.3874897949237592E-4</v>
      </c>
      <c r="G990">
        <f t="shared" si="184"/>
        <v>-9.9999999999988987E-4</v>
      </c>
      <c r="H990">
        <f>IF(MOD(COUNTA($C$7:C990)-1,$J$2),H989,ROUND(F990*P990,-2))</f>
        <v>0</v>
      </c>
      <c r="I990">
        <f t="shared" si="185"/>
        <v>0</v>
      </c>
      <c r="J990">
        <f t="shared" si="186"/>
        <v>0</v>
      </c>
      <c r="K990">
        <f t="shared" si="187"/>
        <v>206.84352009786903</v>
      </c>
      <c r="L990">
        <f t="shared" si="188"/>
        <v>206.84352009786903</v>
      </c>
      <c r="M990">
        <f t="shared" si="189"/>
        <v>0</v>
      </c>
      <c r="N990">
        <f t="shared" si="191"/>
        <v>206.84352009786903</v>
      </c>
      <c r="O990" s="5">
        <f t="shared" si="182"/>
        <v>1.4022360785732597E-5</v>
      </c>
      <c r="P990">
        <f t="shared" si="190"/>
        <v>10000</v>
      </c>
      <c r="Q990">
        <f t="shared" si="183"/>
        <v>0.14022360785732596</v>
      </c>
    </row>
    <row r="991" spans="1:17" x14ac:dyDescent="0.15">
      <c r="A991" s="10">
        <v>45900.545138888992</v>
      </c>
      <c r="B991">
        <f>COUNT(A991:$A$1158)/(48*252)</f>
        <v>1.3888888888888888E-2</v>
      </c>
      <c r="C991">
        <v>2.3220000000000001</v>
      </c>
      <c r="D991">
        <v>0.125</v>
      </c>
      <c r="E991">
        <f t="shared" si="180"/>
        <v>3.3893580030170809</v>
      </c>
      <c r="F991">
        <f t="shared" si="181"/>
        <v>-3.5028240879020345E-4</v>
      </c>
      <c r="G991">
        <f t="shared" si="184"/>
        <v>-3.0000000000001137E-3</v>
      </c>
      <c r="H991">
        <f>IF(MOD(COUNTA($C$7:C991)-1,$J$2),H990,ROUND(F991*P991,-2))</f>
        <v>0</v>
      </c>
      <c r="I991">
        <f t="shared" si="185"/>
        <v>0</v>
      </c>
      <c r="J991">
        <f t="shared" si="186"/>
        <v>0</v>
      </c>
      <c r="K991">
        <f t="shared" si="187"/>
        <v>206.84352009786903</v>
      </c>
      <c r="L991">
        <f t="shared" si="188"/>
        <v>206.84352009786903</v>
      </c>
      <c r="M991">
        <f t="shared" si="189"/>
        <v>0</v>
      </c>
      <c r="N991">
        <f t="shared" si="191"/>
        <v>206.84352009786903</v>
      </c>
      <c r="O991" s="5">
        <f t="shared" si="182"/>
        <v>1.4468528201902692E-5</v>
      </c>
      <c r="P991">
        <f t="shared" si="190"/>
        <v>10000</v>
      </c>
      <c r="Q991">
        <f t="shared" si="183"/>
        <v>0.14468528201902692</v>
      </c>
    </row>
    <row r="992" spans="1:17" x14ac:dyDescent="0.15">
      <c r="A992" s="10">
        <v>45900.548611111008</v>
      </c>
      <c r="B992">
        <f>COUNT(A992:$A$1158)/(48*252)</f>
        <v>1.3806216931216931E-2</v>
      </c>
      <c r="C992">
        <v>2.3220000000000001</v>
      </c>
      <c r="D992">
        <v>0.125</v>
      </c>
      <c r="E992">
        <f t="shared" si="180"/>
        <v>3.3992514390248227</v>
      </c>
      <c r="F992">
        <f t="shared" si="181"/>
        <v>-3.3785283156162471E-4</v>
      </c>
      <c r="G992">
        <f t="shared" si="184"/>
        <v>0</v>
      </c>
      <c r="H992">
        <f>IF(MOD(COUNTA($C$7:C992)-1,$J$2),H991,ROUND(F992*P992,-2))</f>
        <v>0</v>
      </c>
      <c r="I992">
        <f t="shared" si="185"/>
        <v>0</v>
      </c>
      <c r="J992">
        <f t="shared" si="186"/>
        <v>0</v>
      </c>
      <c r="K992">
        <f t="shared" si="187"/>
        <v>206.84352009786903</v>
      </c>
      <c r="L992">
        <f t="shared" si="188"/>
        <v>206.84352009786903</v>
      </c>
      <c r="M992">
        <f t="shared" si="189"/>
        <v>0</v>
      </c>
      <c r="N992">
        <f t="shared" si="191"/>
        <v>206.84352009786903</v>
      </c>
      <c r="O992" s="5">
        <f t="shared" si="182"/>
        <v>1.3880581258390889E-5</v>
      </c>
      <c r="P992">
        <f t="shared" si="190"/>
        <v>10000</v>
      </c>
      <c r="Q992">
        <f t="shared" si="183"/>
        <v>0.13880581258390889</v>
      </c>
    </row>
    <row r="993" spans="1:17" x14ac:dyDescent="0.15">
      <c r="A993" s="10">
        <v>45900.552083333023</v>
      </c>
      <c r="B993">
        <f>COUNT(A993:$A$1158)/(48*252)</f>
        <v>1.3723544973544973E-2</v>
      </c>
      <c r="C993">
        <v>2.3250000000000002</v>
      </c>
      <c r="D993">
        <v>0.126</v>
      </c>
      <c r="E993">
        <f t="shared" si="180"/>
        <v>3.4283792415121321</v>
      </c>
      <c r="F993">
        <f t="shared" si="181"/>
        <v>-3.0359829951598361E-4</v>
      </c>
      <c r="G993">
        <f t="shared" si="184"/>
        <v>3.0000000000001137E-3</v>
      </c>
      <c r="H993">
        <f>IF(MOD(COUNTA($C$7:C993)-1,$J$2),H992,ROUND(F993*P993,-2))</f>
        <v>0</v>
      </c>
      <c r="I993">
        <f t="shared" si="185"/>
        <v>0</v>
      </c>
      <c r="J993">
        <f t="shared" si="186"/>
        <v>0</v>
      </c>
      <c r="K993">
        <f t="shared" si="187"/>
        <v>206.84352009786903</v>
      </c>
      <c r="L993">
        <f t="shared" si="188"/>
        <v>206.84352009786903</v>
      </c>
      <c r="M993">
        <f t="shared" si="189"/>
        <v>0</v>
      </c>
      <c r="N993">
        <f t="shared" si="191"/>
        <v>206.84352009786903</v>
      </c>
      <c r="O993" s="5">
        <f t="shared" si="182"/>
        <v>1.2366830698284123E-5</v>
      </c>
      <c r="P993">
        <f t="shared" si="190"/>
        <v>10000</v>
      </c>
      <c r="Q993">
        <f t="shared" si="183"/>
        <v>0.12366830698284123</v>
      </c>
    </row>
    <row r="994" spans="1:17" x14ac:dyDescent="0.15">
      <c r="A994" s="10">
        <v>45900.555555555969</v>
      </c>
      <c r="B994">
        <f>COUNT(A994:$A$1158)/(48*252)</f>
        <v>1.3640873015873016E-2</v>
      </c>
      <c r="C994">
        <v>2.3250000000000002</v>
      </c>
      <c r="D994">
        <v>0.126</v>
      </c>
      <c r="E994">
        <f t="shared" si="180"/>
        <v>3.4385119343033903</v>
      </c>
      <c r="F994">
        <f t="shared" si="181"/>
        <v>-2.9246037729346863E-4</v>
      </c>
      <c r="G994">
        <f t="shared" si="184"/>
        <v>0</v>
      </c>
      <c r="H994">
        <f>IF(MOD(COUNTA($C$7:C994)-1,$J$2),H993,ROUND(F994*P994,-2))</f>
        <v>0</v>
      </c>
      <c r="I994">
        <f t="shared" si="185"/>
        <v>0</v>
      </c>
      <c r="J994">
        <f t="shared" si="186"/>
        <v>0</v>
      </c>
      <c r="K994">
        <f t="shared" si="187"/>
        <v>206.84352009786903</v>
      </c>
      <c r="L994">
        <f t="shared" si="188"/>
        <v>206.84352009786903</v>
      </c>
      <c r="M994">
        <f t="shared" si="189"/>
        <v>0</v>
      </c>
      <c r="N994">
        <f t="shared" si="191"/>
        <v>206.84352009786903</v>
      </c>
      <c r="O994" s="5">
        <f t="shared" si="182"/>
        <v>1.18486254151105E-5</v>
      </c>
      <c r="P994">
        <f t="shared" si="190"/>
        <v>10000</v>
      </c>
      <c r="Q994">
        <f t="shared" si="183"/>
        <v>0.118486254151105</v>
      </c>
    </row>
    <row r="995" spans="1:17" x14ac:dyDescent="0.15">
      <c r="A995" s="10">
        <v>45900.559027777985</v>
      </c>
      <c r="B995">
        <f>COUNT(A995:$A$1158)/(48*252)</f>
        <v>1.3558201058201057E-2</v>
      </c>
      <c r="C995">
        <v>2.3279999999999998</v>
      </c>
      <c r="D995">
        <v>0.13</v>
      </c>
      <c r="E995">
        <f t="shared" si="180"/>
        <v>3.4679738223947498</v>
      </c>
      <c r="F995">
        <f t="shared" si="181"/>
        <v>-2.6219918451653168E-4</v>
      </c>
      <c r="G995">
        <f t="shared" si="184"/>
        <v>2.9999999999996696E-3</v>
      </c>
      <c r="H995">
        <f>IF(MOD(COUNTA($C$7:C995)-1,$J$2),H994,ROUND(F995*P995,-2))</f>
        <v>0</v>
      </c>
      <c r="I995">
        <f t="shared" si="185"/>
        <v>0</v>
      </c>
      <c r="J995">
        <f t="shared" si="186"/>
        <v>0</v>
      </c>
      <c r="K995">
        <f t="shared" si="187"/>
        <v>206.84352009786903</v>
      </c>
      <c r="L995">
        <f t="shared" si="188"/>
        <v>206.84352009786903</v>
      </c>
      <c r="M995">
        <f t="shared" si="189"/>
        <v>0</v>
      </c>
      <c r="N995">
        <f t="shared" si="191"/>
        <v>206.84352009786903</v>
      </c>
      <c r="O995" s="5">
        <f t="shared" si="182"/>
        <v>1.0531335948349039E-5</v>
      </c>
      <c r="P995">
        <f t="shared" si="190"/>
        <v>10000</v>
      </c>
      <c r="Q995">
        <f t="shared" si="183"/>
        <v>0.1053133594834904</v>
      </c>
    </row>
    <row r="996" spans="1:17" x14ac:dyDescent="0.15">
      <c r="A996" s="10">
        <v>45900.5625</v>
      </c>
      <c r="B996">
        <f>COUNT(A996:$A$1158)/(48*252)</f>
        <v>1.3475529100529101E-2</v>
      </c>
      <c r="C996">
        <v>2.33</v>
      </c>
      <c r="D996">
        <v>0.129</v>
      </c>
      <c r="E996">
        <f t="shared" si="180"/>
        <v>3.4912028186513551</v>
      </c>
      <c r="F996">
        <f t="shared" si="181"/>
        <v>-2.4042553826231217E-4</v>
      </c>
      <c r="G996">
        <f t="shared" si="184"/>
        <v>2.0000000000002238E-3</v>
      </c>
      <c r="H996">
        <f>IF(MOD(COUNTA($C$7:C996)-1,$J$2),H995,ROUND(F996*P996,-2))</f>
        <v>0</v>
      </c>
      <c r="I996">
        <f t="shared" si="185"/>
        <v>0</v>
      </c>
      <c r="J996">
        <f t="shared" si="186"/>
        <v>0</v>
      </c>
      <c r="K996">
        <f t="shared" si="187"/>
        <v>206.84352009786903</v>
      </c>
      <c r="L996">
        <f t="shared" si="188"/>
        <v>206.84352009786903</v>
      </c>
      <c r="M996">
        <f t="shared" si="189"/>
        <v>0</v>
      </c>
      <c r="N996">
        <f t="shared" si="191"/>
        <v>206.84352009786903</v>
      </c>
      <c r="O996" s="5">
        <f t="shared" si="182"/>
        <v>9.5835918420965642E-6</v>
      </c>
      <c r="P996">
        <f t="shared" si="190"/>
        <v>10000</v>
      </c>
      <c r="Q996">
        <f t="shared" si="183"/>
        <v>9.5835918420965643E-2</v>
      </c>
    </row>
    <row r="997" spans="1:17" x14ac:dyDescent="0.15">
      <c r="A997" s="10">
        <v>45900.565972222015</v>
      </c>
      <c r="B997">
        <f>COUNT(A997:$A$1158)/(48*252)</f>
        <v>1.3392857142857142E-2</v>
      </c>
      <c r="C997">
        <v>2.33</v>
      </c>
      <c r="D997">
        <v>0.129</v>
      </c>
      <c r="E997">
        <f t="shared" si="180"/>
        <v>3.5017186988171121</v>
      </c>
      <c r="F997">
        <f t="shared" si="181"/>
        <v>-2.3113370324245874E-4</v>
      </c>
      <c r="G997">
        <f t="shared" si="184"/>
        <v>0</v>
      </c>
      <c r="H997">
        <f>IF(MOD(COUNTA($C$7:C997)-1,$J$2),H996,ROUND(F997*P997,-2))</f>
        <v>0</v>
      </c>
      <c r="I997">
        <f t="shared" si="185"/>
        <v>0</v>
      </c>
      <c r="J997">
        <f t="shared" si="186"/>
        <v>0</v>
      </c>
      <c r="K997">
        <f t="shared" si="187"/>
        <v>206.84352009786903</v>
      </c>
      <c r="L997">
        <f t="shared" si="188"/>
        <v>206.84352009786903</v>
      </c>
      <c r="M997">
        <f t="shared" si="189"/>
        <v>0</v>
      </c>
      <c r="N997">
        <f t="shared" si="191"/>
        <v>206.84352009786903</v>
      </c>
      <c r="O997" s="5">
        <f t="shared" si="182"/>
        <v>9.1622629946065117E-6</v>
      </c>
      <c r="P997">
        <f t="shared" si="190"/>
        <v>10000</v>
      </c>
      <c r="Q997">
        <f t="shared" si="183"/>
        <v>9.1622629946065112E-2</v>
      </c>
    </row>
    <row r="998" spans="1:17" x14ac:dyDescent="0.15">
      <c r="A998" s="10">
        <v>45900.569444444962</v>
      </c>
      <c r="B998">
        <f>COUNT(A998:$A$1158)/(48*252)</f>
        <v>1.3310185185185185E-2</v>
      </c>
      <c r="C998">
        <v>2.3290000000000002</v>
      </c>
      <c r="D998">
        <v>0.129</v>
      </c>
      <c r="E998">
        <f t="shared" si="180"/>
        <v>3.505870050842459</v>
      </c>
      <c r="F998">
        <f t="shared" si="181"/>
        <v>-2.2755868098123244E-4</v>
      </c>
      <c r="G998">
        <f t="shared" si="184"/>
        <v>-9.9999999999988987E-4</v>
      </c>
      <c r="H998">
        <f>IF(MOD(COUNTA($C$7:C998)-1,$J$2),H997,ROUND(F998*P998,-2))</f>
        <v>0</v>
      </c>
      <c r="I998">
        <f t="shared" si="185"/>
        <v>0</v>
      </c>
      <c r="J998">
        <f t="shared" si="186"/>
        <v>0</v>
      </c>
      <c r="K998">
        <f t="shared" si="187"/>
        <v>206.84352009786903</v>
      </c>
      <c r="L998">
        <f t="shared" si="188"/>
        <v>206.84352009786903</v>
      </c>
      <c r="M998">
        <f t="shared" si="189"/>
        <v>0</v>
      </c>
      <c r="N998">
        <f t="shared" si="191"/>
        <v>206.84352009786903</v>
      </c>
      <c r="O998" s="5">
        <f t="shared" si="182"/>
        <v>8.9797899546938858E-6</v>
      </c>
      <c r="P998">
        <f t="shared" si="190"/>
        <v>10000</v>
      </c>
      <c r="Q998">
        <f t="shared" si="183"/>
        <v>8.9797899546938856E-2</v>
      </c>
    </row>
    <row r="999" spans="1:17" x14ac:dyDescent="0.15">
      <c r="A999" s="10">
        <v>45900.572916666977</v>
      </c>
      <c r="B999">
        <f>COUNT(A999:$A$1158)/(48*252)</f>
        <v>1.3227513227513227E-2</v>
      </c>
      <c r="C999">
        <v>2.327</v>
      </c>
      <c r="D999">
        <v>0.126</v>
      </c>
      <c r="E999">
        <f t="shared" si="180"/>
        <v>3.5035895623811673</v>
      </c>
      <c r="F999">
        <f t="shared" si="181"/>
        <v>-2.2951613241750657E-4</v>
      </c>
      <c r="G999">
        <f t="shared" si="184"/>
        <v>-2.0000000000002238E-3</v>
      </c>
      <c r="H999">
        <f>IF(MOD(COUNTA($C$7:C999)-1,$J$2),H998,ROUND(F999*P999,-2))</f>
        <v>0</v>
      </c>
      <c r="I999">
        <f t="shared" si="185"/>
        <v>0</v>
      </c>
      <c r="J999">
        <f t="shared" si="186"/>
        <v>0</v>
      </c>
      <c r="K999">
        <f t="shared" si="187"/>
        <v>206.84352009786903</v>
      </c>
      <c r="L999">
        <f t="shared" si="188"/>
        <v>206.84352009786903</v>
      </c>
      <c r="M999">
        <f t="shared" si="189"/>
        <v>0</v>
      </c>
      <c r="N999">
        <f t="shared" si="191"/>
        <v>206.84352009786903</v>
      </c>
      <c r="O999" s="5">
        <f t="shared" si="182"/>
        <v>9.0253821574348908E-6</v>
      </c>
      <c r="P999">
        <f t="shared" si="190"/>
        <v>10000</v>
      </c>
      <c r="Q999">
        <f t="shared" si="183"/>
        <v>9.0253821574348914E-2</v>
      </c>
    </row>
    <row r="1000" spans="1:17" x14ac:dyDescent="0.15">
      <c r="A1000" s="10">
        <v>45900.576388888992</v>
      </c>
      <c r="B1000">
        <f>COUNT(A1000:$A$1158)/(48*252)</f>
        <v>1.314484126984127E-2</v>
      </c>
      <c r="C1000">
        <v>2.33</v>
      </c>
      <c r="D1000">
        <v>0.129</v>
      </c>
      <c r="E1000">
        <f t="shared" si="180"/>
        <v>3.5338639875233171</v>
      </c>
      <c r="F1000">
        <f t="shared" si="181"/>
        <v>-2.0476588270790241E-4</v>
      </c>
      <c r="G1000">
        <f t="shared" si="184"/>
        <v>3.0000000000001137E-3</v>
      </c>
      <c r="H1000">
        <f>IF(MOD(COUNTA($C$7:C1000)-1,$J$2),H999,ROUND(F1000*P1000,-2))</f>
        <v>0</v>
      </c>
      <c r="I1000">
        <f t="shared" si="185"/>
        <v>0</v>
      </c>
      <c r="J1000">
        <f t="shared" si="186"/>
        <v>0</v>
      </c>
      <c r="K1000">
        <f t="shared" si="187"/>
        <v>206.84352009786903</v>
      </c>
      <c r="L1000">
        <f t="shared" si="188"/>
        <v>206.84352009786903</v>
      </c>
      <c r="M1000">
        <f t="shared" si="189"/>
        <v>0</v>
      </c>
      <c r="N1000">
        <f t="shared" si="191"/>
        <v>206.84352009786903</v>
      </c>
      <c r="O1000" s="5">
        <f t="shared" si="182"/>
        <v>7.9813378251157585E-6</v>
      </c>
      <c r="P1000">
        <f t="shared" si="190"/>
        <v>10000</v>
      </c>
      <c r="Q1000">
        <f t="shared" si="183"/>
        <v>7.9813378251157585E-2</v>
      </c>
    </row>
    <row r="1001" spans="1:17" x14ac:dyDescent="0.15">
      <c r="A1001" s="10">
        <v>45900.579861111008</v>
      </c>
      <c r="B1001">
        <f>COUNT(A1001:$A$1158)/(48*252)</f>
        <v>1.3062169312169311E-2</v>
      </c>
      <c r="C1001">
        <v>2.331</v>
      </c>
      <c r="D1001">
        <v>0.13</v>
      </c>
      <c r="E1001">
        <f t="shared" si="180"/>
        <v>3.5513049220083053</v>
      </c>
      <c r="F1001">
        <f t="shared" si="181"/>
        <v>-1.9166301889628201E-4</v>
      </c>
      <c r="G1001">
        <f t="shared" si="184"/>
        <v>9.9999999999988987E-4</v>
      </c>
      <c r="H1001">
        <f>IF(MOD(COUNTA($C$7:C1001)-1,$J$2),H1000,ROUND(F1001*P1001,-2))</f>
        <v>0</v>
      </c>
      <c r="I1001">
        <f t="shared" si="185"/>
        <v>0</v>
      </c>
      <c r="J1001">
        <f t="shared" si="186"/>
        <v>0</v>
      </c>
      <c r="K1001">
        <f t="shared" si="187"/>
        <v>206.84352009786903</v>
      </c>
      <c r="L1001">
        <f t="shared" si="188"/>
        <v>206.84352009786903</v>
      </c>
      <c r="M1001">
        <f t="shared" si="189"/>
        <v>0</v>
      </c>
      <c r="N1001">
        <f t="shared" si="191"/>
        <v>206.84352009786903</v>
      </c>
      <c r="O1001" s="5">
        <f t="shared" si="182"/>
        <v>7.4203516735405015E-6</v>
      </c>
      <c r="P1001">
        <f t="shared" si="190"/>
        <v>10000</v>
      </c>
      <c r="Q1001">
        <f t="shared" si="183"/>
        <v>7.4203516735405012E-2</v>
      </c>
    </row>
    <row r="1002" spans="1:17" x14ac:dyDescent="0.15">
      <c r="A1002" s="10">
        <v>45900.583333333023</v>
      </c>
      <c r="B1002">
        <f>COUNT(A1002:$A$1158)/(48*252)</f>
        <v>1.2979497354497355E-2</v>
      </c>
      <c r="C1002">
        <v>2.34</v>
      </c>
      <c r="D1002">
        <v>0.13200000000000001</v>
      </c>
      <c r="E1002">
        <f t="shared" si="180"/>
        <v>3.6211031714890414</v>
      </c>
      <c r="F1002">
        <f t="shared" si="181"/>
        <v>-1.4667474711949069E-4</v>
      </c>
      <c r="G1002">
        <f t="shared" si="184"/>
        <v>8.999999999999897E-3</v>
      </c>
      <c r="H1002">
        <f>IF(MOD(COUNTA($C$7:C1002)-1,$J$2),H1001,ROUND(F1002*P1002,-2))</f>
        <v>0</v>
      </c>
      <c r="I1002">
        <f t="shared" si="185"/>
        <v>0</v>
      </c>
      <c r="J1002">
        <f t="shared" si="186"/>
        <v>0</v>
      </c>
      <c r="K1002">
        <f t="shared" si="187"/>
        <v>206.84352009786903</v>
      </c>
      <c r="L1002">
        <f t="shared" si="188"/>
        <v>206.84352009786903</v>
      </c>
      <c r="M1002">
        <f t="shared" si="189"/>
        <v>0</v>
      </c>
      <c r="N1002">
        <f t="shared" si="191"/>
        <v>206.84352009786903</v>
      </c>
      <c r="O1002" s="5">
        <f t="shared" si="182"/>
        <v>5.5932163736870056E-6</v>
      </c>
      <c r="P1002">
        <f t="shared" si="190"/>
        <v>10000</v>
      </c>
      <c r="Q1002">
        <f t="shared" si="183"/>
        <v>5.5932163736870058E-2</v>
      </c>
    </row>
    <row r="1003" spans="1:17" x14ac:dyDescent="0.15">
      <c r="A1003" s="10">
        <v>45900.586805555969</v>
      </c>
      <c r="B1003">
        <f>COUNT(A1003:$A$1158)/(48*252)</f>
        <v>1.2896825396825396E-2</v>
      </c>
      <c r="C1003">
        <v>2.339</v>
      </c>
      <c r="D1003">
        <v>0.13400000000000001</v>
      </c>
      <c r="E1003">
        <f t="shared" si="180"/>
        <v>3.6259054482328255</v>
      </c>
      <c r="F1003">
        <f t="shared" si="181"/>
        <v>-1.4397535451426968E-4</v>
      </c>
      <c r="G1003">
        <f t="shared" si="184"/>
        <v>-9.9999999999988987E-4</v>
      </c>
      <c r="H1003">
        <f>IF(MOD(COUNTA($C$7:C1003)-1,$J$2),H1002,ROUND(F1003*P1003,-2))</f>
        <v>0</v>
      </c>
      <c r="I1003">
        <f t="shared" si="185"/>
        <v>0</v>
      </c>
      <c r="J1003">
        <f t="shared" si="186"/>
        <v>0</v>
      </c>
      <c r="K1003">
        <f t="shared" si="187"/>
        <v>206.84352009786903</v>
      </c>
      <c r="L1003">
        <f t="shared" si="188"/>
        <v>206.84352009786903</v>
      </c>
      <c r="M1003">
        <f t="shared" si="189"/>
        <v>0</v>
      </c>
      <c r="N1003">
        <f t="shared" si="191"/>
        <v>206.84352009786903</v>
      </c>
      <c r="O1003" s="5">
        <f t="shared" si="182"/>
        <v>5.4642628544283823E-6</v>
      </c>
      <c r="P1003">
        <f t="shared" si="190"/>
        <v>10000</v>
      </c>
      <c r="Q1003">
        <f t="shared" si="183"/>
        <v>5.4642628544283825E-2</v>
      </c>
    </row>
    <row r="1004" spans="1:17" x14ac:dyDescent="0.15">
      <c r="A1004" s="10">
        <v>45900.590277777985</v>
      </c>
      <c r="B1004">
        <f>COUNT(A1004:$A$1158)/(48*252)</f>
        <v>1.2814153439153439E-2</v>
      </c>
      <c r="C1004">
        <v>2.339</v>
      </c>
      <c r="D1004">
        <v>0.13600000000000001</v>
      </c>
      <c r="E1004">
        <f t="shared" si="180"/>
        <v>3.6373348296602162</v>
      </c>
      <c r="F1004">
        <f t="shared" si="181"/>
        <v>-1.3773686537510432E-4</v>
      </c>
      <c r="G1004">
        <f t="shared" si="184"/>
        <v>0</v>
      </c>
      <c r="H1004">
        <f>IF(MOD(COUNTA($C$7:C1004)-1,$J$2),H1003,ROUND(F1004*P1004,-2))</f>
        <v>0</v>
      </c>
      <c r="I1004">
        <f t="shared" si="185"/>
        <v>0</v>
      </c>
      <c r="J1004">
        <f t="shared" si="186"/>
        <v>0</v>
      </c>
      <c r="K1004">
        <f t="shared" si="187"/>
        <v>206.84352009786903</v>
      </c>
      <c r="L1004">
        <f t="shared" si="188"/>
        <v>206.84352009786903</v>
      </c>
      <c r="M1004">
        <f t="shared" si="189"/>
        <v>0</v>
      </c>
      <c r="N1004">
        <f t="shared" si="191"/>
        <v>206.84352009786903</v>
      </c>
      <c r="O1004" s="5">
        <f t="shared" si="182"/>
        <v>5.1971236495214194E-6</v>
      </c>
      <c r="P1004">
        <f t="shared" si="190"/>
        <v>10000</v>
      </c>
      <c r="Q1004">
        <f t="shared" si="183"/>
        <v>5.1971236495214193E-2</v>
      </c>
    </row>
    <row r="1005" spans="1:17" x14ac:dyDescent="0.15">
      <c r="A1005" s="10">
        <v>45900.59375</v>
      </c>
      <c r="B1005">
        <f>COUNT(A1005:$A$1158)/(48*252)</f>
        <v>1.2731481481481481E-2</v>
      </c>
      <c r="C1005">
        <v>2.3359999999999999</v>
      </c>
      <c r="D1005">
        <v>0.13200000000000001</v>
      </c>
      <c r="E1005">
        <f t="shared" si="180"/>
        <v>3.6291189287745995</v>
      </c>
      <c r="F1005">
        <f t="shared" si="181"/>
        <v>-1.4219510368596033E-4</v>
      </c>
      <c r="G1005">
        <f t="shared" si="184"/>
        <v>-3.0000000000001137E-3</v>
      </c>
      <c r="H1005">
        <f>IF(MOD(COUNTA($C$7:C1005)-1,$J$2),H1004,ROUND(F1005*P1005,-2))</f>
        <v>0</v>
      </c>
      <c r="I1005">
        <f t="shared" si="185"/>
        <v>0</v>
      </c>
      <c r="J1005">
        <f t="shared" si="186"/>
        <v>0</v>
      </c>
      <c r="K1005">
        <f t="shared" si="187"/>
        <v>206.84352009786903</v>
      </c>
      <c r="L1005">
        <f t="shared" si="188"/>
        <v>206.84352009786903</v>
      </c>
      <c r="M1005">
        <f t="shared" si="189"/>
        <v>0</v>
      </c>
      <c r="N1005">
        <f t="shared" si="191"/>
        <v>206.84352009786903</v>
      </c>
      <c r="O1005" s="5">
        <f t="shared" si="182"/>
        <v>5.3507244916116631E-6</v>
      </c>
      <c r="P1005">
        <f t="shared" si="190"/>
        <v>10000</v>
      </c>
      <c r="Q1005">
        <f t="shared" si="183"/>
        <v>5.3507244916116629E-2</v>
      </c>
    </row>
    <row r="1006" spans="1:17" x14ac:dyDescent="0.15">
      <c r="A1006" s="10">
        <v>45900.597222222015</v>
      </c>
      <c r="B1006">
        <f>COUNT(A1006:$A$1158)/(48*252)</f>
        <v>1.2648809523809524E-2</v>
      </c>
      <c r="C1006">
        <v>2.339</v>
      </c>
      <c r="D1006">
        <v>0.13500000000000001</v>
      </c>
      <c r="E1006">
        <f t="shared" si="180"/>
        <v>3.6605312714527045</v>
      </c>
      <c r="F1006">
        <f t="shared" si="181"/>
        <v>-1.2584641595414503E-4</v>
      </c>
      <c r="G1006">
        <f t="shared" si="184"/>
        <v>3.0000000000001137E-3</v>
      </c>
      <c r="H1006">
        <f>IF(MOD(COUNTA($C$7:C1006)-1,$J$2),H1005,ROUND(F1006*P1006,-2))</f>
        <v>0</v>
      </c>
      <c r="I1006">
        <f t="shared" si="185"/>
        <v>0</v>
      </c>
      <c r="J1006">
        <f t="shared" si="186"/>
        <v>0</v>
      </c>
      <c r="K1006">
        <f t="shared" si="187"/>
        <v>206.84352009786903</v>
      </c>
      <c r="L1006">
        <f t="shared" si="188"/>
        <v>206.84352009786903</v>
      </c>
      <c r="M1006">
        <f t="shared" si="189"/>
        <v>0</v>
      </c>
      <c r="N1006">
        <f t="shared" si="191"/>
        <v>206.84352009786903</v>
      </c>
      <c r="O1006" s="5">
        <f t="shared" si="182"/>
        <v>4.6928838738724099E-6</v>
      </c>
      <c r="P1006">
        <f t="shared" si="190"/>
        <v>10000</v>
      </c>
      <c r="Q1006">
        <f t="shared" si="183"/>
        <v>4.6928838738724096E-2</v>
      </c>
    </row>
    <row r="1007" spans="1:17" x14ac:dyDescent="0.15">
      <c r="A1007" s="10">
        <v>45900.600694444962</v>
      </c>
      <c r="B1007">
        <f>COUNT(A1007:$A$1158)/(48*252)</f>
        <v>1.2566137566137565E-2</v>
      </c>
      <c r="C1007">
        <v>2.3450000000000002</v>
      </c>
      <c r="D1007">
        <v>0.13900000000000001</v>
      </c>
      <c r="E1007">
        <f t="shared" si="180"/>
        <v>3.7119992042912497</v>
      </c>
      <c r="F1007">
        <f t="shared" si="181"/>
        <v>-1.0281431696290699E-4</v>
      </c>
      <c r="G1007">
        <f t="shared" si="184"/>
        <v>6.0000000000002274E-3</v>
      </c>
      <c r="H1007">
        <f>IF(MOD(COUNTA($C$7:C1007)-1,$J$2),H1006,ROUND(F1007*P1007,-2))</f>
        <v>0</v>
      </c>
      <c r="I1007">
        <f t="shared" si="185"/>
        <v>0</v>
      </c>
      <c r="J1007">
        <f t="shared" si="186"/>
        <v>0</v>
      </c>
      <c r="K1007">
        <f t="shared" si="187"/>
        <v>206.84352009786903</v>
      </c>
      <c r="L1007">
        <f t="shared" si="188"/>
        <v>206.84352009786903</v>
      </c>
      <c r="M1007">
        <f t="shared" si="189"/>
        <v>0</v>
      </c>
      <c r="N1007">
        <f t="shared" si="191"/>
        <v>206.84352009786903</v>
      </c>
      <c r="O1007" s="5">
        <f t="shared" si="182"/>
        <v>3.7875698326871629E-6</v>
      </c>
      <c r="P1007">
        <f t="shared" si="190"/>
        <v>10000</v>
      </c>
      <c r="Q1007">
        <f t="shared" si="183"/>
        <v>3.7875698326871626E-2</v>
      </c>
    </row>
    <row r="1008" spans="1:17" x14ac:dyDescent="0.15">
      <c r="A1008" s="10">
        <v>45900.604166666977</v>
      </c>
      <c r="B1008">
        <f>COUNT(A1008:$A$1158)/(48*252)</f>
        <v>1.2483465608465609E-2</v>
      </c>
      <c r="C1008">
        <v>2.3439999999999999</v>
      </c>
      <c r="D1008">
        <v>0.13900000000000001</v>
      </c>
      <c r="E1008">
        <f t="shared" si="180"/>
        <v>3.7173877740414394</v>
      </c>
      <c r="F1008">
        <f t="shared" si="181"/>
        <v>-1.0064667837073049E-4</v>
      </c>
      <c r="G1008">
        <f t="shared" si="184"/>
        <v>-1.000000000000334E-3</v>
      </c>
      <c r="H1008">
        <f>IF(MOD(COUNTA($C$7:C1008)-1,$J$2),H1007,ROUND(F1008*P1008,-2))</f>
        <v>0</v>
      </c>
      <c r="I1008">
        <f t="shared" si="185"/>
        <v>0</v>
      </c>
      <c r="J1008">
        <f t="shared" si="186"/>
        <v>0</v>
      </c>
      <c r="K1008">
        <f t="shared" si="187"/>
        <v>206.84352009786903</v>
      </c>
      <c r="L1008">
        <f t="shared" si="188"/>
        <v>206.84352009786903</v>
      </c>
      <c r="M1008">
        <f t="shared" si="189"/>
        <v>0</v>
      </c>
      <c r="N1008">
        <f t="shared" si="191"/>
        <v>206.84352009786903</v>
      </c>
      <c r="O1008" s="5">
        <f t="shared" si="182"/>
        <v>3.6893517464875935E-6</v>
      </c>
      <c r="P1008">
        <f t="shared" si="190"/>
        <v>10000</v>
      </c>
      <c r="Q1008">
        <f t="shared" si="183"/>
        <v>3.6893517464875937E-2</v>
      </c>
    </row>
    <row r="1009" spans="1:17" x14ac:dyDescent="0.15">
      <c r="A1009" s="10">
        <v>45900.607638888992</v>
      </c>
      <c r="B1009">
        <f>COUNT(A1009:$A$1158)/(48*252)</f>
        <v>1.240079365079365E-2</v>
      </c>
      <c r="C1009">
        <v>2.3490000000000002</v>
      </c>
      <c r="D1009">
        <v>0.14299999999999999</v>
      </c>
      <c r="E1009">
        <f t="shared" si="180"/>
        <v>3.7627430143532004</v>
      </c>
      <c r="F1009">
        <f t="shared" si="181"/>
        <v>-8.4029935965901359E-5</v>
      </c>
      <c r="G1009">
        <f t="shared" si="184"/>
        <v>5.0000000000003375E-3</v>
      </c>
      <c r="H1009">
        <f>IF(MOD(COUNTA($C$7:C1009)-1,$J$2),H1008,ROUND(F1009*P1009,-2))</f>
        <v>0</v>
      </c>
      <c r="I1009">
        <f t="shared" si="185"/>
        <v>0</v>
      </c>
      <c r="J1009">
        <f t="shared" si="186"/>
        <v>0</v>
      </c>
      <c r="K1009">
        <f t="shared" si="187"/>
        <v>206.84352009786903</v>
      </c>
      <c r="L1009">
        <f t="shared" si="188"/>
        <v>206.84352009786903</v>
      </c>
      <c r="M1009">
        <f t="shared" si="189"/>
        <v>0</v>
      </c>
      <c r="N1009">
        <f t="shared" si="191"/>
        <v>206.84352009786903</v>
      </c>
      <c r="O1009" s="5">
        <f t="shared" si="182"/>
        <v>3.0459247496135227E-6</v>
      </c>
      <c r="P1009">
        <f t="shared" si="190"/>
        <v>10000</v>
      </c>
      <c r="Q1009">
        <f t="shared" si="183"/>
        <v>3.0459247496135228E-2</v>
      </c>
    </row>
    <row r="1010" spans="1:17" x14ac:dyDescent="0.15">
      <c r="A1010" s="10">
        <v>45900.611111111008</v>
      </c>
      <c r="B1010">
        <f>COUNT(A1010:$A$1158)/(48*252)</f>
        <v>1.2318121693121693E-2</v>
      </c>
      <c r="C1010">
        <v>2.35</v>
      </c>
      <c r="D1010">
        <v>0.14199999999999999</v>
      </c>
      <c r="E1010">
        <f t="shared" si="180"/>
        <v>3.7817564555315717</v>
      </c>
      <c r="F1010">
        <f t="shared" si="181"/>
        <v>-7.7862839469422518E-5</v>
      </c>
      <c r="G1010">
        <f t="shared" si="184"/>
        <v>9.9999999999988987E-4</v>
      </c>
      <c r="H1010">
        <f>IF(MOD(COUNTA($C$7:C1010)-1,$J$2),H1009,ROUND(F1010*P1010,-2))</f>
        <v>0</v>
      </c>
      <c r="I1010">
        <f t="shared" si="185"/>
        <v>0</v>
      </c>
      <c r="J1010">
        <f t="shared" si="186"/>
        <v>0</v>
      </c>
      <c r="K1010">
        <f t="shared" si="187"/>
        <v>206.84352009786903</v>
      </c>
      <c r="L1010">
        <f t="shared" si="188"/>
        <v>206.84352009786903</v>
      </c>
      <c r="M1010">
        <f t="shared" si="189"/>
        <v>0</v>
      </c>
      <c r="N1010">
        <f t="shared" si="191"/>
        <v>206.84352009786903</v>
      </c>
      <c r="O1010" s="5">
        <f t="shared" si="182"/>
        <v>2.8023565035403299E-6</v>
      </c>
      <c r="P1010">
        <f t="shared" si="190"/>
        <v>10000</v>
      </c>
      <c r="Q1010">
        <f t="shared" si="183"/>
        <v>2.8023565035403299E-2</v>
      </c>
    </row>
    <row r="1011" spans="1:17" x14ac:dyDescent="0.15">
      <c r="A1011" s="10">
        <v>45900.614583333023</v>
      </c>
      <c r="B1011">
        <f>COUNT(A1011:$A$1158)/(48*252)</f>
        <v>1.2235449735449735E-2</v>
      </c>
      <c r="C1011">
        <v>2.351</v>
      </c>
      <c r="D1011">
        <v>0.14199999999999999</v>
      </c>
      <c r="E1011">
        <f t="shared" si="180"/>
        <v>3.800937820975379</v>
      </c>
      <c r="F1011">
        <f t="shared" si="181"/>
        <v>-7.2074737297866953E-5</v>
      </c>
      <c r="G1011">
        <f t="shared" si="184"/>
        <v>9.9999999999988987E-4</v>
      </c>
      <c r="H1011">
        <f>IF(MOD(COUNTA($C$7:C1011)-1,$J$2),H1010,ROUND(F1011*P1011,-2))</f>
        <v>0</v>
      </c>
      <c r="I1011">
        <f t="shared" si="185"/>
        <v>0</v>
      </c>
      <c r="J1011">
        <f t="shared" si="186"/>
        <v>0</v>
      </c>
      <c r="K1011">
        <f t="shared" si="187"/>
        <v>206.84352009786903</v>
      </c>
      <c r="L1011">
        <f t="shared" si="188"/>
        <v>206.84352009786903</v>
      </c>
      <c r="M1011">
        <f t="shared" si="189"/>
        <v>0</v>
      </c>
      <c r="N1011">
        <f t="shared" si="191"/>
        <v>206.84352009786903</v>
      </c>
      <c r="O1011" s="5">
        <f t="shared" si="182"/>
        <v>2.5755196371160462E-6</v>
      </c>
      <c r="P1011">
        <f t="shared" si="190"/>
        <v>10000</v>
      </c>
      <c r="Q1011">
        <f t="shared" si="183"/>
        <v>2.5755196371160461E-2</v>
      </c>
    </row>
    <row r="1012" spans="1:17" x14ac:dyDescent="0.15">
      <c r="A1012" s="10">
        <v>45900.618055555969</v>
      </c>
      <c r="B1012">
        <f>COUNT(A1012:$A$1158)/(48*252)</f>
        <v>1.2152777777777778E-2</v>
      </c>
      <c r="C1012">
        <v>2.3479999999999999</v>
      </c>
      <c r="D1012">
        <v>0.14199999999999999</v>
      </c>
      <c r="E1012">
        <f t="shared" si="180"/>
        <v>3.7934704309374756</v>
      </c>
      <c r="F1012">
        <f t="shared" si="181"/>
        <v>-7.4278164310381811E-5</v>
      </c>
      <c r="G1012">
        <f t="shared" si="184"/>
        <v>-3.0000000000001137E-3</v>
      </c>
      <c r="H1012">
        <f>IF(MOD(COUNTA($C$7:C1012)-1,$J$2),H1011,ROUND(F1012*P1012,-2))</f>
        <v>0</v>
      </c>
      <c r="I1012">
        <f t="shared" si="185"/>
        <v>0</v>
      </c>
      <c r="J1012">
        <f t="shared" si="186"/>
        <v>0</v>
      </c>
      <c r="K1012">
        <f t="shared" si="187"/>
        <v>206.84352009786903</v>
      </c>
      <c r="L1012">
        <f t="shared" si="188"/>
        <v>206.84352009786903</v>
      </c>
      <c r="M1012">
        <f t="shared" si="189"/>
        <v>0</v>
      </c>
      <c r="N1012">
        <f t="shared" si="191"/>
        <v>206.84352009786903</v>
      </c>
      <c r="O1012" s="5">
        <f t="shared" si="182"/>
        <v>2.6460603499909295E-6</v>
      </c>
      <c r="P1012">
        <f t="shared" si="190"/>
        <v>10000</v>
      </c>
      <c r="Q1012">
        <f t="shared" si="183"/>
        <v>2.6460603499909294E-2</v>
      </c>
    </row>
    <row r="1013" spans="1:17" x14ac:dyDescent="0.15">
      <c r="A1013" s="10">
        <v>45900.621527777985</v>
      </c>
      <c r="B1013">
        <f>COUNT(A1013:$A$1158)/(48*252)</f>
        <v>1.2070105820105819E-2</v>
      </c>
      <c r="C1013">
        <v>2.3530000000000002</v>
      </c>
      <c r="D1013">
        <v>0.14299999999999999</v>
      </c>
      <c r="E1013">
        <f t="shared" si="180"/>
        <v>3.8398155884757177</v>
      </c>
      <c r="F1013">
        <f t="shared" si="181"/>
        <v>-6.1563381101303882E-5</v>
      </c>
      <c r="G1013">
        <f t="shared" si="184"/>
        <v>5.0000000000003375E-3</v>
      </c>
      <c r="H1013">
        <f>IF(MOD(COUNTA($C$7:C1013)-1,$J$2),H1012,ROUND(F1013*P1013,-2))</f>
        <v>0</v>
      </c>
      <c r="I1013">
        <f t="shared" si="185"/>
        <v>0</v>
      </c>
      <c r="J1013">
        <f t="shared" si="186"/>
        <v>0</v>
      </c>
      <c r="K1013">
        <f t="shared" si="187"/>
        <v>206.84352009786903</v>
      </c>
      <c r="L1013">
        <f t="shared" si="188"/>
        <v>206.84352009786903</v>
      </c>
      <c r="M1013">
        <f t="shared" si="189"/>
        <v>0</v>
      </c>
      <c r="N1013">
        <f t="shared" si="191"/>
        <v>206.84352009786903</v>
      </c>
      <c r="O1013" s="5">
        <f t="shared" si="182"/>
        <v>2.1683152455115361E-6</v>
      </c>
      <c r="P1013">
        <f t="shared" si="190"/>
        <v>10000</v>
      </c>
      <c r="Q1013">
        <f t="shared" si="183"/>
        <v>2.1683152455115359E-2</v>
      </c>
    </row>
    <row r="1014" spans="1:17" x14ac:dyDescent="0.15">
      <c r="A1014" s="10">
        <v>45900.625</v>
      </c>
      <c r="B1014">
        <f>COUNT(A1014:$A$1158)/(48*252)</f>
        <v>1.1987433862433863E-2</v>
      </c>
      <c r="C1014">
        <v>2.35</v>
      </c>
      <c r="D1014">
        <v>0.14000000000000001</v>
      </c>
      <c r="E1014">
        <f t="shared" si="180"/>
        <v>3.8325369450875888</v>
      </c>
      <c r="F1014">
        <f t="shared" si="181"/>
        <v>-6.3414272472805955E-5</v>
      </c>
      <c r="G1014">
        <f t="shared" si="184"/>
        <v>-3.0000000000001137E-3</v>
      </c>
      <c r="H1014">
        <f>IF(MOD(COUNTA($C$7:C1014)-1,$J$2),H1013,ROUND(F1014*P1014,-2))</f>
        <v>0</v>
      </c>
      <c r="I1014">
        <f t="shared" si="185"/>
        <v>0</v>
      </c>
      <c r="J1014">
        <f t="shared" si="186"/>
        <v>0</v>
      </c>
      <c r="K1014">
        <f t="shared" si="187"/>
        <v>206.84352009786903</v>
      </c>
      <c r="L1014">
        <f t="shared" si="188"/>
        <v>206.84352009786903</v>
      </c>
      <c r="M1014">
        <f t="shared" si="189"/>
        <v>0</v>
      </c>
      <c r="N1014">
        <f t="shared" si="191"/>
        <v>206.84352009786903</v>
      </c>
      <c r="O1014" s="5">
        <f t="shared" si="182"/>
        <v>2.2263902307371845E-6</v>
      </c>
      <c r="P1014">
        <f t="shared" si="190"/>
        <v>10000</v>
      </c>
      <c r="Q1014">
        <f t="shared" si="183"/>
        <v>2.2263902307371845E-2</v>
      </c>
    </row>
    <row r="1015" spans="1:17" x14ac:dyDescent="0.15">
      <c r="A1015" s="10">
        <v>45903.399305555969</v>
      </c>
      <c r="B1015">
        <f>COUNT(A1015:$A$1158)/(48*252)</f>
        <v>1.1904761904761904E-2</v>
      </c>
      <c r="C1015">
        <v>2.3690000000000002</v>
      </c>
      <c r="D1015">
        <v>0.16500000000000001</v>
      </c>
      <c r="E1015">
        <f t="shared" si="180"/>
        <v>3.9737588698637318</v>
      </c>
      <c r="F1015">
        <f t="shared" si="181"/>
        <v>-3.5373593778031953E-5</v>
      </c>
      <c r="G1015">
        <f t="shared" si="184"/>
        <v>1.9000000000000128E-2</v>
      </c>
      <c r="H1015">
        <f>IF(MOD(COUNTA($C$7:C1015)-1,$J$2),H1014,ROUND(F1015*P1015,-2))</f>
        <v>0</v>
      </c>
      <c r="I1015">
        <f t="shared" si="185"/>
        <v>0</v>
      </c>
      <c r="J1015">
        <f t="shared" si="186"/>
        <v>0</v>
      </c>
      <c r="K1015">
        <f t="shared" si="187"/>
        <v>206.84352009786903</v>
      </c>
      <c r="L1015">
        <f t="shared" si="188"/>
        <v>206.84352009786903</v>
      </c>
      <c r="M1015">
        <f t="shared" si="189"/>
        <v>0</v>
      </c>
      <c r="N1015">
        <f t="shared" si="191"/>
        <v>206.84352009786903</v>
      </c>
      <c r="O1015" s="5">
        <f t="shared" si="182"/>
        <v>1.2105740584628989E-6</v>
      </c>
      <c r="P1015">
        <f t="shared" si="190"/>
        <v>10000</v>
      </c>
      <c r="Q1015">
        <f t="shared" si="183"/>
        <v>1.2105740584628988E-2</v>
      </c>
    </row>
    <row r="1016" spans="1:17" x14ac:dyDescent="0.15">
      <c r="A1016" s="10">
        <v>45903.402777777985</v>
      </c>
      <c r="B1016">
        <f>COUNT(A1016:$A$1158)/(48*252)</f>
        <v>1.1822089947089947E-2</v>
      </c>
      <c r="C1016">
        <v>2.3650000000000002</v>
      </c>
      <c r="D1016">
        <v>0.16</v>
      </c>
      <c r="E1016">
        <f t="shared" si="180"/>
        <v>3.9603737404031341</v>
      </c>
      <c r="F1016">
        <f t="shared" si="181"/>
        <v>-3.7416275622259576E-5</v>
      </c>
      <c r="G1016">
        <f t="shared" si="184"/>
        <v>-4.0000000000000036E-3</v>
      </c>
      <c r="H1016">
        <f>IF(MOD(COUNTA($C$7:C1016)-1,$J$2),H1015,ROUND(F1016*P1016,-2))</f>
        <v>0</v>
      </c>
      <c r="I1016">
        <f t="shared" si="185"/>
        <v>0</v>
      </c>
      <c r="J1016">
        <f t="shared" si="186"/>
        <v>0</v>
      </c>
      <c r="K1016">
        <f t="shared" si="187"/>
        <v>206.84352009786903</v>
      </c>
      <c r="L1016">
        <f t="shared" si="188"/>
        <v>206.84352009786903</v>
      </c>
      <c r="M1016">
        <f t="shared" si="189"/>
        <v>0</v>
      </c>
      <c r="N1016">
        <f t="shared" si="191"/>
        <v>206.84352009786903</v>
      </c>
      <c r="O1016" s="5">
        <f t="shared" si="182"/>
        <v>1.2774083513267872E-6</v>
      </c>
      <c r="P1016">
        <f t="shared" si="190"/>
        <v>10000</v>
      </c>
      <c r="Q1016">
        <f t="shared" si="183"/>
        <v>1.2774083513267871E-2</v>
      </c>
    </row>
    <row r="1017" spans="1:17" x14ac:dyDescent="0.15">
      <c r="A1017" s="10">
        <v>45903.40625</v>
      </c>
      <c r="B1017">
        <f>COUNT(A1017:$A$1158)/(48*252)</f>
        <v>1.1739417989417989E-2</v>
      </c>
      <c r="C1017">
        <v>2.367</v>
      </c>
      <c r="D1017">
        <v>0.161</v>
      </c>
      <c r="E1017">
        <f t="shared" si="180"/>
        <v>3.9875863700683931</v>
      </c>
      <c r="F1017">
        <f t="shared" si="181"/>
        <v>-3.3374453680568017E-5</v>
      </c>
      <c r="G1017">
        <f t="shared" si="184"/>
        <v>1.9999999999997797E-3</v>
      </c>
      <c r="H1017">
        <f>IF(MOD(COUNTA($C$7:C1017)-1,$J$2),H1016,ROUND(F1017*P1017,-2))</f>
        <v>0</v>
      </c>
      <c r="I1017">
        <f t="shared" si="185"/>
        <v>0</v>
      </c>
      <c r="J1017">
        <f t="shared" si="186"/>
        <v>0</v>
      </c>
      <c r="K1017">
        <f t="shared" si="187"/>
        <v>206.84352009786903</v>
      </c>
      <c r="L1017">
        <f t="shared" si="188"/>
        <v>206.84352009786903</v>
      </c>
      <c r="M1017">
        <f t="shared" si="189"/>
        <v>0</v>
      </c>
      <c r="N1017">
        <f t="shared" si="191"/>
        <v>206.84352009786903</v>
      </c>
      <c r="O1017" s="5">
        <f t="shared" si="182"/>
        <v>1.1298433070406494E-6</v>
      </c>
      <c r="P1017">
        <f t="shared" si="190"/>
        <v>10000</v>
      </c>
      <c r="Q1017">
        <f t="shared" si="183"/>
        <v>1.1298433070406493E-2</v>
      </c>
    </row>
    <row r="1018" spans="1:17" x14ac:dyDescent="0.15">
      <c r="A1018" s="10">
        <v>45903.409722222015</v>
      </c>
      <c r="B1018">
        <f>COUNT(A1018:$A$1158)/(48*252)</f>
        <v>1.1656746031746032E-2</v>
      </c>
      <c r="C1018">
        <v>2.375</v>
      </c>
      <c r="D1018">
        <v>0.16600000000000001</v>
      </c>
      <c r="E1018">
        <f t="shared" si="180"/>
        <v>4.055724724088738</v>
      </c>
      <c r="F1018">
        <f t="shared" si="181"/>
        <v>-2.4989546836273746E-5</v>
      </c>
      <c r="G1018">
        <f t="shared" si="184"/>
        <v>8.0000000000000071E-3</v>
      </c>
      <c r="H1018">
        <f>IF(MOD(COUNTA($C$7:C1018)-1,$J$2),H1017,ROUND(F1018*P1018,-2))</f>
        <v>0</v>
      </c>
      <c r="I1018">
        <f t="shared" si="185"/>
        <v>0</v>
      </c>
      <c r="J1018">
        <f t="shared" si="186"/>
        <v>0</v>
      </c>
      <c r="K1018">
        <f t="shared" si="187"/>
        <v>206.84352009786903</v>
      </c>
      <c r="L1018">
        <f t="shared" si="188"/>
        <v>206.84352009786903</v>
      </c>
      <c r="M1018">
        <f t="shared" si="189"/>
        <v>0</v>
      </c>
      <c r="N1018">
        <f t="shared" si="191"/>
        <v>206.84352009786903</v>
      </c>
      <c r="O1018" s="5">
        <f t="shared" si="182"/>
        <v>8.3386695697659655E-7</v>
      </c>
      <c r="P1018">
        <f t="shared" si="190"/>
        <v>10000</v>
      </c>
      <c r="Q1018">
        <f t="shared" si="183"/>
        <v>8.3386695697659653E-3</v>
      </c>
    </row>
    <row r="1019" spans="1:17" x14ac:dyDescent="0.15">
      <c r="A1019" s="10">
        <v>45903.413194444962</v>
      </c>
      <c r="B1019">
        <f>COUNT(A1019:$A$1158)/(48*252)</f>
        <v>1.1574074074074073E-2</v>
      </c>
      <c r="C1019">
        <v>2.3809999999999998</v>
      </c>
      <c r="D1019">
        <v>0.17100000000000001</v>
      </c>
      <c r="E1019">
        <f t="shared" si="180"/>
        <v>4.1106597495008357</v>
      </c>
      <c r="F1019">
        <f t="shared" si="181"/>
        <v>-1.972651060289099E-5</v>
      </c>
      <c r="G1019">
        <f t="shared" si="184"/>
        <v>5.9999999999997833E-3</v>
      </c>
      <c r="H1019">
        <f>IF(MOD(COUNTA($C$7:C1019)-1,$J$2),H1018,ROUND(F1019*P1019,-2))</f>
        <v>0</v>
      </c>
      <c r="I1019">
        <f t="shared" si="185"/>
        <v>0</v>
      </c>
      <c r="J1019">
        <f t="shared" si="186"/>
        <v>0</v>
      </c>
      <c r="K1019">
        <f t="shared" si="187"/>
        <v>206.84352009786903</v>
      </c>
      <c r="L1019">
        <f t="shared" si="188"/>
        <v>206.84352009786903</v>
      </c>
      <c r="M1019">
        <f t="shared" si="189"/>
        <v>0</v>
      </c>
      <c r="N1019">
        <f t="shared" si="191"/>
        <v>206.84352009786903</v>
      </c>
      <c r="O1019" s="5">
        <f t="shared" si="182"/>
        <v>6.50119809721723E-7</v>
      </c>
      <c r="P1019">
        <f t="shared" si="190"/>
        <v>10000</v>
      </c>
      <c r="Q1019">
        <f t="shared" si="183"/>
        <v>6.5011980972172296E-3</v>
      </c>
    </row>
    <row r="1020" spans="1:17" x14ac:dyDescent="0.15">
      <c r="A1020" s="10">
        <v>45903.416666666977</v>
      </c>
      <c r="B1020">
        <f>COUNT(A1020:$A$1158)/(48*252)</f>
        <v>1.1491402116402117E-2</v>
      </c>
      <c r="C1020">
        <v>2.379</v>
      </c>
      <c r="D1020">
        <v>0.17</v>
      </c>
      <c r="E1020">
        <f t="shared" si="180"/>
        <v>4.1115412081920661</v>
      </c>
      <c r="F1020">
        <f t="shared" si="181"/>
        <v>-1.9651335370074463E-5</v>
      </c>
      <c r="G1020">
        <f t="shared" si="184"/>
        <v>-1.9999999999997797E-3</v>
      </c>
      <c r="H1020">
        <f>IF(MOD(COUNTA($C$7:C1020)-1,$J$2),H1019,ROUND(F1020*P1020,-2))</f>
        <v>0</v>
      </c>
      <c r="I1020">
        <f t="shared" si="185"/>
        <v>0</v>
      </c>
      <c r="J1020">
        <f t="shared" si="186"/>
        <v>0</v>
      </c>
      <c r="K1020">
        <f t="shared" si="187"/>
        <v>206.84352009786903</v>
      </c>
      <c r="L1020">
        <f t="shared" si="188"/>
        <v>206.84352009786903</v>
      </c>
      <c r="M1020">
        <f t="shared" si="189"/>
        <v>0</v>
      </c>
      <c r="N1020">
        <f t="shared" si="191"/>
        <v>206.84352009786903</v>
      </c>
      <c r="O1020" s="5">
        <f t="shared" si="182"/>
        <v>6.4463572395071129E-7</v>
      </c>
      <c r="P1020">
        <f t="shared" si="190"/>
        <v>10000</v>
      </c>
      <c r="Q1020">
        <f t="shared" si="183"/>
        <v>6.4463572395071127E-3</v>
      </c>
    </row>
    <row r="1021" spans="1:17" x14ac:dyDescent="0.15">
      <c r="A1021" s="10">
        <v>45903.420138888992</v>
      </c>
      <c r="B1021">
        <f>COUNT(A1021:$A$1158)/(48*252)</f>
        <v>1.1408730158730158E-2</v>
      </c>
      <c r="C1021">
        <v>2.379</v>
      </c>
      <c r="D1021">
        <v>0.16800000000000001</v>
      </c>
      <c r="E1021">
        <f t="shared" si="180"/>
        <v>4.1261480749727992</v>
      </c>
      <c r="F1021">
        <f t="shared" si="181"/>
        <v>-1.8444489999769331E-5</v>
      </c>
      <c r="G1021">
        <f t="shared" si="184"/>
        <v>0</v>
      </c>
      <c r="H1021">
        <f>IF(MOD(COUNTA($C$7:C1021)-1,$J$2),H1020,ROUND(F1021*P1021,-2))</f>
        <v>0</v>
      </c>
      <c r="I1021">
        <f t="shared" si="185"/>
        <v>0</v>
      </c>
      <c r="J1021">
        <f t="shared" si="186"/>
        <v>0</v>
      </c>
      <c r="K1021">
        <f t="shared" si="187"/>
        <v>206.84352009786903</v>
      </c>
      <c r="L1021">
        <f t="shared" si="188"/>
        <v>206.84352009786903</v>
      </c>
      <c r="M1021">
        <f t="shared" si="189"/>
        <v>0</v>
      </c>
      <c r="N1021">
        <f t="shared" si="191"/>
        <v>206.84352009786903</v>
      </c>
      <c r="O1021" s="5">
        <f t="shared" si="182"/>
        <v>6.0103428164332321E-7</v>
      </c>
      <c r="P1021">
        <f t="shared" si="190"/>
        <v>10000</v>
      </c>
      <c r="Q1021">
        <f t="shared" si="183"/>
        <v>6.0103428164332319E-3</v>
      </c>
    </row>
    <row r="1022" spans="1:17" x14ac:dyDescent="0.15">
      <c r="A1022" s="10">
        <v>45903.423611111008</v>
      </c>
      <c r="B1022">
        <f>COUNT(A1022:$A$1158)/(48*252)</f>
        <v>1.1326058201058201E-2</v>
      </c>
      <c r="C1022">
        <v>2.367</v>
      </c>
      <c r="D1022">
        <v>0.16400000000000001</v>
      </c>
      <c r="E1022">
        <f t="shared" si="180"/>
        <v>4.0583800133590637</v>
      </c>
      <c r="F1022">
        <f t="shared" si="181"/>
        <v>-2.4707155674930092E-5</v>
      </c>
      <c r="G1022">
        <f t="shared" si="184"/>
        <v>-1.2000000000000011E-2</v>
      </c>
      <c r="H1022">
        <f>IF(MOD(COUNTA($C$7:C1022)-1,$J$2),H1021,ROUND(F1022*P1022,-2))</f>
        <v>0</v>
      </c>
      <c r="I1022">
        <f t="shared" si="185"/>
        <v>0</v>
      </c>
      <c r="J1022">
        <f t="shared" si="186"/>
        <v>0</v>
      </c>
      <c r="K1022">
        <f t="shared" si="187"/>
        <v>206.84352009786903</v>
      </c>
      <c r="L1022">
        <f t="shared" si="188"/>
        <v>206.84352009786903</v>
      </c>
      <c r="M1022">
        <f t="shared" si="189"/>
        <v>0</v>
      </c>
      <c r="N1022">
        <f t="shared" si="191"/>
        <v>206.84352009786903</v>
      </c>
      <c r="O1022" s="5">
        <f t="shared" si="182"/>
        <v>8.0932670590658934E-7</v>
      </c>
      <c r="P1022">
        <f t="shared" si="190"/>
        <v>10000</v>
      </c>
      <c r="Q1022">
        <f t="shared" si="183"/>
        <v>8.093267059065894E-3</v>
      </c>
    </row>
    <row r="1023" spans="1:17" x14ac:dyDescent="0.15">
      <c r="A1023" s="10">
        <v>45903.427083333023</v>
      </c>
      <c r="B1023">
        <f>COUNT(A1023:$A$1158)/(48*252)</f>
        <v>1.1243386243386243E-2</v>
      </c>
      <c r="C1023">
        <v>2.371</v>
      </c>
      <c r="D1023">
        <v>0.16800000000000001</v>
      </c>
      <c r="E1023">
        <f t="shared" si="180"/>
        <v>4.1006675157976735</v>
      </c>
      <c r="F1023">
        <f t="shared" si="181"/>
        <v>-2.0598004810912229E-5</v>
      </c>
      <c r="G1023">
        <f t="shared" si="184"/>
        <v>4.0000000000000036E-3</v>
      </c>
      <c r="H1023">
        <f>IF(MOD(COUNTA($C$7:C1023)-1,$J$2),H1022,ROUND(F1023*P1023,-2))</f>
        <v>0</v>
      </c>
      <c r="I1023">
        <f t="shared" si="185"/>
        <v>0</v>
      </c>
      <c r="J1023">
        <f t="shared" si="186"/>
        <v>0</v>
      </c>
      <c r="K1023">
        <f t="shared" si="187"/>
        <v>206.84352009786903</v>
      </c>
      <c r="L1023">
        <f t="shared" si="188"/>
        <v>206.84352009786903</v>
      </c>
      <c r="M1023">
        <f t="shared" si="189"/>
        <v>0</v>
      </c>
      <c r="N1023">
        <f t="shared" si="191"/>
        <v>206.84352009786903</v>
      </c>
      <c r="O1023" s="5">
        <f t="shared" si="182"/>
        <v>6.6750572969873854E-7</v>
      </c>
      <c r="P1023">
        <f t="shared" si="190"/>
        <v>10000</v>
      </c>
      <c r="Q1023">
        <f t="shared" si="183"/>
        <v>6.6750572969873851E-3</v>
      </c>
    </row>
    <row r="1024" spans="1:17" x14ac:dyDescent="0.15">
      <c r="A1024" s="10">
        <v>45903.430555555969</v>
      </c>
      <c r="B1024">
        <f>COUNT(A1024:$A$1158)/(48*252)</f>
        <v>1.1160714285714286E-2</v>
      </c>
      <c r="C1024">
        <v>2.3740000000000001</v>
      </c>
      <c r="D1024">
        <v>0.17</v>
      </c>
      <c r="E1024">
        <f t="shared" si="180"/>
        <v>4.1363516143439405</v>
      </c>
      <c r="F1024">
        <f t="shared" si="181"/>
        <v>-1.7643567858049991E-5</v>
      </c>
      <c r="G1024">
        <f t="shared" si="184"/>
        <v>3.0000000000001137E-3</v>
      </c>
      <c r="H1024">
        <f>IF(MOD(COUNTA($C$7:C1024)-1,$J$2),H1023,ROUND(F1024*P1024,-2))</f>
        <v>0</v>
      </c>
      <c r="I1024">
        <f t="shared" si="185"/>
        <v>0</v>
      </c>
      <c r="J1024">
        <f t="shared" si="186"/>
        <v>0</v>
      </c>
      <c r="K1024">
        <f t="shared" si="187"/>
        <v>206.84352009786903</v>
      </c>
      <c r="L1024">
        <f t="shared" si="188"/>
        <v>206.84352009786903</v>
      </c>
      <c r="M1024">
        <f t="shared" si="189"/>
        <v>0</v>
      </c>
      <c r="N1024">
        <f t="shared" si="191"/>
        <v>206.84352009786903</v>
      </c>
      <c r="O1024" s="5">
        <f t="shared" si="182"/>
        <v>5.6619161212669944E-7</v>
      </c>
      <c r="P1024">
        <f t="shared" si="190"/>
        <v>10000</v>
      </c>
      <c r="Q1024">
        <f t="shared" si="183"/>
        <v>5.6619161212669942E-3</v>
      </c>
    </row>
    <row r="1025" spans="1:17" x14ac:dyDescent="0.15">
      <c r="A1025" s="10">
        <v>45903.434027777985</v>
      </c>
      <c r="B1025">
        <f>COUNT(A1025:$A$1158)/(48*252)</f>
        <v>1.1078042328042327E-2</v>
      </c>
      <c r="C1025">
        <v>2.3769999999999998</v>
      </c>
      <c r="D1025">
        <v>0.16800000000000001</v>
      </c>
      <c r="E1025">
        <f t="shared" si="180"/>
        <v>4.1723316242478123</v>
      </c>
      <c r="F1025">
        <f t="shared" si="181"/>
        <v>-1.5074919372248807E-5</v>
      </c>
      <c r="G1025">
        <f t="shared" si="184"/>
        <v>2.9999999999996696E-3</v>
      </c>
      <c r="H1025">
        <f>IF(MOD(COUNTA($C$7:C1025)-1,$J$2),H1024,ROUND(F1025*P1025,-2))</f>
        <v>0</v>
      </c>
      <c r="I1025">
        <f t="shared" si="185"/>
        <v>0</v>
      </c>
      <c r="J1025">
        <f t="shared" si="186"/>
        <v>0</v>
      </c>
      <c r="K1025">
        <f t="shared" si="187"/>
        <v>206.84352009786903</v>
      </c>
      <c r="L1025">
        <f t="shared" si="188"/>
        <v>206.84352009786903</v>
      </c>
      <c r="M1025">
        <f t="shared" si="189"/>
        <v>0</v>
      </c>
      <c r="N1025">
        <f t="shared" si="191"/>
        <v>206.84352009786903</v>
      </c>
      <c r="O1025" s="5">
        <f t="shared" si="182"/>
        <v>4.7902750689125529E-7</v>
      </c>
      <c r="P1025">
        <f t="shared" si="190"/>
        <v>10000</v>
      </c>
      <c r="Q1025">
        <f t="shared" si="183"/>
        <v>4.7902750689125528E-3</v>
      </c>
    </row>
    <row r="1026" spans="1:17" x14ac:dyDescent="0.15">
      <c r="A1026" s="10">
        <v>45903.4375</v>
      </c>
      <c r="B1026">
        <f>COUNT(A1026:$A$1158)/(48*252)</f>
        <v>1.0995370370370371E-2</v>
      </c>
      <c r="C1026">
        <v>2.3730000000000002</v>
      </c>
      <c r="D1026">
        <v>0.16800000000000001</v>
      </c>
      <c r="E1026">
        <f t="shared" si="180"/>
        <v>4.1598207529376099</v>
      </c>
      <c r="F1026">
        <f t="shared" si="181"/>
        <v>-1.592487254664654E-5</v>
      </c>
      <c r="G1026">
        <f t="shared" si="184"/>
        <v>-3.9999999999995595E-3</v>
      </c>
      <c r="H1026">
        <f>IF(MOD(COUNTA($C$7:C1026)-1,$J$2),H1025,ROUND(F1026*P1026,-2))</f>
        <v>0</v>
      </c>
      <c r="I1026">
        <f t="shared" si="185"/>
        <v>0</v>
      </c>
      <c r="J1026">
        <f t="shared" si="186"/>
        <v>0</v>
      </c>
      <c r="K1026">
        <f t="shared" si="187"/>
        <v>206.84352009786903</v>
      </c>
      <c r="L1026">
        <f t="shared" si="188"/>
        <v>206.84352009786903</v>
      </c>
      <c r="M1026">
        <f t="shared" si="189"/>
        <v>0</v>
      </c>
      <c r="N1026">
        <f t="shared" si="191"/>
        <v>206.84352009786903</v>
      </c>
      <c r="O1026" s="5">
        <f t="shared" si="182"/>
        <v>5.0455394233284097E-7</v>
      </c>
      <c r="P1026">
        <f t="shared" si="190"/>
        <v>10000</v>
      </c>
      <c r="Q1026">
        <f t="shared" si="183"/>
        <v>5.0455394233284096E-3</v>
      </c>
    </row>
    <row r="1027" spans="1:17" x14ac:dyDescent="0.15">
      <c r="A1027" s="10">
        <v>45903.440972222015</v>
      </c>
      <c r="B1027">
        <f>COUNT(A1027:$A$1158)/(48*252)</f>
        <v>1.0912698412698412E-2</v>
      </c>
      <c r="C1027">
        <v>2.3740000000000001</v>
      </c>
      <c r="D1027">
        <v>0.17</v>
      </c>
      <c r="E1027">
        <f t="shared" si="180"/>
        <v>4.1822843971621584</v>
      </c>
      <c r="F1027">
        <f t="shared" si="181"/>
        <v>-1.4429732494325442E-5</v>
      </c>
      <c r="G1027">
        <f t="shared" si="184"/>
        <v>9.9999999999988987E-4</v>
      </c>
      <c r="H1027">
        <f>IF(MOD(COUNTA($C$7:C1027)-1,$J$2),H1026,ROUND(F1027*P1027,-2))</f>
        <v>0</v>
      </c>
      <c r="I1027">
        <f t="shared" si="185"/>
        <v>0</v>
      </c>
      <c r="J1027">
        <f t="shared" si="186"/>
        <v>0</v>
      </c>
      <c r="K1027">
        <f t="shared" si="187"/>
        <v>206.84352009786903</v>
      </c>
      <c r="L1027">
        <f t="shared" si="188"/>
        <v>206.84352009786903</v>
      </c>
      <c r="M1027">
        <f t="shared" si="189"/>
        <v>0</v>
      </c>
      <c r="N1027">
        <f t="shared" si="191"/>
        <v>206.84352009786903</v>
      </c>
      <c r="O1027" s="5">
        <f t="shared" si="182"/>
        <v>4.5355582565969926E-7</v>
      </c>
      <c r="P1027">
        <f t="shared" si="190"/>
        <v>10000</v>
      </c>
      <c r="Q1027">
        <f t="shared" si="183"/>
        <v>4.5355582565969922E-3</v>
      </c>
    </row>
    <row r="1028" spans="1:17" x14ac:dyDescent="0.15">
      <c r="A1028" s="10">
        <v>45903.444444444962</v>
      </c>
      <c r="B1028">
        <f>COUNT(A1028:$A$1158)/(48*252)</f>
        <v>1.0830026455026455E-2</v>
      </c>
      <c r="C1028">
        <v>2.3740000000000001</v>
      </c>
      <c r="D1028">
        <v>0.16900000000000001</v>
      </c>
      <c r="E1028">
        <f t="shared" si="180"/>
        <v>4.1979468962161288</v>
      </c>
      <c r="F1028">
        <f t="shared" si="181"/>
        <v>-1.3467288432433833E-5</v>
      </c>
      <c r="G1028">
        <f t="shared" si="184"/>
        <v>0</v>
      </c>
      <c r="H1028">
        <f>IF(MOD(COUNTA($C$7:C1028)-1,$J$2),H1027,ROUND(F1028*P1028,-2))</f>
        <v>0</v>
      </c>
      <c r="I1028">
        <f t="shared" si="185"/>
        <v>0</v>
      </c>
      <c r="J1028">
        <f t="shared" si="186"/>
        <v>0</v>
      </c>
      <c r="K1028">
        <f t="shared" si="187"/>
        <v>206.84352009786903</v>
      </c>
      <c r="L1028">
        <f t="shared" si="188"/>
        <v>206.84352009786903</v>
      </c>
      <c r="M1028">
        <f t="shared" si="189"/>
        <v>0</v>
      </c>
      <c r="N1028">
        <f t="shared" si="191"/>
        <v>206.84352009786903</v>
      </c>
      <c r="O1028" s="5">
        <f t="shared" si="182"/>
        <v>4.2034205642770347E-7</v>
      </c>
      <c r="P1028">
        <f t="shared" si="190"/>
        <v>10000</v>
      </c>
      <c r="Q1028">
        <f t="shared" si="183"/>
        <v>4.2034205642770351E-3</v>
      </c>
    </row>
    <row r="1029" spans="1:17" x14ac:dyDescent="0.15">
      <c r="A1029" s="10">
        <v>45903.447916666977</v>
      </c>
      <c r="B1029">
        <f>COUNT(A1029:$A$1158)/(48*252)</f>
        <v>1.0747354497354497E-2</v>
      </c>
      <c r="C1029">
        <v>2.3740000000000001</v>
      </c>
      <c r="D1029">
        <v>0.16700000000000001</v>
      </c>
      <c r="E1029">
        <f t="shared" si="180"/>
        <v>4.2137908073914625</v>
      </c>
      <c r="F1029">
        <f t="shared" si="181"/>
        <v>-1.2555994535978776E-5</v>
      </c>
      <c r="G1029">
        <f t="shared" si="184"/>
        <v>0</v>
      </c>
      <c r="H1029">
        <f>IF(MOD(COUNTA($C$7:C1029)-1,$J$2),H1028,ROUND(F1029*P1029,-2))</f>
        <v>0</v>
      </c>
      <c r="I1029">
        <f t="shared" si="185"/>
        <v>0</v>
      </c>
      <c r="J1029">
        <f t="shared" si="186"/>
        <v>0</v>
      </c>
      <c r="K1029">
        <f t="shared" si="187"/>
        <v>206.84352009786903</v>
      </c>
      <c r="L1029">
        <f t="shared" si="188"/>
        <v>206.84352009786903</v>
      </c>
      <c r="M1029">
        <f t="shared" si="189"/>
        <v>0</v>
      </c>
      <c r="N1029">
        <f t="shared" si="191"/>
        <v>206.84352009786903</v>
      </c>
      <c r="O1029" s="5">
        <f t="shared" si="182"/>
        <v>3.8913406814343373E-7</v>
      </c>
      <c r="P1029">
        <f t="shared" si="190"/>
        <v>10000</v>
      </c>
      <c r="Q1029">
        <f t="shared" si="183"/>
        <v>3.8913406814343374E-3</v>
      </c>
    </row>
    <row r="1030" spans="1:17" x14ac:dyDescent="0.15">
      <c r="A1030" s="10">
        <v>45903.451388888992</v>
      </c>
      <c r="B1030">
        <f>COUNT(A1030:$A$1158)/(48*252)</f>
        <v>1.066468253968254E-2</v>
      </c>
      <c r="C1030">
        <v>2.3740000000000001</v>
      </c>
      <c r="D1030">
        <v>0.16600000000000001</v>
      </c>
      <c r="E1030">
        <f t="shared" si="180"/>
        <v>4.2298196436677511</v>
      </c>
      <c r="F1030">
        <f t="shared" si="181"/>
        <v>-1.1693937184364955E-5</v>
      </c>
      <c r="G1030">
        <f t="shared" si="184"/>
        <v>0</v>
      </c>
      <c r="H1030">
        <f>IF(MOD(COUNTA($C$7:C1030)-1,$J$2),H1029,ROUND(F1030*P1030,-2))</f>
        <v>0</v>
      </c>
      <c r="I1030">
        <f t="shared" si="185"/>
        <v>0</v>
      </c>
      <c r="J1030">
        <f t="shared" si="186"/>
        <v>0</v>
      </c>
      <c r="K1030">
        <f t="shared" si="187"/>
        <v>206.84352009786903</v>
      </c>
      <c r="L1030">
        <f t="shared" si="188"/>
        <v>206.84352009786903</v>
      </c>
      <c r="M1030">
        <f t="shared" si="189"/>
        <v>0</v>
      </c>
      <c r="N1030">
        <f t="shared" si="191"/>
        <v>206.84352009786903</v>
      </c>
      <c r="O1030" s="5">
        <f t="shared" si="182"/>
        <v>3.5983980118346669E-7</v>
      </c>
      <c r="P1030">
        <f t="shared" si="190"/>
        <v>10000</v>
      </c>
      <c r="Q1030">
        <f t="shared" si="183"/>
        <v>3.598398011834667E-3</v>
      </c>
    </row>
    <row r="1031" spans="1:17" x14ac:dyDescent="0.15">
      <c r="A1031" s="10">
        <v>45903.454861111008</v>
      </c>
      <c r="B1031">
        <f>COUNT(A1031:$A$1158)/(48*252)</f>
        <v>1.0582010582010581E-2</v>
      </c>
      <c r="C1031">
        <v>2.3740000000000001</v>
      </c>
      <c r="D1031">
        <v>0.16600000000000001</v>
      </c>
      <c r="E1031">
        <f t="shared" si="180"/>
        <v>4.2460370139433641</v>
      </c>
      <c r="F1031">
        <f t="shared" si="181"/>
        <v>-1.0879235089800154E-5</v>
      </c>
      <c r="G1031">
        <f t="shared" si="184"/>
        <v>0</v>
      </c>
      <c r="H1031">
        <f>IF(MOD(COUNTA($C$7:C1031)-1,$J$2),H1030,ROUND(F1031*P1031,-2))</f>
        <v>0</v>
      </c>
      <c r="I1031">
        <f t="shared" si="185"/>
        <v>0</v>
      </c>
      <c r="J1031">
        <f t="shared" si="186"/>
        <v>0</v>
      </c>
      <c r="K1031">
        <f t="shared" si="187"/>
        <v>206.84352009786903</v>
      </c>
      <c r="L1031">
        <f t="shared" si="188"/>
        <v>206.84352009786903</v>
      </c>
      <c r="M1031">
        <f t="shared" si="189"/>
        <v>0</v>
      </c>
      <c r="N1031">
        <f t="shared" si="191"/>
        <v>206.84352009786903</v>
      </c>
      <c r="O1031" s="5">
        <f t="shared" si="182"/>
        <v>3.323698054804439E-7</v>
      </c>
      <c r="P1031">
        <f t="shared" si="190"/>
        <v>10000</v>
      </c>
      <c r="Q1031">
        <f t="shared" si="183"/>
        <v>3.3236980548044391E-3</v>
      </c>
    </row>
    <row r="1032" spans="1:17" x14ac:dyDescent="0.15">
      <c r="A1032" s="10">
        <v>45903.458333333023</v>
      </c>
      <c r="B1032">
        <f>COUNT(A1032:$A$1158)/(48*252)</f>
        <v>1.0499338624338625E-2</v>
      </c>
      <c r="C1032">
        <v>2.3740000000000001</v>
      </c>
      <c r="D1032">
        <v>0.16800000000000001</v>
      </c>
      <c r="E1032">
        <f t="shared" ref="E1032:E1095" si="192">(LN(C1032/$B$2)+($B$1+0.5*$D$1*$D$1)*B1032)/($D$1*SQRT(B1032))</f>
        <v>4.2624466264284377</v>
      </c>
      <c r="F1032">
        <f t="shared" ref="F1032:F1095" si="193">NORMSDIST(E1032)-1</f>
        <v>-1.011004016526762E-5</v>
      </c>
      <c r="G1032">
        <f t="shared" si="184"/>
        <v>0</v>
      </c>
      <c r="H1032">
        <f>IF(MOD(COUNTA($C$7:C1032)-1,$J$2),H1031,ROUND(F1032*P1032,-2))</f>
        <v>0</v>
      </c>
      <c r="I1032">
        <f t="shared" si="185"/>
        <v>0</v>
      </c>
      <c r="J1032">
        <f t="shared" si="186"/>
        <v>0</v>
      </c>
      <c r="K1032">
        <f t="shared" si="187"/>
        <v>206.84352009786903</v>
      </c>
      <c r="L1032">
        <f t="shared" si="188"/>
        <v>206.84352009786903</v>
      </c>
      <c r="M1032">
        <f t="shared" si="189"/>
        <v>0</v>
      </c>
      <c r="N1032">
        <f t="shared" si="191"/>
        <v>206.84352009786903</v>
      </c>
      <c r="O1032" s="5">
        <f t="shared" ref="O1032:O1095" si="194">put_bs($B$1,$J$1,C1032,$B$2,B1032)</f>
        <v>3.0663723510701777E-7</v>
      </c>
      <c r="P1032">
        <f t="shared" si="190"/>
        <v>10000</v>
      </c>
      <c r="Q1032">
        <f t="shared" ref="Q1032:Q1095" si="195">P1032*O1032</f>
        <v>3.0663723510701776E-3</v>
      </c>
    </row>
    <row r="1033" spans="1:17" x14ac:dyDescent="0.15">
      <c r="A1033" s="10">
        <v>45903.461805555969</v>
      </c>
      <c r="B1033">
        <f>COUNT(A1033:$A$1158)/(48*252)</f>
        <v>1.0416666666666666E-2</v>
      </c>
      <c r="C1033">
        <v>2.3740000000000001</v>
      </c>
      <c r="D1033">
        <v>0.16600000000000001</v>
      </c>
      <c r="E1033">
        <f t="shared" si="192"/>
        <v>4.2790522921857033</v>
      </c>
      <c r="F1033">
        <f t="shared" si="193"/>
        <v>-9.3845383597468413E-6</v>
      </c>
      <c r="G1033">
        <f t="shared" ref="G1033:G1096" si="196">C1033-C1032</f>
        <v>0</v>
      </c>
      <c r="H1033">
        <f>IF(MOD(COUNTA($C$7:C1033)-1,$J$2),H1032,ROUND(F1033*P1033,-2))</f>
        <v>0</v>
      </c>
      <c r="I1033">
        <f t="shared" ref="I1033:I1096" si="197">H1033-H1032</f>
        <v>0</v>
      </c>
      <c r="J1033">
        <f t="shared" ref="J1033:J1096" si="198">J1032</f>
        <v>0</v>
      </c>
      <c r="K1033">
        <f t="shared" ref="K1033:K1096" si="199">K1032-I1033*C1033-ABS(I1033*C1033*$F$2)</f>
        <v>206.84352009786903</v>
      </c>
      <c r="L1033">
        <f t="shared" ref="L1033:L1096" si="200">K1033+H1033*C1033</f>
        <v>206.84352009786903</v>
      </c>
      <c r="M1033">
        <f t="shared" ref="M1033:M1096" si="201">L1033-L1032</f>
        <v>0</v>
      </c>
      <c r="N1033">
        <f t="shared" si="191"/>
        <v>206.84352009786903</v>
      </c>
      <c r="O1033" s="5">
        <f t="shared" si="194"/>
        <v>2.8255784067817948E-7</v>
      </c>
      <c r="P1033">
        <f t="shared" ref="P1033:P1096" si="202">P1032</f>
        <v>10000</v>
      </c>
      <c r="Q1033">
        <f t="shared" si="195"/>
        <v>2.8255784067817949E-3</v>
      </c>
    </row>
    <row r="1034" spans="1:17" x14ac:dyDescent="0.15">
      <c r="A1034" s="10">
        <v>45903.465277777985</v>
      </c>
      <c r="B1034">
        <f>COUNT(A1034:$A$1158)/(48*252)</f>
        <v>1.0333994708994709E-2</v>
      </c>
      <c r="C1034">
        <v>2.3679999999999999</v>
      </c>
      <c r="D1034">
        <v>0.16400000000000001</v>
      </c>
      <c r="E1034">
        <f t="shared" si="192"/>
        <v>4.2526183262084842</v>
      </c>
      <c r="F1034">
        <f t="shared" si="193"/>
        <v>-1.056427556389572E-5</v>
      </c>
      <c r="G1034">
        <f t="shared" si="196"/>
        <v>-6.0000000000002274E-3</v>
      </c>
      <c r="H1034">
        <f>IF(MOD(COUNTA($C$7:C1034)-1,$J$2),H1033,ROUND(F1034*P1034,-2))</f>
        <v>0</v>
      </c>
      <c r="I1034">
        <f t="shared" si="197"/>
        <v>0</v>
      </c>
      <c r="J1034">
        <f t="shared" si="198"/>
        <v>0</v>
      </c>
      <c r="K1034">
        <f t="shared" si="199"/>
        <v>206.84352009786903</v>
      </c>
      <c r="L1034">
        <f t="shared" si="200"/>
        <v>206.84352009786903</v>
      </c>
      <c r="M1034">
        <f t="shared" si="201"/>
        <v>0</v>
      </c>
      <c r="N1034">
        <f t="shared" ref="N1034:N1097" si="203">L1034-$F$1</f>
        <v>206.84352009786903</v>
      </c>
      <c r="O1034" s="5">
        <f t="shared" si="194"/>
        <v>3.1767120345078096E-7</v>
      </c>
      <c r="P1034">
        <f t="shared" si="202"/>
        <v>10000</v>
      </c>
      <c r="Q1034">
        <f t="shared" si="195"/>
        <v>3.1767120345078097E-3</v>
      </c>
    </row>
    <row r="1035" spans="1:17" x14ac:dyDescent="0.15">
      <c r="A1035" s="10">
        <v>45903.46875</v>
      </c>
      <c r="B1035">
        <f>COUNT(A1035:$A$1158)/(48*252)</f>
        <v>1.0251322751322751E-2</v>
      </c>
      <c r="C1035">
        <v>2.367</v>
      </c>
      <c r="D1035">
        <v>0.16500000000000001</v>
      </c>
      <c r="E1035">
        <f t="shared" si="192"/>
        <v>4.2622076646574127</v>
      </c>
      <c r="F1035">
        <f t="shared" si="193"/>
        <v>-1.012086024909653E-5</v>
      </c>
      <c r="G1035">
        <f t="shared" si="196"/>
        <v>-9.9999999999988987E-4</v>
      </c>
      <c r="H1035">
        <f>IF(MOD(COUNTA($C$7:C1035)-1,$J$2),H1034,ROUND(F1035*P1035,-2))</f>
        <v>0</v>
      </c>
      <c r="I1035">
        <f t="shared" si="197"/>
        <v>0</v>
      </c>
      <c r="J1035">
        <f t="shared" si="198"/>
        <v>0</v>
      </c>
      <c r="K1035">
        <f t="shared" si="199"/>
        <v>206.84352009786903</v>
      </c>
      <c r="L1035">
        <f t="shared" si="200"/>
        <v>206.84352009786903</v>
      </c>
      <c r="M1035">
        <f t="shared" si="201"/>
        <v>0</v>
      </c>
      <c r="N1035">
        <f t="shared" si="203"/>
        <v>206.84352009786903</v>
      </c>
      <c r="O1035" s="5">
        <f t="shared" si="194"/>
        <v>3.0239412478361572E-7</v>
      </c>
      <c r="P1035">
        <f t="shared" si="202"/>
        <v>10000</v>
      </c>
      <c r="Q1035">
        <f t="shared" si="195"/>
        <v>3.0239412478361575E-3</v>
      </c>
    </row>
    <row r="1036" spans="1:17" x14ac:dyDescent="0.15">
      <c r="A1036" s="10">
        <v>45903.472222222015</v>
      </c>
      <c r="B1036">
        <f>COUNT(A1036:$A$1158)/(48*252)</f>
        <v>1.0168650793650794E-2</v>
      </c>
      <c r="C1036">
        <v>2.3620000000000001</v>
      </c>
      <c r="D1036">
        <v>0.16300000000000001</v>
      </c>
      <c r="E1036">
        <f t="shared" si="192"/>
        <v>4.242795300973663</v>
      </c>
      <c r="F1036">
        <f t="shared" si="193"/>
        <v>-1.1037638831479235E-5</v>
      </c>
      <c r="G1036">
        <f t="shared" si="196"/>
        <v>-4.9999999999998934E-3</v>
      </c>
      <c r="H1036">
        <f>IF(MOD(COUNTA($C$7:C1036)-1,$J$2),H1035,ROUND(F1036*P1036,-2))</f>
        <v>0</v>
      </c>
      <c r="I1036">
        <f t="shared" si="197"/>
        <v>0</v>
      </c>
      <c r="J1036">
        <f t="shared" si="198"/>
        <v>0</v>
      </c>
      <c r="K1036">
        <f t="shared" si="199"/>
        <v>206.84352009786903</v>
      </c>
      <c r="L1036">
        <f t="shared" si="200"/>
        <v>206.84352009786903</v>
      </c>
      <c r="M1036">
        <f t="shared" si="201"/>
        <v>0</v>
      </c>
      <c r="N1036">
        <f t="shared" si="203"/>
        <v>206.84352009786903</v>
      </c>
      <c r="O1036" s="5">
        <f t="shared" si="194"/>
        <v>3.2902018078726427E-7</v>
      </c>
      <c r="P1036">
        <f t="shared" si="202"/>
        <v>10000</v>
      </c>
      <c r="Q1036">
        <f t="shared" si="195"/>
        <v>3.2902018078726429E-3</v>
      </c>
    </row>
    <row r="1037" spans="1:17" x14ac:dyDescent="0.15">
      <c r="A1037" s="10">
        <v>45903.475694444962</v>
      </c>
      <c r="B1037">
        <f>COUNT(A1037:$A$1158)/(48*252)</f>
        <v>1.0085978835978835E-2</v>
      </c>
      <c r="C1037">
        <v>2.3610000000000002</v>
      </c>
      <c r="D1037">
        <v>0.16300000000000001</v>
      </c>
      <c r="E1037">
        <f t="shared" si="192"/>
        <v>4.2525444546516553</v>
      </c>
      <c r="F1037">
        <f t="shared" si="193"/>
        <v>-1.0567762140589743E-5</v>
      </c>
      <c r="G1037">
        <f t="shared" si="196"/>
        <v>-9.9999999999988987E-4</v>
      </c>
      <c r="H1037">
        <f>IF(MOD(COUNTA($C$7:C1037)-1,$J$2),H1036,ROUND(F1037*P1037,-2))</f>
        <v>0</v>
      </c>
      <c r="I1037">
        <f t="shared" si="197"/>
        <v>0</v>
      </c>
      <c r="J1037">
        <f t="shared" si="198"/>
        <v>0</v>
      </c>
      <c r="K1037">
        <f t="shared" si="199"/>
        <v>206.84352009786903</v>
      </c>
      <c r="L1037">
        <f t="shared" si="200"/>
        <v>206.84352009786903</v>
      </c>
      <c r="M1037">
        <f t="shared" si="201"/>
        <v>0</v>
      </c>
      <c r="N1037">
        <f t="shared" si="203"/>
        <v>206.84352009786903</v>
      </c>
      <c r="O1037" s="5">
        <f t="shared" si="194"/>
        <v>3.1297006039184298E-7</v>
      </c>
      <c r="P1037">
        <f t="shared" si="202"/>
        <v>10000</v>
      </c>
      <c r="Q1037">
        <f t="shared" si="195"/>
        <v>3.12970060391843E-3</v>
      </c>
    </row>
    <row r="1038" spans="1:17" x14ac:dyDescent="0.15">
      <c r="A1038" s="10">
        <v>45903.479166666977</v>
      </c>
      <c r="B1038">
        <f>COUNT(A1038:$A$1158)/(48*252)</f>
        <v>1.0003306878306879E-2</v>
      </c>
      <c r="C1038">
        <v>2.363</v>
      </c>
      <c r="D1038">
        <v>0.16400000000000001</v>
      </c>
      <c r="E1038">
        <f t="shared" si="192"/>
        <v>4.2845050968434535</v>
      </c>
      <c r="F1038">
        <f t="shared" si="193"/>
        <v>-9.1573205216466391E-6</v>
      </c>
      <c r="G1038">
        <f t="shared" si="196"/>
        <v>1.9999999999997797E-3</v>
      </c>
      <c r="H1038">
        <f>IF(MOD(COUNTA($C$7:C1038)-1,$J$2),H1037,ROUND(F1038*P1038,-2))</f>
        <v>0</v>
      </c>
      <c r="I1038">
        <f t="shared" si="197"/>
        <v>0</v>
      </c>
      <c r="J1038">
        <f t="shared" si="198"/>
        <v>0</v>
      </c>
      <c r="K1038">
        <f t="shared" si="199"/>
        <v>206.84352009786903</v>
      </c>
      <c r="L1038">
        <f t="shared" si="200"/>
        <v>206.84352009786903</v>
      </c>
      <c r="M1038">
        <f t="shared" si="201"/>
        <v>0</v>
      </c>
      <c r="N1038">
        <f t="shared" si="203"/>
        <v>206.84352009786903</v>
      </c>
      <c r="O1038" s="5">
        <f t="shared" si="194"/>
        <v>2.6858102906993778E-7</v>
      </c>
      <c r="P1038">
        <f t="shared" si="202"/>
        <v>10000</v>
      </c>
      <c r="Q1038">
        <f t="shared" si="195"/>
        <v>2.6858102906993776E-3</v>
      </c>
    </row>
    <row r="1039" spans="1:17" x14ac:dyDescent="0.15">
      <c r="A1039" s="10">
        <v>45903.545138888992</v>
      </c>
      <c r="B1039">
        <f>COUNT(A1039:$A$1158)/(48*252)</f>
        <v>9.9206349206349201E-3</v>
      </c>
      <c r="C1039">
        <v>2.36</v>
      </c>
      <c r="D1039">
        <v>0.161</v>
      </c>
      <c r="E1039">
        <f t="shared" si="192"/>
        <v>4.2798836106833216</v>
      </c>
      <c r="F1039">
        <f t="shared" si="193"/>
        <v>-9.3495537843990562E-6</v>
      </c>
      <c r="G1039">
        <f t="shared" si="196"/>
        <v>-3.0000000000001137E-3</v>
      </c>
      <c r="H1039">
        <f>IF(MOD(COUNTA($C$7:C1039)-1,$J$2),H1038,ROUND(F1039*P1039,-2))</f>
        <v>0</v>
      </c>
      <c r="I1039">
        <f t="shared" si="197"/>
        <v>0</v>
      </c>
      <c r="J1039">
        <f t="shared" si="198"/>
        <v>0</v>
      </c>
      <c r="K1039">
        <f t="shared" si="199"/>
        <v>206.84352009786903</v>
      </c>
      <c r="L1039">
        <f t="shared" si="200"/>
        <v>206.84352009786903</v>
      </c>
      <c r="M1039">
        <f t="shared" si="201"/>
        <v>0</v>
      </c>
      <c r="N1039">
        <f t="shared" si="203"/>
        <v>206.84352009786903</v>
      </c>
      <c r="O1039" s="5">
        <f t="shared" si="194"/>
        <v>2.7297470672338743E-7</v>
      </c>
      <c r="P1039">
        <f t="shared" si="202"/>
        <v>10000</v>
      </c>
      <c r="Q1039">
        <f t="shared" si="195"/>
        <v>2.7297470672338741E-3</v>
      </c>
    </row>
    <row r="1040" spans="1:17" x14ac:dyDescent="0.15">
      <c r="A1040" s="10">
        <v>45903.548611111008</v>
      </c>
      <c r="B1040">
        <f>COUNT(A1040:$A$1158)/(48*252)</f>
        <v>9.8379629629629633E-3</v>
      </c>
      <c r="C1040">
        <v>2.3610000000000002</v>
      </c>
      <c r="D1040">
        <v>0.16200000000000001</v>
      </c>
      <c r="E1040">
        <f t="shared" si="192"/>
        <v>4.304964229580813</v>
      </c>
      <c r="F1040">
        <f t="shared" si="193"/>
        <v>-8.3506359669360819E-6</v>
      </c>
      <c r="G1040">
        <f t="shared" si="196"/>
        <v>1.000000000000334E-3</v>
      </c>
      <c r="H1040">
        <f>IF(MOD(COUNTA($C$7:C1040)-1,$J$2),H1039,ROUND(F1040*P1040,-2))</f>
        <v>0</v>
      </c>
      <c r="I1040">
        <f t="shared" si="197"/>
        <v>0</v>
      </c>
      <c r="J1040">
        <f t="shared" si="198"/>
        <v>0</v>
      </c>
      <c r="K1040">
        <f t="shared" si="199"/>
        <v>206.84352009786903</v>
      </c>
      <c r="L1040">
        <f t="shared" si="200"/>
        <v>206.84352009786903</v>
      </c>
      <c r="M1040">
        <f t="shared" si="201"/>
        <v>0</v>
      </c>
      <c r="N1040">
        <f t="shared" si="203"/>
        <v>206.84352009786903</v>
      </c>
      <c r="O1040" s="5">
        <f t="shared" si="194"/>
        <v>2.4167420170555183E-7</v>
      </c>
      <c r="P1040">
        <f t="shared" si="202"/>
        <v>10000</v>
      </c>
      <c r="Q1040">
        <f t="shared" si="195"/>
        <v>2.4167420170555184E-3</v>
      </c>
    </row>
    <row r="1041" spans="1:17" x14ac:dyDescent="0.15">
      <c r="A1041" s="10">
        <v>45903.552083333023</v>
      </c>
      <c r="B1041">
        <f>COUNT(A1041:$A$1158)/(48*252)</f>
        <v>9.7552910052910047E-3</v>
      </c>
      <c r="C1041">
        <v>2.3679999999999999</v>
      </c>
      <c r="D1041">
        <v>0.16400000000000001</v>
      </c>
      <c r="E1041">
        <f t="shared" si="192"/>
        <v>4.3749462340451855</v>
      </c>
      <c r="F1041">
        <f t="shared" si="193"/>
        <v>-6.0731206107389468E-6</v>
      </c>
      <c r="G1041">
        <f t="shared" si="196"/>
        <v>6.9999999999996732E-3</v>
      </c>
      <c r="H1041">
        <f>IF(MOD(COUNTA($C$7:C1041)-1,$J$2),H1040,ROUND(F1041*P1041,-2))</f>
        <v>0</v>
      </c>
      <c r="I1041">
        <f t="shared" si="197"/>
        <v>0</v>
      </c>
      <c r="J1041">
        <f t="shared" si="198"/>
        <v>0</v>
      </c>
      <c r="K1041">
        <f t="shared" si="199"/>
        <v>206.84352009786903</v>
      </c>
      <c r="L1041">
        <f t="shared" si="200"/>
        <v>206.84352009786903</v>
      </c>
      <c r="M1041">
        <f t="shared" si="201"/>
        <v>0</v>
      </c>
      <c r="N1041">
        <f t="shared" si="203"/>
        <v>206.84352009786903</v>
      </c>
      <c r="O1041" s="5">
        <f t="shared" si="194"/>
        <v>1.7312490504773042E-7</v>
      </c>
      <c r="P1041">
        <f t="shared" si="202"/>
        <v>10000</v>
      </c>
      <c r="Q1041">
        <f t="shared" si="195"/>
        <v>1.7312490504773042E-3</v>
      </c>
    </row>
    <row r="1042" spans="1:17" x14ac:dyDescent="0.15">
      <c r="A1042" s="10">
        <v>45903.555555555969</v>
      </c>
      <c r="B1042">
        <f>COUNT(A1042:$A$1158)/(48*252)</f>
        <v>9.6726190476190479E-3</v>
      </c>
      <c r="C1042">
        <v>2.3650000000000002</v>
      </c>
      <c r="D1042">
        <v>0.16400000000000001</v>
      </c>
      <c r="E1042">
        <f t="shared" si="192"/>
        <v>4.3709278299631658</v>
      </c>
      <c r="F1042">
        <f t="shared" si="193"/>
        <v>-6.185984198880945E-6</v>
      </c>
      <c r="G1042">
        <f t="shared" si="196"/>
        <v>-2.9999999999996696E-3</v>
      </c>
      <c r="H1042">
        <f>IF(MOD(COUNTA($C$7:C1042)-1,$J$2),H1041,ROUND(F1042*P1042,-2))</f>
        <v>0</v>
      </c>
      <c r="I1042">
        <f t="shared" si="197"/>
        <v>0</v>
      </c>
      <c r="J1042">
        <f t="shared" si="198"/>
        <v>0</v>
      </c>
      <c r="K1042">
        <f t="shared" si="199"/>
        <v>206.84352009786903</v>
      </c>
      <c r="L1042">
        <f t="shared" si="200"/>
        <v>206.84352009786903</v>
      </c>
      <c r="M1042">
        <f t="shared" si="201"/>
        <v>0</v>
      </c>
      <c r="N1042">
        <f t="shared" si="203"/>
        <v>206.84352009786903</v>
      </c>
      <c r="O1042" s="5">
        <f t="shared" si="194"/>
        <v>1.755006501739203E-7</v>
      </c>
      <c r="P1042">
        <f t="shared" si="202"/>
        <v>10000</v>
      </c>
      <c r="Q1042">
        <f t="shared" si="195"/>
        <v>1.7550065017392031E-3</v>
      </c>
    </row>
    <row r="1043" spans="1:17" x14ac:dyDescent="0.15">
      <c r="A1043" s="10">
        <v>45903.559027777985</v>
      </c>
      <c r="B1043">
        <f>COUNT(A1043:$A$1158)/(48*252)</f>
        <v>9.5899470899470894E-3</v>
      </c>
      <c r="C1043">
        <v>2.371</v>
      </c>
      <c r="D1043">
        <v>0.16800000000000001</v>
      </c>
      <c r="E1043">
        <f t="shared" si="192"/>
        <v>4.434383139618757</v>
      </c>
      <c r="F1043">
        <f t="shared" si="193"/>
        <v>-4.6168144206548689E-6</v>
      </c>
      <c r="G1043">
        <f t="shared" si="196"/>
        <v>5.9999999999997833E-3</v>
      </c>
      <c r="H1043">
        <f>IF(MOD(COUNTA($C$7:C1043)-1,$J$2),H1042,ROUND(F1043*P1043,-2))</f>
        <v>0</v>
      </c>
      <c r="I1043">
        <f t="shared" si="197"/>
        <v>0</v>
      </c>
      <c r="J1043">
        <f t="shared" si="198"/>
        <v>0</v>
      </c>
      <c r="K1043">
        <f t="shared" si="199"/>
        <v>206.84352009786903</v>
      </c>
      <c r="L1043">
        <f t="shared" si="200"/>
        <v>206.84352009786903</v>
      </c>
      <c r="M1043">
        <f t="shared" si="201"/>
        <v>0</v>
      </c>
      <c r="N1043">
        <f t="shared" si="203"/>
        <v>206.84352009786903</v>
      </c>
      <c r="O1043" s="5">
        <f t="shared" si="194"/>
        <v>1.2913670880924757E-7</v>
      </c>
      <c r="P1043">
        <f t="shared" si="202"/>
        <v>10000</v>
      </c>
      <c r="Q1043">
        <f t="shared" si="195"/>
        <v>1.2913670880924757E-3</v>
      </c>
    </row>
    <row r="1044" spans="1:17" x14ac:dyDescent="0.15">
      <c r="A1044" s="10">
        <v>45903.5625</v>
      </c>
      <c r="B1044">
        <f>COUNT(A1044:$A$1158)/(48*252)</f>
        <v>9.5072751322751326E-3</v>
      </c>
      <c r="C1044">
        <v>2.37</v>
      </c>
      <c r="D1044">
        <v>0.16700000000000001</v>
      </c>
      <c r="E1044">
        <f t="shared" si="192"/>
        <v>4.4458181069361515</v>
      </c>
      <c r="F1044">
        <f t="shared" si="193"/>
        <v>-4.3779005338695498E-6</v>
      </c>
      <c r="G1044">
        <f t="shared" si="196"/>
        <v>-9.9999999999988987E-4</v>
      </c>
      <c r="H1044">
        <f>IF(MOD(COUNTA($C$7:C1044)-1,$J$2),H1043,ROUND(F1044*P1044,-2))</f>
        <v>0</v>
      </c>
      <c r="I1044">
        <f t="shared" si="197"/>
        <v>0</v>
      </c>
      <c r="J1044">
        <f t="shared" si="198"/>
        <v>0</v>
      </c>
      <c r="K1044">
        <f t="shared" si="199"/>
        <v>206.84352009786903</v>
      </c>
      <c r="L1044">
        <f t="shared" si="200"/>
        <v>206.84352009786903</v>
      </c>
      <c r="M1044">
        <f t="shared" si="201"/>
        <v>0</v>
      </c>
      <c r="N1044">
        <f t="shared" si="203"/>
        <v>206.84352009786903</v>
      </c>
      <c r="O1044" s="5">
        <f t="shared" si="194"/>
        <v>1.2159778489188359E-7</v>
      </c>
      <c r="P1044">
        <f t="shared" si="202"/>
        <v>10000</v>
      </c>
      <c r="Q1044">
        <f t="shared" si="195"/>
        <v>1.2159778489188359E-3</v>
      </c>
    </row>
    <row r="1045" spans="1:17" x14ac:dyDescent="0.15">
      <c r="A1045" s="10">
        <v>45903.565972222015</v>
      </c>
      <c r="B1045">
        <f>COUNT(A1045:$A$1158)/(48*252)</f>
        <v>9.4246031746031741E-3</v>
      </c>
      <c r="C1045">
        <v>2.37</v>
      </c>
      <c r="D1045">
        <v>0.16600000000000001</v>
      </c>
      <c r="E1045">
        <f t="shared" si="192"/>
        <v>4.4649852262713825</v>
      </c>
      <c r="F1045">
        <f t="shared" si="193"/>
        <v>-4.0037138497872604E-6</v>
      </c>
      <c r="G1045">
        <f t="shared" si="196"/>
        <v>0</v>
      </c>
      <c r="H1045">
        <f>IF(MOD(COUNTA($C$7:C1045)-1,$J$2),H1044,ROUND(F1045*P1045,-2))</f>
        <v>0</v>
      </c>
      <c r="I1045">
        <f t="shared" si="197"/>
        <v>0</v>
      </c>
      <c r="J1045">
        <f t="shared" si="198"/>
        <v>0</v>
      </c>
      <c r="K1045">
        <f t="shared" si="199"/>
        <v>206.84352009786903</v>
      </c>
      <c r="L1045">
        <f t="shared" si="200"/>
        <v>206.84352009786903</v>
      </c>
      <c r="M1045">
        <f t="shared" si="201"/>
        <v>0</v>
      </c>
      <c r="N1045">
        <f t="shared" si="203"/>
        <v>206.84352009786903</v>
      </c>
      <c r="O1045" s="5">
        <f t="shared" si="194"/>
        <v>1.1030498298079056E-7</v>
      </c>
      <c r="P1045">
        <f t="shared" si="202"/>
        <v>10000</v>
      </c>
      <c r="Q1045">
        <f t="shared" si="195"/>
        <v>1.1030498298079056E-3</v>
      </c>
    </row>
    <row r="1046" spans="1:17" x14ac:dyDescent="0.15">
      <c r="A1046" s="10">
        <v>45903.569444444962</v>
      </c>
      <c r="B1046">
        <f>COUNT(A1046:$A$1158)/(48*252)</f>
        <v>9.3419312169312173E-3</v>
      </c>
      <c r="C1046">
        <v>2.3650000000000002</v>
      </c>
      <c r="D1046">
        <v>0.16500000000000001</v>
      </c>
      <c r="E1046">
        <f t="shared" si="192"/>
        <v>4.446453479651427</v>
      </c>
      <c r="F1046">
        <f t="shared" si="193"/>
        <v>-4.3649780711030317E-6</v>
      </c>
      <c r="G1046">
        <f t="shared" si="196"/>
        <v>-4.9999999999998934E-3</v>
      </c>
      <c r="H1046">
        <f>IF(MOD(COUNTA($C$7:C1046)-1,$J$2),H1045,ROUND(F1046*P1046,-2))</f>
        <v>0</v>
      </c>
      <c r="I1046">
        <f t="shared" si="197"/>
        <v>0</v>
      </c>
      <c r="J1046">
        <f t="shared" si="198"/>
        <v>0</v>
      </c>
      <c r="K1046">
        <f t="shared" si="199"/>
        <v>206.84352009786903</v>
      </c>
      <c r="L1046">
        <f t="shared" si="200"/>
        <v>206.84352009786903</v>
      </c>
      <c r="M1046">
        <f t="shared" si="201"/>
        <v>0</v>
      </c>
      <c r="N1046">
        <f t="shared" si="203"/>
        <v>206.84352009786903</v>
      </c>
      <c r="O1046" s="5">
        <f t="shared" si="194"/>
        <v>1.1989985721607654E-7</v>
      </c>
      <c r="P1046">
        <f t="shared" si="202"/>
        <v>10000</v>
      </c>
      <c r="Q1046">
        <f t="shared" si="195"/>
        <v>1.1989985721607653E-3</v>
      </c>
    </row>
    <row r="1047" spans="1:17" x14ac:dyDescent="0.15">
      <c r="A1047" s="10">
        <v>45903.572916666977</v>
      </c>
      <c r="B1047">
        <f>COUNT(A1047:$A$1158)/(48*252)</f>
        <v>9.2592592592592587E-3</v>
      </c>
      <c r="C1047">
        <v>2.3639999999999999</v>
      </c>
      <c r="D1047">
        <v>0.16400000000000001</v>
      </c>
      <c r="E1047">
        <f t="shared" si="192"/>
        <v>4.4583332386651247</v>
      </c>
      <c r="F1047">
        <f t="shared" si="193"/>
        <v>-4.1299710411557555E-6</v>
      </c>
      <c r="G1047">
        <f t="shared" si="196"/>
        <v>-1.000000000000334E-3</v>
      </c>
      <c r="H1047">
        <f>IF(MOD(COUNTA($C$7:C1047)-1,$J$2),H1046,ROUND(F1047*P1047,-2))</f>
        <v>0</v>
      </c>
      <c r="I1047">
        <f t="shared" si="197"/>
        <v>0</v>
      </c>
      <c r="J1047">
        <f t="shared" si="198"/>
        <v>0</v>
      </c>
      <c r="K1047">
        <f t="shared" si="199"/>
        <v>206.84352009786903</v>
      </c>
      <c r="L1047">
        <f t="shared" si="200"/>
        <v>206.84352009786903</v>
      </c>
      <c r="M1047">
        <f t="shared" si="201"/>
        <v>0</v>
      </c>
      <c r="N1047">
        <f t="shared" si="203"/>
        <v>206.84352009786903</v>
      </c>
      <c r="O1047" s="5">
        <f t="shared" si="194"/>
        <v>1.1262894090821238E-7</v>
      </c>
      <c r="P1047">
        <f t="shared" si="202"/>
        <v>10000</v>
      </c>
      <c r="Q1047">
        <f t="shared" si="195"/>
        <v>1.1262894090821238E-3</v>
      </c>
    </row>
    <row r="1048" spans="1:17" x14ac:dyDescent="0.15">
      <c r="A1048" s="10">
        <v>45903.576388888992</v>
      </c>
      <c r="B1048">
        <f>COUNT(A1048:$A$1158)/(48*252)</f>
        <v>9.1765873015873019E-3</v>
      </c>
      <c r="C1048">
        <v>2.3540000000000001</v>
      </c>
      <c r="D1048">
        <v>0.155</v>
      </c>
      <c r="E1048">
        <f t="shared" si="192"/>
        <v>4.4012125112968299</v>
      </c>
      <c r="F1048">
        <f t="shared" si="193"/>
        <v>-5.382381417673443E-6</v>
      </c>
      <c r="G1048">
        <f t="shared" si="196"/>
        <v>-9.9999999999997868E-3</v>
      </c>
      <c r="H1048">
        <f>IF(MOD(COUNTA($C$7:C1048)-1,$J$2),H1047,ROUND(F1048*P1048,-2))</f>
        <v>0</v>
      </c>
      <c r="I1048">
        <f t="shared" si="197"/>
        <v>0</v>
      </c>
      <c r="J1048">
        <f t="shared" si="198"/>
        <v>0</v>
      </c>
      <c r="K1048">
        <f t="shared" si="199"/>
        <v>206.84352009786903</v>
      </c>
      <c r="L1048">
        <f t="shared" si="200"/>
        <v>206.84352009786903</v>
      </c>
      <c r="M1048">
        <f t="shared" si="201"/>
        <v>0</v>
      </c>
      <c r="N1048">
        <f t="shared" si="203"/>
        <v>206.84352009786903</v>
      </c>
      <c r="O1048" s="5">
        <f t="shared" si="194"/>
        <v>1.4712445816510137E-7</v>
      </c>
      <c r="P1048">
        <f t="shared" si="202"/>
        <v>10000</v>
      </c>
      <c r="Q1048">
        <f t="shared" si="195"/>
        <v>1.4712445816510136E-3</v>
      </c>
    </row>
    <row r="1049" spans="1:17" x14ac:dyDescent="0.15">
      <c r="A1049" s="10">
        <v>45903.579861111008</v>
      </c>
      <c r="B1049">
        <f>COUNT(A1049:$A$1158)/(48*252)</f>
        <v>9.0939153439153434E-3</v>
      </c>
      <c r="C1049">
        <v>2.3530000000000002</v>
      </c>
      <c r="D1049">
        <v>0.155</v>
      </c>
      <c r="E1049">
        <f t="shared" si="192"/>
        <v>4.4131386552341958</v>
      </c>
      <c r="F1049">
        <f t="shared" si="193"/>
        <v>-5.0941349647448675E-6</v>
      </c>
      <c r="G1049">
        <f t="shared" si="196"/>
        <v>-9.9999999999988987E-4</v>
      </c>
      <c r="H1049">
        <f>IF(MOD(COUNTA($C$7:C1049)-1,$J$2),H1048,ROUND(F1049*P1049,-2))</f>
        <v>0</v>
      </c>
      <c r="I1049">
        <f t="shared" si="197"/>
        <v>0</v>
      </c>
      <c r="J1049">
        <f t="shared" si="198"/>
        <v>0</v>
      </c>
      <c r="K1049">
        <f t="shared" si="199"/>
        <v>206.84352009786903</v>
      </c>
      <c r="L1049">
        <f t="shared" si="200"/>
        <v>206.84352009786903</v>
      </c>
      <c r="M1049">
        <f t="shared" si="201"/>
        <v>0</v>
      </c>
      <c r="N1049">
        <f t="shared" si="203"/>
        <v>206.84352009786903</v>
      </c>
      <c r="O1049" s="5">
        <f t="shared" si="194"/>
        <v>1.3822914202369897E-7</v>
      </c>
      <c r="P1049">
        <f t="shared" si="202"/>
        <v>10000</v>
      </c>
      <c r="Q1049">
        <f t="shared" si="195"/>
        <v>1.3822914202369896E-3</v>
      </c>
    </row>
    <row r="1050" spans="1:17" x14ac:dyDescent="0.15">
      <c r="A1050" s="10">
        <v>45903.583333333023</v>
      </c>
      <c r="B1050">
        <f>COUNT(A1050:$A$1158)/(48*252)</f>
        <v>9.0112433862433866E-3</v>
      </c>
      <c r="C1050">
        <v>2.3559999999999999</v>
      </c>
      <c r="D1050">
        <v>0.157</v>
      </c>
      <c r="E1050">
        <f t="shared" si="192"/>
        <v>4.4563546199577004</v>
      </c>
      <c r="F1050">
        <f t="shared" si="193"/>
        <v>-4.1682544505983188E-6</v>
      </c>
      <c r="G1050">
        <f t="shared" si="196"/>
        <v>2.9999999999996696E-3</v>
      </c>
      <c r="H1050">
        <f>IF(MOD(COUNTA($C$7:C1050)-1,$J$2),H1049,ROUND(F1050*P1050,-2))</f>
        <v>0</v>
      </c>
      <c r="I1050">
        <f t="shared" si="197"/>
        <v>0</v>
      </c>
      <c r="J1050">
        <f t="shared" si="198"/>
        <v>0</v>
      </c>
      <c r="K1050">
        <f t="shared" si="199"/>
        <v>206.84352009786903</v>
      </c>
      <c r="L1050">
        <f t="shared" si="200"/>
        <v>206.84352009786903</v>
      </c>
      <c r="M1050">
        <f t="shared" si="201"/>
        <v>0</v>
      </c>
      <c r="N1050">
        <f t="shared" si="203"/>
        <v>206.84352009786903</v>
      </c>
      <c r="O1050" s="5">
        <f t="shared" si="194"/>
        <v>1.1178673149783744E-7</v>
      </c>
      <c r="P1050">
        <f t="shared" si="202"/>
        <v>10000</v>
      </c>
      <c r="Q1050">
        <f t="shared" si="195"/>
        <v>1.1178673149783744E-3</v>
      </c>
    </row>
    <row r="1051" spans="1:17" x14ac:dyDescent="0.15">
      <c r="A1051" s="10">
        <v>45903.586805555969</v>
      </c>
      <c r="B1051">
        <f>COUNT(A1051:$A$1158)/(48*252)</f>
        <v>8.9285714285714281E-3</v>
      </c>
      <c r="C1051">
        <v>2.3580000000000001</v>
      </c>
      <c r="D1051">
        <v>0.157</v>
      </c>
      <c r="E1051">
        <f t="shared" si="192"/>
        <v>4.4922391429017807</v>
      </c>
      <c r="F1051">
        <f t="shared" si="193"/>
        <v>-3.5239109241747002E-6</v>
      </c>
      <c r="G1051">
        <f t="shared" si="196"/>
        <v>2.0000000000002238E-3</v>
      </c>
      <c r="H1051">
        <f>IF(MOD(COUNTA($C$7:C1051)-1,$J$2),H1050,ROUND(F1051*P1051,-2))</f>
        <v>0</v>
      </c>
      <c r="I1051">
        <f t="shared" si="197"/>
        <v>0</v>
      </c>
      <c r="J1051">
        <f t="shared" si="198"/>
        <v>0</v>
      </c>
      <c r="K1051">
        <f t="shared" si="199"/>
        <v>206.84352009786903</v>
      </c>
      <c r="L1051">
        <f t="shared" si="200"/>
        <v>206.84352009786903</v>
      </c>
      <c r="M1051">
        <f t="shared" si="201"/>
        <v>0</v>
      </c>
      <c r="N1051">
        <f t="shared" si="203"/>
        <v>206.84352009786903</v>
      </c>
      <c r="O1051" s="5">
        <f t="shared" si="194"/>
        <v>9.3498082093094494E-8</v>
      </c>
      <c r="P1051">
        <f t="shared" si="202"/>
        <v>10000</v>
      </c>
      <c r="Q1051">
        <f t="shared" si="195"/>
        <v>9.3498082093094494E-4</v>
      </c>
    </row>
    <row r="1052" spans="1:17" x14ac:dyDescent="0.15">
      <c r="A1052" s="10">
        <v>45903.590277777985</v>
      </c>
      <c r="B1052">
        <f>COUNT(A1052:$A$1158)/(48*252)</f>
        <v>8.8458994708994713E-3</v>
      </c>
      <c r="C1052">
        <v>2.3610000000000002</v>
      </c>
      <c r="D1052">
        <v>0.16</v>
      </c>
      <c r="E1052">
        <f t="shared" si="192"/>
        <v>4.5363647888608831</v>
      </c>
      <c r="F1052">
        <f t="shared" si="193"/>
        <v>-2.8616076411802638E-6</v>
      </c>
      <c r="G1052">
        <f t="shared" si="196"/>
        <v>3.0000000000001137E-3</v>
      </c>
      <c r="H1052">
        <f>IF(MOD(COUNTA($C$7:C1052)-1,$J$2),H1051,ROUND(F1052*P1052,-2))</f>
        <v>0</v>
      </c>
      <c r="I1052">
        <f t="shared" si="197"/>
        <v>0</v>
      </c>
      <c r="J1052">
        <f t="shared" si="198"/>
        <v>0</v>
      </c>
      <c r="K1052">
        <f t="shared" si="199"/>
        <v>206.84352009786903</v>
      </c>
      <c r="L1052">
        <f t="shared" si="200"/>
        <v>206.84352009786903</v>
      </c>
      <c r="M1052">
        <f t="shared" si="201"/>
        <v>0</v>
      </c>
      <c r="N1052">
        <f t="shared" si="203"/>
        <v>206.84352009786903</v>
      </c>
      <c r="O1052" s="5">
        <f t="shared" si="194"/>
        <v>7.5029097231758495E-8</v>
      </c>
      <c r="P1052">
        <f t="shared" si="202"/>
        <v>10000</v>
      </c>
      <c r="Q1052">
        <f t="shared" si="195"/>
        <v>7.5029097231758498E-4</v>
      </c>
    </row>
    <row r="1053" spans="1:17" x14ac:dyDescent="0.15">
      <c r="A1053" s="10">
        <v>45903.59375</v>
      </c>
      <c r="B1053">
        <f>COUNT(A1053:$A$1158)/(48*252)</f>
        <v>8.7632275132275127E-3</v>
      </c>
      <c r="C1053">
        <v>2.36</v>
      </c>
      <c r="D1053">
        <v>0.159</v>
      </c>
      <c r="E1053">
        <f t="shared" si="192"/>
        <v>4.549551596625653</v>
      </c>
      <c r="F1053">
        <f t="shared" si="193"/>
        <v>-2.688017561203182E-6</v>
      </c>
      <c r="G1053">
        <f t="shared" si="196"/>
        <v>-1.000000000000334E-3</v>
      </c>
      <c r="H1053">
        <f>IF(MOD(COUNTA($C$7:C1053)-1,$J$2),H1052,ROUND(F1053*P1053,-2))</f>
        <v>0</v>
      </c>
      <c r="I1053">
        <f t="shared" si="197"/>
        <v>0</v>
      </c>
      <c r="J1053">
        <f t="shared" si="198"/>
        <v>0</v>
      </c>
      <c r="K1053">
        <f t="shared" si="199"/>
        <v>206.84352009786903</v>
      </c>
      <c r="L1053">
        <f t="shared" si="200"/>
        <v>206.84352009786903</v>
      </c>
      <c r="M1053">
        <f t="shared" si="201"/>
        <v>0</v>
      </c>
      <c r="N1053">
        <f t="shared" si="203"/>
        <v>206.84352009786903</v>
      </c>
      <c r="O1053" s="5">
        <f t="shared" si="194"/>
        <v>6.9938443706272767E-8</v>
      </c>
      <c r="P1053">
        <f t="shared" si="202"/>
        <v>10000</v>
      </c>
      <c r="Q1053">
        <f t="shared" si="195"/>
        <v>6.9938443706272764E-4</v>
      </c>
    </row>
    <row r="1054" spans="1:17" x14ac:dyDescent="0.15">
      <c r="A1054" s="10">
        <v>45903.597222222015</v>
      </c>
      <c r="B1054">
        <f>COUNT(A1054:$A$1158)/(48*252)</f>
        <v>8.6805555555555559E-3</v>
      </c>
      <c r="C1054">
        <v>2.3559999999999999</v>
      </c>
      <c r="D1054">
        <v>0.157</v>
      </c>
      <c r="E1054">
        <f t="shared" si="192"/>
        <v>4.539237555493802</v>
      </c>
      <c r="F1054">
        <f t="shared" si="193"/>
        <v>-2.8229000950119598E-6</v>
      </c>
      <c r="G1054">
        <f t="shared" si="196"/>
        <v>-4.0000000000000036E-3</v>
      </c>
      <c r="H1054">
        <f>IF(MOD(COUNTA($C$7:C1054)-1,$J$2),H1053,ROUND(F1054*P1054,-2))</f>
        <v>0</v>
      </c>
      <c r="I1054">
        <f t="shared" si="197"/>
        <v>0</v>
      </c>
      <c r="J1054">
        <f t="shared" si="198"/>
        <v>0</v>
      </c>
      <c r="K1054">
        <f t="shared" si="199"/>
        <v>206.84352009786903</v>
      </c>
      <c r="L1054">
        <f t="shared" si="200"/>
        <v>206.84352009786903</v>
      </c>
      <c r="M1054">
        <f t="shared" si="201"/>
        <v>0</v>
      </c>
      <c r="N1054">
        <f t="shared" si="203"/>
        <v>206.84352009786903</v>
      </c>
      <c r="O1054" s="5">
        <f t="shared" si="194"/>
        <v>7.3116541757646362E-8</v>
      </c>
      <c r="P1054">
        <f t="shared" si="202"/>
        <v>10000</v>
      </c>
      <c r="Q1054">
        <f t="shared" si="195"/>
        <v>7.3116541757646362E-4</v>
      </c>
    </row>
    <row r="1055" spans="1:17" x14ac:dyDescent="0.15">
      <c r="A1055" s="10">
        <v>45903.600694444962</v>
      </c>
      <c r="B1055">
        <f>COUNT(A1055:$A$1158)/(48*252)</f>
        <v>8.5978835978835974E-3</v>
      </c>
      <c r="C1055">
        <v>2.3570000000000002</v>
      </c>
      <c r="D1055">
        <v>0.157</v>
      </c>
      <c r="E1055">
        <f t="shared" si="192"/>
        <v>4.56865486581603</v>
      </c>
      <c r="F1055">
        <f t="shared" si="193"/>
        <v>-2.4543215446648503E-6</v>
      </c>
      <c r="G1055">
        <f t="shared" si="196"/>
        <v>1.000000000000334E-3</v>
      </c>
      <c r="H1055">
        <f>IF(MOD(COUNTA($C$7:C1055)-1,$J$2),H1054,ROUND(F1055*P1055,-2))</f>
        <v>0</v>
      </c>
      <c r="I1055">
        <f t="shared" si="197"/>
        <v>0</v>
      </c>
      <c r="J1055">
        <f t="shared" si="198"/>
        <v>0</v>
      </c>
      <c r="K1055">
        <f t="shared" si="199"/>
        <v>206.84352009786903</v>
      </c>
      <c r="L1055">
        <f t="shared" si="200"/>
        <v>206.84352009786903</v>
      </c>
      <c r="M1055">
        <f t="shared" si="201"/>
        <v>0</v>
      </c>
      <c r="N1055">
        <f t="shared" si="203"/>
        <v>206.84352009786903</v>
      </c>
      <c r="O1055" s="5">
        <f t="shared" si="194"/>
        <v>6.2937092979403173E-8</v>
      </c>
      <c r="P1055">
        <f t="shared" si="202"/>
        <v>10000</v>
      </c>
      <c r="Q1055">
        <f t="shared" si="195"/>
        <v>6.2937092979403167E-4</v>
      </c>
    </row>
    <row r="1056" spans="1:17" x14ac:dyDescent="0.15">
      <c r="A1056" s="10">
        <v>45903.604166666977</v>
      </c>
      <c r="B1056">
        <f>COUNT(A1056:$A$1158)/(48*252)</f>
        <v>8.5152116402116406E-3</v>
      </c>
      <c r="C1056">
        <v>2.335</v>
      </c>
      <c r="D1056">
        <v>0.14199999999999999</v>
      </c>
      <c r="E1056">
        <f t="shared" si="192"/>
        <v>4.4139538044220163</v>
      </c>
      <c r="F1056">
        <f t="shared" si="193"/>
        <v>-5.0749813157446866E-6</v>
      </c>
      <c r="G1056">
        <f t="shared" si="196"/>
        <v>-2.2000000000000242E-2</v>
      </c>
      <c r="H1056">
        <f>IF(MOD(COUNTA($C$7:C1056)-1,$J$2),H1055,ROUND(F1056*P1056,-2))</f>
        <v>0</v>
      </c>
      <c r="I1056">
        <f t="shared" si="197"/>
        <v>0</v>
      </c>
      <c r="J1056">
        <f t="shared" si="198"/>
        <v>0</v>
      </c>
      <c r="K1056">
        <f t="shared" si="199"/>
        <v>206.84352009786903</v>
      </c>
      <c r="L1056">
        <f t="shared" si="200"/>
        <v>206.84352009786903</v>
      </c>
      <c r="M1056">
        <f t="shared" si="201"/>
        <v>0</v>
      </c>
      <c r="N1056">
        <f t="shared" si="203"/>
        <v>206.84352009786903</v>
      </c>
      <c r="O1056" s="5">
        <f t="shared" si="194"/>
        <v>1.3216788733534062E-7</v>
      </c>
      <c r="P1056">
        <f t="shared" si="202"/>
        <v>10000</v>
      </c>
      <c r="Q1056">
        <f t="shared" si="195"/>
        <v>1.3216788733534063E-3</v>
      </c>
    </row>
    <row r="1057" spans="1:17" x14ac:dyDescent="0.15">
      <c r="A1057" s="10">
        <v>45903.607638888992</v>
      </c>
      <c r="B1057">
        <f>COUNT(A1057:$A$1158)/(48*252)</f>
        <v>8.4325396825396821E-3</v>
      </c>
      <c r="C1057">
        <v>2.3460000000000001</v>
      </c>
      <c r="D1057">
        <v>0.14499999999999999</v>
      </c>
      <c r="E1057">
        <f t="shared" si="192"/>
        <v>4.5241319466681142</v>
      </c>
      <c r="F1057">
        <f t="shared" si="193"/>
        <v>-3.0321942147137904E-6</v>
      </c>
      <c r="G1057">
        <f t="shared" si="196"/>
        <v>1.1000000000000121E-2</v>
      </c>
      <c r="H1057">
        <f>IF(MOD(COUNTA($C$7:C1057)-1,$J$2),H1056,ROUND(F1057*P1057,-2))</f>
        <v>0</v>
      </c>
      <c r="I1057">
        <f t="shared" si="197"/>
        <v>0</v>
      </c>
      <c r="J1057">
        <f t="shared" si="198"/>
        <v>0</v>
      </c>
      <c r="K1057">
        <f t="shared" si="199"/>
        <v>206.84352009786903</v>
      </c>
      <c r="L1057">
        <f t="shared" si="200"/>
        <v>206.84352009786903</v>
      </c>
      <c r="M1057">
        <f t="shared" si="201"/>
        <v>0</v>
      </c>
      <c r="N1057">
        <f t="shared" si="203"/>
        <v>206.84352009786903</v>
      </c>
      <c r="O1057" s="5">
        <f t="shared" si="194"/>
        <v>7.7289578957947866E-8</v>
      </c>
      <c r="P1057">
        <f t="shared" si="202"/>
        <v>10000</v>
      </c>
      <c r="Q1057">
        <f t="shared" si="195"/>
        <v>7.7289578957947863E-4</v>
      </c>
    </row>
    <row r="1058" spans="1:17" x14ac:dyDescent="0.15">
      <c r="A1058" s="10">
        <v>45903.611111111008</v>
      </c>
      <c r="B1058">
        <f>COUNT(A1058:$A$1158)/(48*252)</f>
        <v>8.3498677248677253E-3</v>
      </c>
      <c r="C1058">
        <v>2.3479999999999999</v>
      </c>
      <c r="D1058">
        <v>0.14599999999999999</v>
      </c>
      <c r="E1058">
        <f t="shared" si="192"/>
        <v>4.5623643324786043</v>
      </c>
      <c r="F1058">
        <f t="shared" si="193"/>
        <v>-2.5290388441234768E-6</v>
      </c>
      <c r="G1058">
        <f t="shared" si="196"/>
        <v>1.9999999999997797E-3</v>
      </c>
      <c r="H1058">
        <f>IF(MOD(COUNTA($C$7:C1058)-1,$J$2),H1057,ROUND(F1058*P1058,-2))</f>
        <v>0</v>
      </c>
      <c r="I1058">
        <f t="shared" si="197"/>
        <v>0</v>
      </c>
      <c r="J1058">
        <f t="shared" si="198"/>
        <v>0</v>
      </c>
      <c r="K1058">
        <f t="shared" si="199"/>
        <v>206.84352009786903</v>
      </c>
      <c r="L1058">
        <f t="shared" si="200"/>
        <v>206.84352009786903</v>
      </c>
      <c r="M1058">
        <f t="shared" si="201"/>
        <v>0</v>
      </c>
      <c r="N1058">
        <f t="shared" si="203"/>
        <v>206.84352009786903</v>
      </c>
      <c r="O1058" s="5">
        <f t="shared" si="194"/>
        <v>6.3733152447681372E-8</v>
      </c>
      <c r="P1058">
        <f t="shared" si="202"/>
        <v>10000</v>
      </c>
      <c r="Q1058">
        <f t="shared" si="195"/>
        <v>6.3733152447681375E-4</v>
      </c>
    </row>
    <row r="1059" spans="1:17" x14ac:dyDescent="0.15">
      <c r="A1059" s="10">
        <v>45903.614583333023</v>
      </c>
      <c r="B1059">
        <f>COUNT(A1059:$A$1158)/(48*252)</f>
        <v>8.2671957671957667E-3</v>
      </c>
      <c r="C1059">
        <v>2.3439999999999999</v>
      </c>
      <c r="D1059">
        <v>0.14499999999999999</v>
      </c>
      <c r="E1059">
        <f t="shared" si="192"/>
        <v>4.5522379653726288</v>
      </c>
      <c r="F1059">
        <f t="shared" si="193"/>
        <v>-2.6539124701185912E-6</v>
      </c>
      <c r="G1059">
        <f t="shared" si="196"/>
        <v>-4.0000000000000036E-3</v>
      </c>
      <c r="H1059">
        <f>IF(MOD(COUNTA($C$7:C1059)-1,$J$2),H1058,ROUND(F1059*P1059,-2))</f>
        <v>0</v>
      </c>
      <c r="I1059">
        <f t="shared" si="197"/>
        <v>0</v>
      </c>
      <c r="J1059">
        <f t="shared" si="198"/>
        <v>0</v>
      </c>
      <c r="K1059">
        <f t="shared" si="199"/>
        <v>206.84352009786903</v>
      </c>
      <c r="L1059">
        <f t="shared" si="200"/>
        <v>206.84352009786903</v>
      </c>
      <c r="M1059">
        <f t="shared" si="201"/>
        <v>0</v>
      </c>
      <c r="N1059">
        <f t="shared" si="203"/>
        <v>206.84352009786903</v>
      </c>
      <c r="O1059" s="5">
        <f t="shared" si="194"/>
        <v>6.6559277530288265E-8</v>
      </c>
      <c r="P1059">
        <f t="shared" si="202"/>
        <v>10000</v>
      </c>
      <c r="Q1059">
        <f t="shared" si="195"/>
        <v>6.6559277530288266E-4</v>
      </c>
    </row>
    <row r="1060" spans="1:17" x14ac:dyDescent="0.15">
      <c r="A1060" s="10">
        <v>45903.618055555969</v>
      </c>
      <c r="B1060">
        <f>COUNT(A1060:$A$1158)/(48*252)</f>
        <v>8.1845238095238099E-3</v>
      </c>
      <c r="C1060">
        <v>2.3460000000000001</v>
      </c>
      <c r="D1060">
        <v>0.14899999999999999</v>
      </c>
      <c r="E1060">
        <f t="shared" si="192"/>
        <v>4.591235822138068</v>
      </c>
      <c r="F1060">
        <f t="shared" si="193"/>
        <v>-2.2031456132776128E-6</v>
      </c>
      <c r="G1060">
        <f t="shared" si="196"/>
        <v>2.0000000000002238E-3</v>
      </c>
      <c r="H1060">
        <f>IF(MOD(COUNTA($C$7:C1060)-1,$J$2),H1059,ROUND(F1060*P1060,-2))</f>
        <v>0</v>
      </c>
      <c r="I1060">
        <f t="shared" si="197"/>
        <v>0</v>
      </c>
      <c r="J1060">
        <f t="shared" si="198"/>
        <v>0</v>
      </c>
      <c r="K1060">
        <f t="shared" si="199"/>
        <v>206.84352009786903</v>
      </c>
      <c r="L1060">
        <f t="shared" si="200"/>
        <v>206.84352009786903</v>
      </c>
      <c r="M1060">
        <f t="shared" si="201"/>
        <v>0</v>
      </c>
      <c r="N1060">
        <f t="shared" si="203"/>
        <v>206.84352009786903</v>
      </c>
      <c r="O1060" s="5">
        <f t="shared" si="194"/>
        <v>5.4616087142284477E-8</v>
      </c>
      <c r="P1060">
        <f t="shared" si="202"/>
        <v>10000</v>
      </c>
      <c r="Q1060">
        <f t="shared" si="195"/>
        <v>5.4616087142284476E-4</v>
      </c>
    </row>
    <row r="1061" spans="1:17" x14ac:dyDescent="0.15">
      <c r="A1061" s="10">
        <v>45903.621527777985</v>
      </c>
      <c r="B1061">
        <f>COUNT(A1061:$A$1158)/(48*252)</f>
        <v>8.1018518518518514E-3</v>
      </c>
      <c r="C1061">
        <v>2.351</v>
      </c>
      <c r="D1061">
        <v>0.14799999999999999</v>
      </c>
      <c r="E1061">
        <f t="shared" si="192"/>
        <v>4.6553737970688225</v>
      </c>
      <c r="F1061">
        <f t="shared" si="193"/>
        <v>-1.6169672437671423E-6</v>
      </c>
      <c r="G1061">
        <f t="shared" si="196"/>
        <v>4.9999999999998934E-3</v>
      </c>
      <c r="H1061">
        <f>IF(MOD(COUNTA($C$7:C1061)-1,$J$2),H1060,ROUND(F1061*P1061,-2))</f>
        <v>0</v>
      </c>
      <c r="I1061">
        <f t="shared" si="197"/>
        <v>0</v>
      </c>
      <c r="J1061">
        <f t="shared" si="198"/>
        <v>0</v>
      </c>
      <c r="K1061">
        <f t="shared" si="199"/>
        <v>206.84352009786903</v>
      </c>
      <c r="L1061">
        <f t="shared" si="200"/>
        <v>206.84352009786903</v>
      </c>
      <c r="M1061">
        <f t="shared" si="201"/>
        <v>0</v>
      </c>
      <c r="N1061">
        <f t="shared" si="203"/>
        <v>206.84352009786903</v>
      </c>
      <c r="O1061" s="5">
        <f t="shared" si="194"/>
        <v>3.9485861306596769E-8</v>
      </c>
      <c r="P1061">
        <f t="shared" si="202"/>
        <v>10000</v>
      </c>
      <c r="Q1061">
        <f t="shared" si="195"/>
        <v>3.9485861306596767E-4</v>
      </c>
    </row>
    <row r="1062" spans="1:17" x14ac:dyDescent="0.15">
      <c r="A1062" s="10">
        <v>45903.625</v>
      </c>
      <c r="B1062">
        <f>COUNT(A1062:$A$1158)/(48*252)</f>
        <v>8.0191798941798946E-3</v>
      </c>
      <c r="C1062">
        <v>2.35</v>
      </c>
      <c r="D1062">
        <v>0.14699999999999999</v>
      </c>
      <c r="E1062">
        <f t="shared" si="192"/>
        <v>4.6707429676952454</v>
      </c>
      <c r="F1062">
        <f t="shared" si="193"/>
        <v>-1.500561365164188E-6</v>
      </c>
      <c r="G1062">
        <f t="shared" si="196"/>
        <v>-9.9999999999988987E-4</v>
      </c>
      <c r="H1062">
        <f>IF(MOD(COUNTA($C$7:C1062)-1,$J$2),H1061,ROUND(F1062*P1062,-2))</f>
        <v>0</v>
      </c>
      <c r="I1062">
        <f t="shared" si="197"/>
        <v>0</v>
      </c>
      <c r="J1062">
        <f t="shared" si="198"/>
        <v>0</v>
      </c>
      <c r="K1062">
        <f t="shared" si="199"/>
        <v>206.84352009786903</v>
      </c>
      <c r="L1062">
        <f t="shared" si="200"/>
        <v>206.84352009786903</v>
      </c>
      <c r="M1062">
        <f t="shared" si="201"/>
        <v>0</v>
      </c>
      <c r="N1062">
        <f t="shared" si="203"/>
        <v>206.84352009786903</v>
      </c>
      <c r="O1062" s="5">
        <f t="shared" si="194"/>
        <v>3.6334049074190483E-8</v>
      </c>
      <c r="P1062">
        <f t="shared" si="202"/>
        <v>10000</v>
      </c>
      <c r="Q1062">
        <f t="shared" si="195"/>
        <v>3.6334049074190482E-4</v>
      </c>
    </row>
    <row r="1063" spans="1:17" x14ac:dyDescent="0.15">
      <c r="A1063" s="10">
        <v>45904.399305555969</v>
      </c>
      <c r="B1063">
        <f>COUNT(A1063:$A$1158)/(48*252)</f>
        <v>7.9365079365079361E-3</v>
      </c>
      <c r="C1063">
        <v>2.34</v>
      </c>
      <c r="D1063">
        <v>0.14299999999999999</v>
      </c>
      <c r="E1063">
        <f t="shared" si="192"/>
        <v>4.611545705097031</v>
      </c>
      <c r="F1063">
        <f t="shared" si="193"/>
        <v>-1.9984287562557768E-6</v>
      </c>
      <c r="G1063">
        <f t="shared" si="196"/>
        <v>-1.0000000000000231E-2</v>
      </c>
      <c r="H1063">
        <f>IF(MOD(COUNTA($C$7:C1063)-1,$J$2),H1062,ROUND(F1063*P1063,-2))</f>
        <v>0</v>
      </c>
      <c r="I1063">
        <f t="shared" si="197"/>
        <v>0</v>
      </c>
      <c r="J1063">
        <f t="shared" si="198"/>
        <v>0</v>
      </c>
      <c r="K1063">
        <f t="shared" si="199"/>
        <v>206.84352009786903</v>
      </c>
      <c r="L1063">
        <f t="shared" si="200"/>
        <v>206.84352009786903</v>
      </c>
      <c r="M1063">
        <f t="shared" si="201"/>
        <v>0</v>
      </c>
      <c r="N1063">
        <f t="shared" si="203"/>
        <v>206.84352009786903</v>
      </c>
      <c r="O1063" s="5">
        <f t="shared" si="194"/>
        <v>4.8466413073602579E-8</v>
      </c>
      <c r="P1063">
        <f t="shared" si="202"/>
        <v>10000</v>
      </c>
      <c r="Q1063">
        <f t="shared" si="195"/>
        <v>4.8466413073602579E-4</v>
      </c>
    </row>
    <row r="1064" spans="1:17" x14ac:dyDescent="0.15">
      <c r="A1064" s="10">
        <v>45904.402777777985</v>
      </c>
      <c r="B1064">
        <f>COUNT(A1064:$A$1158)/(48*252)</f>
        <v>7.8538359788359793E-3</v>
      </c>
      <c r="C1064">
        <v>2.3380000000000001</v>
      </c>
      <c r="D1064">
        <v>0.13900000000000001</v>
      </c>
      <c r="E1064">
        <f t="shared" si="192"/>
        <v>4.6186770629413587</v>
      </c>
      <c r="F1064">
        <f t="shared" si="193"/>
        <v>-1.9309717700366491E-6</v>
      </c>
      <c r="G1064">
        <f t="shared" si="196"/>
        <v>-1.9999999999997797E-3</v>
      </c>
      <c r="H1064">
        <f>IF(MOD(COUNTA($C$7:C1064)-1,$J$2),H1063,ROUND(F1064*P1064,-2))</f>
        <v>0</v>
      </c>
      <c r="I1064">
        <f t="shared" si="197"/>
        <v>0</v>
      </c>
      <c r="J1064">
        <f t="shared" si="198"/>
        <v>0</v>
      </c>
      <c r="K1064">
        <f t="shared" si="199"/>
        <v>206.84352009786903</v>
      </c>
      <c r="L1064">
        <f t="shared" si="200"/>
        <v>206.84352009786903</v>
      </c>
      <c r="M1064">
        <f t="shared" si="201"/>
        <v>0</v>
      </c>
      <c r="N1064">
        <f t="shared" si="203"/>
        <v>206.84352009786903</v>
      </c>
      <c r="O1064" s="5">
        <f t="shared" si="194"/>
        <v>4.6481223859131615E-8</v>
      </c>
      <c r="P1064">
        <f t="shared" si="202"/>
        <v>10000</v>
      </c>
      <c r="Q1064">
        <f t="shared" si="195"/>
        <v>4.6481223859131613E-4</v>
      </c>
    </row>
    <row r="1065" spans="1:17" x14ac:dyDescent="0.15">
      <c r="A1065" s="10">
        <v>45904.40625</v>
      </c>
      <c r="B1065">
        <f>COUNT(A1065:$A$1158)/(48*252)</f>
        <v>7.7711640211640207E-3</v>
      </c>
      <c r="C1065">
        <v>2.3330000000000002</v>
      </c>
      <c r="D1065">
        <v>0.13700000000000001</v>
      </c>
      <c r="E1065">
        <f t="shared" si="192"/>
        <v>4.6006771260639905</v>
      </c>
      <c r="F1065">
        <f t="shared" si="193"/>
        <v>-2.105598750690163E-6</v>
      </c>
      <c r="G1065">
        <f t="shared" si="196"/>
        <v>-4.9999999999998934E-3</v>
      </c>
      <c r="H1065">
        <f>IF(MOD(COUNTA($C$7:C1065)-1,$J$2),H1064,ROUND(F1065*P1065,-2))</f>
        <v>0</v>
      </c>
      <c r="I1065">
        <f t="shared" si="197"/>
        <v>0</v>
      </c>
      <c r="J1065">
        <f t="shared" si="198"/>
        <v>0</v>
      </c>
      <c r="K1065">
        <f t="shared" si="199"/>
        <v>206.84352009786903</v>
      </c>
      <c r="L1065">
        <f t="shared" si="200"/>
        <v>206.84352009786903</v>
      </c>
      <c r="M1065">
        <f t="shared" si="201"/>
        <v>0</v>
      </c>
      <c r="N1065">
        <f t="shared" si="203"/>
        <v>206.84352009786903</v>
      </c>
      <c r="O1065" s="5">
        <f t="shared" si="194"/>
        <v>5.0477621387482645E-8</v>
      </c>
      <c r="P1065">
        <f t="shared" si="202"/>
        <v>10000</v>
      </c>
      <c r="Q1065">
        <f t="shared" si="195"/>
        <v>5.0477621387482645E-4</v>
      </c>
    </row>
    <row r="1066" spans="1:17" x14ac:dyDescent="0.15">
      <c r="A1066" s="10">
        <v>45904.409722222015</v>
      </c>
      <c r="B1066">
        <f>COUNT(A1066:$A$1158)/(48*252)</f>
        <v>7.6884920634920631E-3</v>
      </c>
      <c r="C1066">
        <v>2.335</v>
      </c>
      <c r="D1066">
        <v>0.13500000000000001</v>
      </c>
      <c r="E1066">
        <f t="shared" si="192"/>
        <v>4.6420000731393705</v>
      </c>
      <c r="F1066">
        <f t="shared" si="193"/>
        <v>-1.7252636949072198E-6</v>
      </c>
      <c r="G1066">
        <f t="shared" si="196"/>
        <v>1.9999999999997797E-3</v>
      </c>
      <c r="H1066">
        <f>IF(MOD(COUNTA($C$7:C1066)-1,$J$2),H1065,ROUND(F1066*P1066,-2))</f>
        <v>0</v>
      </c>
      <c r="I1066">
        <f t="shared" si="197"/>
        <v>0</v>
      </c>
      <c r="J1066">
        <f t="shared" si="198"/>
        <v>0</v>
      </c>
      <c r="K1066">
        <f t="shared" si="199"/>
        <v>206.84352009786903</v>
      </c>
      <c r="L1066">
        <f t="shared" si="200"/>
        <v>206.84352009786903</v>
      </c>
      <c r="M1066">
        <f t="shared" si="201"/>
        <v>0</v>
      </c>
      <c r="N1066">
        <f t="shared" si="203"/>
        <v>206.84352009786903</v>
      </c>
      <c r="O1066" s="5">
        <f t="shared" si="194"/>
        <v>4.0853817734354246E-8</v>
      </c>
      <c r="P1066">
        <f t="shared" si="202"/>
        <v>10000</v>
      </c>
      <c r="Q1066">
        <f t="shared" si="195"/>
        <v>4.0853817734354248E-4</v>
      </c>
    </row>
    <row r="1067" spans="1:17" x14ac:dyDescent="0.15">
      <c r="A1067" s="10">
        <v>45904.413194444962</v>
      </c>
      <c r="B1067">
        <f>COUNT(A1067:$A$1158)/(48*252)</f>
        <v>7.6058201058201054E-3</v>
      </c>
      <c r="C1067">
        <v>2.3330000000000002</v>
      </c>
      <c r="D1067">
        <v>0.13500000000000001</v>
      </c>
      <c r="E1067">
        <f t="shared" si="192"/>
        <v>4.6497710827503198</v>
      </c>
      <c r="F1067">
        <f t="shared" si="193"/>
        <v>-1.6615182639734272E-6</v>
      </c>
      <c r="G1067">
        <f t="shared" si="196"/>
        <v>-1.9999999999997797E-3</v>
      </c>
      <c r="H1067">
        <f>IF(MOD(COUNTA($C$7:C1067)-1,$J$2),H1066,ROUND(F1067*P1067,-2))</f>
        <v>0</v>
      </c>
      <c r="I1067">
        <f t="shared" si="197"/>
        <v>0</v>
      </c>
      <c r="J1067">
        <f t="shared" si="198"/>
        <v>0</v>
      </c>
      <c r="K1067">
        <f t="shared" si="199"/>
        <v>206.84352009786903</v>
      </c>
      <c r="L1067">
        <f t="shared" si="200"/>
        <v>206.84352009786903</v>
      </c>
      <c r="M1067">
        <f t="shared" si="201"/>
        <v>0</v>
      </c>
      <c r="N1067">
        <f t="shared" si="203"/>
        <v>206.84352009786903</v>
      </c>
      <c r="O1067" s="5">
        <f t="shared" si="194"/>
        <v>3.9039833109731359E-8</v>
      </c>
      <c r="P1067">
        <f t="shared" si="202"/>
        <v>10000</v>
      </c>
      <c r="Q1067">
        <f t="shared" si="195"/>
        <v>3.903983310973136E-4</v>
      </c>
    </row>
    <row r="1068" spans="1:17" x14ac:dyDescent="0.15">
      <c r="A1068" s="10">
        <v>45904.416666666977</v>
      </c>
      <c r="B1068">
        <f>COUNT(A1068:$A$1158)/(48*252)</f>
        <v>7.5231481481481477E-3</v>
      </c>
      <c r="C1068">
        <v>2.335</v>
      </c>
      <c r="D1068">
        <v>0.13400000000000001</v>
      </c>
      <c r="E1068">
        <f t="shared" si="192"/>
        <v>4.6920857505453641</v>
      </c>
      <c r="F1068">
        <f t="shared" si="193"/>
        <v>-1.3521686264006405E-6</v>
      </c>
      <c r="G1068">
        <f t="shared" si="196"/>
        <v>1.9999999999997797E-3</v>
      </c>
      <c r="H1068">
        <f>IF(MOD(COUNTA($C$7:C1068)-1,$J$2),H1067,ROUND(F1068*P1068,-2))</f>
        <v>0</v>
      </c>
      <c r="I1068">
        <f t="shared" si="197"/>
        <v>0</v>
      </c>
      <c r="J1068">
        <f t="shared" si="198"/>
        <v>0</v>
      </c>
      <c r="K1068">
        <f t="shared" si="199"/>
        <v>206.84352009786903</v>
      </c>
      <c r="L1068">
        <f t="shared" si="200"/>
        <v>206.84352009786903</v>
      </c>
      <c r="M1068">
        <f t="shared" si="201"/>
        <v>0</v>
      </c>
      <c r="N1068">
        <f t="shared" si="203"/>
        <v>206.84352009786903</v>
      </c>
      <c r="O1068" s="5">
        <f t="shared" si="194"/>
        <v>3.1375029266986241E-8</v>
      </c>
      <c r="P1068">
        <f t="shared" si="202"/>
        <v>10000</v>
      </c>
      <c r="Q1068">
        <f t="shared" si="195"/>
        <v>3.1375029266986242E-4</v>
      </c>
    </row>
    <row r="1069" spans="1:17" x14ac:dyDescent="0.15">
      <c r="A1069" s="10">
        <v>45904.420138888992</v>
      </c>
      <c r="B1069">
        <f>COUNT(A1069:$A$1158)/(48*252)</f>
        <v>7.4404761904761901E-3</v>
      </c>
      <c r="C1069">
        <v>2.3260000000000001</v>
      </c>
      <c r="D1069">
        <v>0.13100000000000001</v>
      </c>
      <c r="E1069">
        <f t="shared" si="192"/>
        <v>4.6399891078343591</v>
      </c>
      <c r="F1069">
        <f t="shared" si="193"/>
        <v>-1.7421377113135961E-6</v>
      </c>
      <c r="G1069">
        <f t="shared" si="196"/>
        <v>-8.999999999999897E-3</v>
      </c>
      <c r="H1069">
        <f>IF(MOD(COUNTA($C$7:C1069)-1,$J$2),H1068,ROUND(F1069*P1069,-2))</f>
        <v>0</v>
      </c>
      <c r="I1069">
        <f t="shared" si="197"/>
        <v>0</v>
      </c>
      <c r="J1069">
        <f t="shared" si="198"/>
        <v>0</v>
      </c>
      <c r="K1069">
        <f t="shared" si="199"/>
        <v>206.84352009786903</v>
      </c>
      <c r="L1069">
        <f t="shared" si="200"/>
        <v>206.84352009786903</v>
      </c>
      <c r="M1069">
        <f t="shared" si="201"/>
        <v>0</v>
      </c>
      <c r="N1069">
        <f t="shared" si="203"/>
        <v>206.84352009786903</v>
      </c>
      <c r="O1069" s="5">
        <f t="shared" si="194"/>
        <v>4.0434927169853642E-8</v>
      </c>
      <c r="P1069">
        <f t="shared" si="202"/>
        <v>10000</v>
      </c>
      <c r="Q1069">
        <f t="shared" si="195"/>
        <v>4.0434927169853642E-4</v>
      </c>
    </row>
    <row r="1070" spans="1:17" x14ac:dyDescent="0.15">
      <c r="A1070" s="10">
        <v>45904.423611111008</v>
      </c>
      <c r="B1070">
        <f>COUNT(A1070:$A$1158)/(48*252)</f>
        <v>7.3578042328042324E-3</v>
      </c>
      <c r="C1070">
        <v>2.3290000000000002</v>
      </c>
      <c r="D1070">
        <v>0.129</v>
      </c>
      <c r="E1070">
        <f t="shared" si="192"/>
        <v>4.6917567665388953</v>
      </c>
      <c r="F1070">
        <f t="shared" si="193"/>
        <v>-1.3543452250797117E-6</v>
      </c>
      <c r="G1070">
        <f t="shared" si="196"/>
        <v>3.0000000000001137E-3</v>
      </c>
      <c r="H1070">
        <f>IF(MOD(COUNTA($C$7:C1070)-1,$J$2),H1069,ROUND(F1070*P1070,-2))</f>
        <v>0</v>
      </c>
      <c r="I1070">
        <f t="shared" si="197"/>
        <v>0</v>
      </c>
      <c r="J1070">
        <f t="shared" si="198"/>
        <v>0</v>
      </c>
      <c r="K1070">
        <f t="shared" si="199"/>
        <v>206.84352009786903</v>
      </c>
      <c r="L1070">
        <f t="shared" si="200"/>
        <v>206.84352009786903</v>
      </c>
      <c r="M1070">
        <f t="shared" si="201"/>
        <v>0</v>
      </c>
      <c r="N1070">
        <f t="shared" si="203"/>
        <v>206.84352009786903</v>
      </c>
      <c r="O1070" s="5">
        <f t="shared" si="194"/>
        <v>3.0997026151636485E-8</v>
      </c>
      <c r="P1070">
        <f t="shared" si="202"/>
        <v>10000</v>
      </c>
      <c r="Q1070">
        <f t="shared" si="195"/>
        <v>3.0997026151636484E-4</v>
      </c>
    </row>
    <row r="1071" spans="1:17" x14ac:dyDescent="0.15">
      <c r="A1071" s="10">
        <v>45904.427083333023</v>
      </c>
      <c r="B1071">
        <f>COUNT(A1071:$A$1158)/(48*252)</f>
        <v>7.2751322751322747E-3</v>
      </c>
      <c r="C1071">
        <v>2.33</v>
      </c>
      <c r="D1071">
        <v>0.129</v>
      </c>
      <c r="E1071">
        <f t="shared" si="192"/>
        <v>4.7267516970154846</v>
      </c>
      <c r="F1071">
        <f t="shared" si="193"/>
        <v>-1.140699784518695E-6</v>
      </c>
      <c r="G1071">
        <f t="shared" si="196"/>
        <v>9.9999999999988987E-4</v>
      </c>
      <c r="H1071">
        <f>IF(MOD(COUNTA($C$7:C1071)-1,$J$2),H1070,ROUND(F1071*P1071,-2))</f>
        <v>0</v>
      </c>
      <c r="I1071">
        <f t="shared" si="197"/>
        <v>0</v>
      </c>
      <c r="J1071">
        <f t="shared" si="198"/>
        <v>0</v>
      </c>
      <c r="K1071">
        <f t="shared" si="199"/>
        <v>206.84352009786903</v>
      </c>
      <c r="L1071">
        <f t="shared" si="200"/>
        <v>206.84352009786903</v>
      </c>
      <c r="M1071">
        <f t="shared" si="201"/>
        <v>0</v>
      </c>
      <c r="N1071">
        <f t="shared" si="203"/>
        <v>206.84352009786903</v>
      </c>
      <c r="O1071" s="5">
        <f t="shared" si="194"/>
        <v>2.5802198358036551E-8</v>
      </c>
      <c r="P1071">
        <f t="shared" si="202"/>
        <v>10000</v>
      </c>
      <c r="Q1071">
        <f t="shared" si="195"/>
        <v>2.5802198358036553E-4</v>
      </c>
    </row>
    <row r="1072" spans="1:17" x14ac:dyDescent="0.15">
      <c r="A1072" s="10">
        <v>45904.430555555969</v>
      </c>
      <c r="B1072">
        <f>COUNT(A1072:$A$1158)/(48*252)</f>
        <v>7.1924603174603171E-3</v>
      </c>
      <c r="C1072">
        <v>2.3279999999999998</v>
      </c>
      <c r="D1072">
        <v>0.127</v>
      </c>
      <c r="E1072">
        <f t="shared" si="192"/>
        <v>4.7359198708546524</v>
      </c>
      <c r="F1072">
        <f t="shared" si="193"/>
        <v>-1.0903186951072286E-6</v>
      </c>
      <c r="G1072">
        <f t="shared" si="196"/>
        <v>-2.0000000000002238E-3</v>
      </c>
      <c r="H1072">
        <f>IF(MOD(COUNTA($C$7:C1072)-1,$J$2),H1071,ROUND(F1072*P1072,-2))</f>
        <v>0</v>
      </c>
      <c r="I1072">
        <f t="shared" si="197"/>
        <v>0</v>
      </c>
      <c r="J1072">
        <f t="shared" si="198"/>
        <v>0</v>
      </c>
      <c r="K1072">
        <f t="shared" si="199"/>
        <v>206.84352009786903</v>
      </c>
      <c r="L1072">
        <f t="shared" si="200"/>
        <v>206.84352009786903</v>
      </c>
      <c r="M1072">
        <f t="shared" si="201"/>
        <v>0</v>
      </c>
      <c r="N1072">
        <f t="shared" si="203"/>
        <v>206.84352009786903</v>
      </c>
      <c r="O1072" s="5">
        <f t="shared" si="194"/>
        <v>2.445829414224992E-8</v>
      </c>
      <c r="P1072">
        <f t="shared" si="202"/>
        <v>10000</v>
      </c>
      <c r="Q1072">
        <f t="shared" si="195"/>
        <v>2.4458294142249923E-4</v>
      </c>
    </row>
    <row r="1073" spans="1:17" x14ac:dyDescent="0.15">
      <c r="A1073" s="10">
        <v>45904.434027777985</v>
      </c>
      <c r="B1073">
        <f>COUNT(A1073:$A$1158)/(48*252)</f>
        <v>7.1097883597883594E-3</v>
      </c>
      <c r="C1073">
        <v>2.3159999999999998</v>
      </c>
      <c r="D1073">
        <v>0.11899999999999999</v>
      </c>
      <c r="E1073">
        <f t="shared" si="192"/>
        <v>4.6565811216824082</v>
      </c>
      <c r="F1073">
        <f t="shared" si="193"/>
        <v>-1.6075181666908023E-6</v>
      </c>
      <c r="G1073">
        <f t="shared" si="196"/>
        <v>-1.2000000000000011E-2</v>
      </c>
      <c r="H1073">
        <f>IF(MOD(COUNTA($C$7:C1073)-1,$J$2),H1072,ROUND(F1073*P1073,-2))</f>
        <v>0</v>
      </c>
      <c r="I1073">
        <f t="shared" si="197"/>
        <v>0</v>
      </c>
      <c r="J1073">
        <f t="shared" si="198"/>
        <v>0</v>
      </c>
      <c r="K1073">
        <f t="shared" si="199"/>
        <v>206.84352009786903</v>
      </c>
      <c r="L1073">
        <f t="shared" si="200"/>
        <v>206.84352009786903</v>
      </c>
      <c r="M1073">
        <f t="shared" si="201"/>
        <v>0</v>
      </c>
      <c r="N1073">
        <f t="shared" si="203"/>
        <v>206.84352009786903</v>
      </c>
      <c r="O1073" s="5">
        <f t="shared" si="194"/>
        <v>3.6194704020104776E-8</v>
      </c>
      <c r="P1073">
        <f t="shared" si="202"/>
        <v>10000</v>
      </c>
      <c r="Q1073">
        <f t="shared" si="195"/>
        <v>3.6194704020104778E-4</v>
      </c>
    </row>
    <row r="1074" spans="1:17" x14ac:dyDescent="0.15">
      <c r="A1074" s="10">
        <v>45904.4375</v>
      </c>
      <c r="B1074">
        <f>COUNT(A1074:$A$1158)/(48*252)</f>
        <v>7.0271164021164017E-3</v>
      </c>
      <c r="C1074">
        <v>2.3140000000000001</v>
      </c>
      <c r="D1074">
        <v>0.11700000000000001</v>
      </c>
      <c r="E1074">
        <f t="shared" si="192"/>
        <v>4.6656560324724703</v>
      </c>
      <c r="F1074">
        <f t="shared" si="193"/>
        <v>-1.5381697373584302E-6</v>
      </c>
      <c r="G1074">
        <f t="shared" si="196"/>
        <v>-1.9999999999997797E-3</v>
      </c>
      <c r="H1074">
        <f>IF(MOD(COUNTA($C$7:C1074)-1,$J$2),H1073,ROUND(F1074*P1074,-2))</f>
        <v>0</v>
      </c>
      <c r="I1074">
        <f t="shared" si="197"/>
        <v>0</v>
      </c>
      <c r="J1074">
        <f t="shared" si="198"/>
        <v>0</v>
      </c>
      <c r="K1074">
        <f t="shared" si="199"/>
        <v>206.84352009786903</v>
      </c>
      <c r="L1074">
        <f t="shared" si="200"/>
        <v>206.84352009786903</v>
      </c>
      <c r="M1074">
        <f t="shared" si="201"/>
        <v>0</v>
      </c>
      <c r="N1074">
        <f t="shared" si="203"/>
        <v>206.84352009786903</v>
      </c>
      <c r="O1074" s="5">
        <f t="shared" si="194"/>
        <v>3.434148505911725E-8</v>
      </c>
      <c r="P1074">
        <f t="shared" si="202"/>
        <v>10000</v>
      </c>
      <c r="Q1074">
        <f t="shared" si="195"/>
        <v>3.4341485059117248E-4</v>
      </c>
    </row>
    <row r="1075" spans="1:17" x14ac:dyDescent="0.15">
      <c r="A1075" s="10">
        <v>45904.440972222015</v>
      </c>
      <c r="B1075">
        <f>COUNT(A1075:$A$1158)/(48*252)</f>
        <v>6.9444444444444441E-3</v>
      </c>
      <c r="C1075">
        <v>2.3039999999999998</v>
      </c>
      <c r="D1075">
        <v>0.109</v>
      </c>
      <c r="E1075">
        <f t="shared" si="192"/>
        <v>4.6027361937259395</v>
      </c>
      <c r="F1075">
        <f t="shared" si="193"/>
        <v>-2.0848812914975312E-6</v>
      </c>
      <c r="G1075">
        <f t="shared" si="196"/>
        <v>-1.0000000000000231E-2</v>
      </c>
      <c r="H1075">
        <f>IF(MOD(COUNTA($C$7:C1075)-1,$J$2),H1074,ROUND(F1075*P1075,-2))</f>
        <v>0</v>
      </c>
      <c r="I1075">
        <f t="shared" si="197"/>
        <v>0</v>
      </c>
      <c r="J1075">
        <f t="shared" si="198"/>
        <v>0</v>
      </c>
      <c r="K1075">
        <f t="shared" si="199"/>
        <v>206.84352009786903</v>
      </c>
      <c r="L1075">
        <f t="shared" si="200"/>
        <v>206.84352009786903</v>
      </c>
      <c r="M1075">
        <f t="shared" si="201"/>
        <v>0</v>
      </c>
      <c r="N1075">
        <f t="shared" si="203"/>
        <v>206.84352009786903</v>
      </c>
      <c r="O1075" s="5">
        <f t="shared" si="194"/>
        <v>4.661696316316684E-8</v>
      </c>
      <c r="P1075">
        <f t="shared" si="202"/>
        <v>10000</v>
      </c>
      <c r="Q1075">
        <f t="shared" si="195"/>
        <v>4.6616963163166841E-4</v>
      </c>
    </row>
    <row r="1076" spans="1:17" x14ac:dyDescent="0.15">
      <c r="A1076" s="10">
        <v>45904.444444444962</v>
      </c>
      <c r="B1076">
        <f>COUNT(A1076:$A$1158)/(48*252)</f>
        <v>6.8617724867724864E-3</v>
      </c>
      <c r="C1076">
        <v>2.3109999999999999</v>
      </c>
      <c r="D1076">
        <v>0.111</v>
      </c>
      <c r="E1076">
        <f t="shared" si="192"/>
        <v>4.6936525285750488</v>
      </c>
      <c r="F1076">
        <f t="shared" si="193"/>
        <v>-1.3418486126681728E-6</v>
      </c>
      <c r="G1076">
        <f t="shared" si="196"/>
        <v>7.0000000000001172E-3</v>
      </c>
      <c r="H1076">
        <f>IF(MOD(COUNTA($C$7:C1076)-1,$J$2),H1075,ROUND(F1076*P1076,-2))</f>
        <v>0</v>
      </c>
      <c r="I1076">
        <f t="shared" si="197"/>
        <v>0</v>
      </c>
      <c r="J1076">
        <f t="shared" si="198"/>
        <v>0</v>
      </c>
      <c r="K1076">
        <f t="shared" si="199"/>
        <v>206.84352009786903</v>
      </c>
      <c r="L1076">
        <f t="shared" si="200"/>
        <v>206.84352009786903</v>
      </c>
      <c r="M1076">
        <f t="shared" si="201"/>
        <v>0</v>
      </c>
      <c r="N1076">
        <f t="shared" si="203"/>
        <v>206.84352009786903</v>
      </c>
      <c r="O1076" s="5">
        <f t="shared" si="194"/>
        <v>2.9408602043107791E-8</v>
      </c>
      <c r="P1076">
        <f t="shared" si="202"/>
        <v>10000</v>
      </c>
      <c r="Q1076">
        <f t="shared" si="195"/>
        <v>2.9408602043107788E-4</v>
      </c>
    </row>
    <row r="1077" spans="1:17" x14ac:dyDescent="0.15">
      <c r="A1077" s="10">
        <v>45904.447916666977</v>
      </c>
      <c r="B1077">
        <f>COUNT(A1077:$A$1158)/(48*252)</f>
        <v>6.7791005291005287E-3</v>
      </c>
      <c r="C1077">
        <v>2.3140000000000001</v>
      </c>
      <c r="D1077">
        <v>0.114</v>
      </c>
      <c r="E1077">
        <f t="shared" si="192"/>
        <v>4.7492126793956375</v>
      </c>
      <c r="F1077">
        <f t="shared" si="193"/>
        <v>-1.0210504906016382E-6</v>
      </c>
      <c r="G1077">
        <f t="shared" si="196"/>
        <v>3.0000000000001137E-3</v>
      </c>
      <c r="H1077">
        <f>IF(MOD(COUNTA($C$7:C1077)-1,$J$2),H1076,ROUND(F1077*P1077,-2))</f>
        <v>0</v>
      </c>
      <c r="I1077">
        <f t="shared" si="197"/>
        <v>0</v>
      </c>
      <c r="J1077">
        <f t="shared" si="198"/>
        <v>0</v>
      </c>
      <c r="K1077">
        <f t="shared" si="199"/>
        <v>206.84352009786903</v>
      </c>
      <c r="L1077">
        <f t="shared" si="200"/>
        <v>206.84352009786903</v>
      </c>
      <c r="M1077">
        <f t="shared" si="201"/>
        <v>0</v>
      </c>
      <c r="N1077">
        <f t="shared" si="203"/>
        <v>206.84352009786903</v>
      </c>
      <c r="O1077" s="5">
        <f t="shared" si="194"/>
        <v>2.2042787249919032E-8</v>
      </c>
      <c r="P1077">
        <f t="shared" si="202"/>
        <v>10000</v>
      </c>
      <c r="Q1077">
        <f t="shared" si="195"/>
        <v>2.2042787249919034E-4</v>
      </c>
    </row>
    <row r="1078" spans="1:17" x14ac:dyDescent="0.15">
      <c r="A1078" s="10">
        <v>45904.451388888992</v>
      </c>
      <c r="B1078">
        <f>COUNT(A1078:$A$1158)/(48*252)</f>
        <v>6.6964285714285711E-3</v>
      </c>
      <c r="C1078">
        <v>2.3159999999999998</v>
      </c>
      <c r="D1078">
        <v>0.11700000000000001</v>
      </c>
      <c r="E1078">
        <f t="shared" si="192"/>
        <v>4.7964334797263746</v>
      </c>
      <c r="F1078">
        <f t="shared" si="193"/>
        <v>-8.0757779941098562E-7</v>
      </c>
      <c r="G1078">
        <f t="shared" si="196"/>
        <v>1.9999999999997797E-3</v>
      </c>
      <c r="H1078">
        <f>IF(MOD(COUNTA($C$7:C1078)-1,$J$2),H1077,ROUND(F1078*P1078,-2))</f>
        <v>0</v>
      </c>
      <c r="I1078">
        <f t="shared" si="197"/>
        <v>0</v>
      </c>
      <c r="J1078">
        <f t="shared" si="198"/>
        <v>0</v>
      </c>
      <c r="K1078">
        <f t="shared" si="199"/>
        <v>206.84352009786903</v>
      </c>
      <c r="L1078">
        <f t="shared" si="200"/>
        <v>206.84352009786903</v>
      </c>
      <c r="M1078">
        <f t="shared" si="201"/>
        <v>0</v>
      </c>
      <c r="N1078">
        <f t="shared" si="203"/>
        <v>206.84352009786903</v>
      </c>
      <c r="O1078" s="5">
        <f t="shared" si="194"/>
        <v>1.7192242350747917E-8</v>
      </c>
      <c r="P1078">
        <f t="shared" si="202"/>
        <v>10000</v>
      </c>
      <c r="Q1078">
        <f t="shared" si="195"/>
        <v>1.7192242350747917E-4</v>
      </c>
    </row>
    <row r="1079" spans="1:17" x14ac:dyDescent="0.15">
      <c r="A1079" s="10">
        <v>45904.454861111008</v>
      </c>
      <c r="B1079">
        <f>COUNT(A1079:$A$1158)/(48*252)</f>
        <v>6.6137566137566134E-3</v>
      </c>
      <c r="C1079">
        <v>2.3140000000000001</v>
      </c>
      <c r="D1079">
        <v>0.115</v>
      </c>
      <c r="E1079">
        <f t="shared" si="192"/>
        <v>4.8075201814328548</v>
      </c>
      <c r="F1079">
        <f t="shared" si="193"/>
        <v>-7.640699833943998E-7</v>
      </c>
      <c r="G1079">
        <f t="shared" si="196"/>
        <v>-1.9999999999997797E-3</v>
      </c>
      <c r="H1079">
        <f>IF(MOD(COUNTA($C$7:C1079)-1,$J$2),H1078,ROUND(F1079*P1079,-2))</f>
        <v>0</v>
      </c>
      <c r="I1079">
        <f t="shared" si="197"/>
        <v>0</v>
      </c>
      <c r="J1079">
        <f t="shared" si="198"/>
        <v>0</v>
      </c>
      <c r="K1079">
        <f t="shared" si="199"/>
        <v>206.84352009786903</v>
      </c>
      <c r="L1079">
        <f t="shared" si="200"/>
        <v>206.84352009786903</v>
      </c>
      <c r="M1079">
        <f t="shared" si="201"/>
        <v>0</v>
      </c>
      <c r="N1079">
        <f t="shared" si="203"/>
        <v>206.84352009786903</v>
      </c>
      <c r="O1079" s="5">
        <f t="shared" si="194"/>
        <v>1.611782862839005E-8</v>
      </c>
      <c r="P1079">
        <f t="shared" si="202"/>
        <v>10000</v>
      </c>
      <c r="Q1079">
        <f t="shared" si="195"/>
        <v>1.611782862839005E-4</v>
      </c>
    </row>
    <row r="1080" spans="1:17" x14ac:dyDescent="0.15">
      <c r="A1080" s="10">
        <v>45904.458333333023</v>
      </c>
      <c r="B1080">
        <f>COUNT(A1080:$A$1158)/(48*252)</f>
        <v>6.5310846560846557E-3</v>
      </c>
      <c r="C1080">
        <v>2.3159999999999998</v>
      </c>
      <c r="D1080">
        <v>0.115</v>
      </c>
      <c r="E1080">
        <f t="shared" si="192"/>
        <v>4.8560727963086086</v>
      </c>
      <c r="F1080">
        <f t="shared" si="193"/>
        <v>-5.9868349044922553E-7</v>
      </c>
      <c r="G1080">
        <f t="shared" si="196"/>
        <v>1.9999999999997797E-3</v>
      </c>
      <c r="H1080">
        <f>IF(MOD(COUNTA($C$7:C1080)-1,$J$2),H1079,ROUND(F1080*P1080,-2))</f>
        <v>0</v>
      </c>
      <c r="I1080">
        <f t="shared" si="197"/>
        <v>0</v>
      </c>
      <c r="J1080">
        <f t="shared" si="198"/>
        <v>0</v>
      </c>
      <c r="K1080">
        <f t="shared" si="199"/>
        <v>206.84352009786903</v>
      </c>
      <c r="L1080">
        <f t="shared" si="200"/>
        <v>206.84352009786903</v>
      </c>
      <c r="M1080">
        <f t="shared" si="201"/>
        <v>0</v>
      </c>
      <c r="N1080">
        <f t="shared" si="203"/>
        <v>206.84352009786903</v>
      </c>
      <c r="O1080" s="5">
        <f t="shared" si="194"/>
        <v>1.2449827440661999E-8</v>
      </c>
      <c r="P1080">
        <f t="shared" si="202"/>
        <v>10000</v>
      </c>
      <c r="Q1080">
        <f t="shared" si="195"/>
        <v>1.2449827440662E-4</v>
      </c>
    </row>
    <row r="1081" spans="1:17" x14ac:dyDescent="0.15">
      <c r="A1081" s="10">
        <v>45904.461805555969</v>
      </c>
      <c r="B1081">
        <f>COUNT(A1081:$A$1158)/(48*252)</f>
        <v>6.4484126984126981E-3</v>
      </c>
      <c r="C1081">
        <v>2.3159999999999998</v>
      </c>
      <c r="D1081">
        <v>0.11899999999999999</v>
      </c>
      <c r="E1081">
        <f t="shared" si="192"/>
        <v>4.8867523330620513</v>
      </c>
      <c r="F1081">
        <f t="shared" si="193"/>
        <v>-5.1256458477588751E-7</v>
      </c>
      <c r="G1081">
        <f t="shared" si="196"/>
        <v>0</v>
      </c>
      <c r="H1081">
        <f>IF(MOD(COUNTA($C$7:C1081)-1,$J$2),H1080,ROUND(F1081*P1081,-2))</f>
        <v>0</v>
      </c>
      <c r="I1081">
        <f t="shared" si="197"/>
        <v>0</v>
      </c>
      <c r="J1081">
        <f t="shared" si="198"/>
        <v>0</v>
      </c>
      <c r="K1081">
        <f t="shared" si="199"/>
        <v>206.84352009786903</v>
      </c>
      <c r="L1081">
        <f t="shared" si="200"/>
        <v>206.84352009786903</v>
      </c>
      <c r="M1081">
        <f t="shared" si="201"/>
        <v>0</v>
      </c>
      <c r="N1081">
        <f t="shared" si="203"/>
        <v>206.84352009786903</v>
      </c>
      <c r="O1081" s="5">
        <f t="shared" si="194"/>
        <v>1.0532259808486137E-8</v>
      </c>
      <c r="P1081">
        <f t="shared" si="202"/>
        <v>10000</v>
      </c>
      <c r="Q1081">
        <f t="shared" si="195"/>
        <v>1.0532259808486137E-4</v>
      </c>
    </row>
    <row r="1082" spans="1:17" x14ac:dyDescent="0.15">
      <c r="A1082" s="10">
        <v>45904.465277777985</v>
      </c>
      <c r="B1082">
        <f>COUNT(A1082:$A$1158)/(48*252)</f>
        <v>6.3657407407407404E-3</v>
      </c>
      <c r="C1082">
        <v>2.3149999999999999</v>
      </c>
      <c r="D1082">
        <v>0.11600000000000001</v>
      </c>
      <c r="E1082">
        <f t="shared" si="192"/>
        <v>4.9086277264899296</v>
      </c>
      <c r="F1082">
        <f t="shared" si="193"/>
        <v>-4.5857943975491366E-7</v>
      </c>
      <c r="G1082">
        <f t="shared" si="196"/>
        <v>-9.9999999999988987E-4</v>
      </c>
      <c r="H1082">
        <f>IF(MOD(COUNTA($C$7:C1082)-1,$J$2),H1081,ROUND(F1082*P1082,-2))</f>
        <v>0</v>
      </c>
      <c r="I1082">
        <f t="shared" si="197"/>
        <v>0</v>
      </c>
      <c r="J1082">
        <f t="shared" si="198"/>
        <v>0</v>
      </c>
      <c r="K1082">
        <f t="shared" si="199"/>
        <v>206.84352009786903</v>
      </c>
      <c r="L1082">
        <f t="shared" si="200"/>
        <v>206.84352009786903</v>
      </c>
      <c r="M1082">
        <f t="shared" si="201"/>
        <v>0</v>
      </c>
      <c r="N1082">
        <f t="shared" si="203"/>
        <v>206.84352009786903</v>
      </c>
      <c r="O1082" s="5">
        <f t="shared" si="194"/>
        <v>9.3211174480460271E-9</v>
      </c>
      <c r="P1082">
        <f t="shared" si="202"/>
        <v>10000</v>
      </c>
      <c r="Q1082">
        <f t="shared" si="195"/>
        <v>9.3211174480460271E-5</v>
      </c>
    </row>
    <row r="1083" spans="1:17" x14ac:dyDescent="0.15">
      <c r="A1083" s="10">
        <v>45904.46875</v>
      </c>
      <c r="B1083">
        <f>COUNT(A1083:$A$1158)/(48*252)</f>
        <v>6.2830687830687827E-3</v>
      </c>
      <c r="C1083">
        <v>2.3140000000000001</v>
      </c>
      <c r="D1083">
        <v>0.114</v>
      </c>
      <c r="E1083">
        <f t="shared" si="192"/>
        <v>4.930993339571172</v>
      </c>
      <c r="F1083">
        <f t="shared" si="193"/>
        <v>-4.0906261944417821E-7</v>
      </c>
      <c r="G1083">
        <f t="shared" si="196"/>
        <v>-9.9999999999988987E-4</v>
      </c>
      <c r="H1083">
        <f>IF(MOD(COUNTA($C$7:C1083)-1,$J$2),H1082,ROUND(F1083*P1083,-2))</f>
        <v>0</v>
      </c>
      <c r="I1083">
        <f t="shared" si="197"/>
        <v>0</v>
      </c>
      <c r="J1083">
        <f t="shared" si="198"/>
        <v>0</v>
      </c>
      <c r="K1083">
        <f t="shared" si="199"/>
        <v>206.84352009786903</v>
      </c>
      <c r="L1083">
        <f t="shared" si="200"/>
        <v>206.84352009786903</v>
      </c>
      <c r="M1083">
        <f t="shared" si="201"/>
        <v>0</v>
      </c>
      <c r="N1083">
        <f t="shared" si="203"/>
        <v>206.84352009786903</v>
      </c>
      <c r="O1083" s="5">
        <f t="shared" si="194"/>
        <v>8.2234645752212086E-9</v>
      </c>
      <c r="P1083">
        <f t="shared" si="202"/>
        <v>10000</v>
      </c>
      <c r="Q1083">
        <f t="shared" si="195"/>
        <v>8.2234645752212091E-5</v>
      </c>
    </row>
    <row r="1084" spans="1:17" x14ac:dyDescent="0.15">
      <c r="A1084" s="10">
        <v>45904.472222222015</v>
      </c>
      <c r="B1084">
        <f>COUNT(A1084:$A$1158)/(48*252)</f>
        <v>6.2003968253968251E-3</v>
      </c>
      <c r="C1084">
        <v>2.3130000000000002</v>
      </c>
      <c r="D1084">
        <v>0.115</v>
      </c>
      <c r="E1084">
        <f t="shared" si="192"/>
        <v>4.9538659349154184</v>
      </c>
      <c r="F1084">
        <f t="shared" si="193"/>
        <v>-3.6376670853321968E-7</v>
      </c>
      <c r="G1084">
        <f t="shared" si="196"/>
        <v>-9.9999999999988987E-4</v>
      </c>
      <c r="H1084">
        <f>IF(MOD(COUNTA($C$7:C1084)-1,$J$2),H1083,ROUND(F1084*P1084,-2))</f>
        <v>0</v>
      </c>
      <c r="I1084">
        <f t="shared" si="197"/>
        <v>0</v>
      </c>
      <c r="J1084">
        <f t="shared" si="198"/>
        <v>0</v>
      </c>
      <c r="K1084">
        <f t="shared" si="199"/>
        <v>206.84352009786903</v>
      </c>
      <c r="L1084">
        <f t="shared" si="200"/>
        <v>206.84352009786903</v>
      </c>
      <c r="M1084">
        <f t="shared" si="201"/>
        <v>0</v>
      </c>
      <c r="N1084">
        <f t="shared" si="203"/>
        <v>206.84352009786903</v>
      </c>
      <c r="O1084" s="5">
        <f t="shared" si="194"/>
        <v>7.2315086815975231E-9</v>
      </c>
      <c r="P1084">
        <f t="shared" si="202"/>
        <v>10000</v>
      </c>
      <c r="Q1084">
        <f t="shared" si="195"/>
        <v>7.2315086815975227E-5</v>
      </c>
    </row>
    <row r="1085" spans="1:17" x14ac:dyDescent="0.15">
      <c r="A1085" s="10">
        <v>45904.475694444962</v>
      </c>
      <c r="B1085">
        <f>COUNT(A1085:$A$1158)/(48*252)</f>
        <v>6.1177248677248674E-3</v>
      </c>
      <c r="C1085">
        <v>2.3130000000000002</v>
      </c>
      <c r="D1085">
        <v>0.114</v>
      </c>
      <c r="E1085">
        <f t="shared" si="192"/>
        <v>4.9868663453694877</v>
      </c>
      <c r="F1085">
        <f t="shared" si="193"/>
        <v>-3.068324313515447E-7</v>
      </c>
      <c r="G1085">
        <f t="shared" si="196"/>
        <v>0</v>
      </c>
      <c r="H1085">
        <f>IF(MOD(COUNTA($C$7:C1085)-1,$J$2),H1084,ROUND(F1085*P1085,-2))</f>
        <v>0</v>
      </c>
      <c r="I1085">
        <f t="shared" si="197"/>
        <v>0</v>
      </c>
      <c r="J1085">
        <f t="shared" si="198"/>
        <v>0</v>
      </c>
      <c r="K1085">
        <f t="shared" si="199"/>
        <v>206.84352009786903</v>
      </c>
      <c r="L1085">
        <f t="shared" si="200"/>
        <v>206.84352009786903</v>
      </c>
      <c r="M1085">
        <f t="shared" si="201"/>
        <v>0</v>
      </c>
      <c r="N1085">
        <f t="shared" si="203"/>
        <v>206.84352009786903</v>
      </c>
      <c r="O1085" s="5">
        <f t="shared" si="194"/>
        <v>6.0231594683414256E-9</v>
      </c>
      <c r="P1085">
        <f t="shared" si="202"/>
        <v>10000</v>
      </c>
      <c r="Q1085">
        <f t="shared" si="195"/>
        <v>6.0231594683414254E-5</v>
      </c>
    </row>
    <row r="1086" spans="1:17" x14ac:dyDescent="0.15">
      <c r="A1086" s="10">
        <v>45904.479166666977</v>
      </c>
      <c r="B1086">
        <f>COUNT(A1086:$A$1158)/(48*252)</f>
        <v>6.0350529100529097E-3</v>
      </c>
      <c r="C1086">
        <v>2.3170000000000002</v>
      </c>
      <c r="D1086">
        <v>0.11600000000000001</v>
      </c>
      <c r="E1086">
        <f t="shared" si="192"/>
        <v>5.0591785328325809</v>
      </c>
      <c r="F1086">
        <f t="shared" si="193"/>
        <v>-2.1053324628095282E-7</v>
      </c>
      <c r="G1086">
        <f t="shared" si="196"/>
        <v>4.0000000000000036E-3</v>
      </c>
      <c r="H1086">
        <f>IF(MOD(COUNTA($C$7:C1086)-1,$J$2),H1085,ROUND(F1086*P1086,-2))</f>
        <v>0</v>
      </c>
      <c r="I1086">
        <f t="shared" si="197"/>
        <v>0</v>
      </c>
      <c r="J1086">
        <f t="shared" si="198"/>
        <v>0</v>
      </c>
      <c r="K1086">
        <f t="shared" si="199"/>
        <v>206.84352009786903</v>
      </c>
      <c r="L1086">
        <f t="shared" si="200"/>
        <v>206.84352009786903</v>
      </c>
      <c r="M1086">
        <f t="shared" si="201"/>
        <v>0</v>
      </c>
      <c r="N1086">
        <f t="shared" si="203"/>
        <v>206.84352009786903</v>
      </c>
      <c r="O1086" s="5">
        <f t="shared" si="194"/>
        <v>4.0596385694908578E-9</v>
      </c>
      <c r="P1086">
        <f t="shared" si="202"/>
        <v>10000</v>
      </c>
      <c r="Q1086">
        <f t="shared" si="195"/>
        <v>4.0596385694908576E-5</v>
      </c>
    </row>
    <row r="1087" spans="1:17" x14ac:dyDescent="0.15">
      <c r="A1087" s="10">
        <v>45904.545138888992</v>
      </c>
      <c r="B1087">
        <f>COUNT(A1087:$A$1158)/(48*252)</f>
        <v>5.9523809523809521E-3</v>
      </c>
      <c r="C1087">
        <v>2.3140000000000001</v>
      </c>
      <c r="D1087">
        <v>0.114</v>
      </c>
      <c r="E1087">
        <f t="shared" si="192"/>
        <v>5.0646569068151788</v>
      </c>
      <c r="F1087">
        <f t="shared" si="193"/>
        <v>-2.0456826654857707E-7</v>
      </c>
      <c r="G1087">
        <f t="shared" si="196"/>
        <v>-3.0000000000001137E-3</v>
      </c>
      <c r="H1087">
        <f>IF(MOD(COUNTA($C$7:C1087)-1,$J$2),H1086,ROUND(F1087*P1087,-2))</f>
        <v>0</v>
      </c>
      <c r="I1087">
        <f t="shared" si="197"/>
        <v>0</v>
      </c>
      <c r="J1087">
        <f t="shared" si="198"/>
        <v>0</v>
      </c>
      <c r="K1087">
        <f t="shared" si="199"/>
        <v>206.84352009786903</v>
      </c>
      <c r="L1087">
        <f t="shared" si="200"/>
        <v>206.84352009786903</v>
      </c>
      <c r="M1087">
        <f t="shared" si="201"/>
        <v>0</v>
      </c>
      <c r="N1087">
        <f t="shared" si="203"/>
        <v>206.84352009786903</v>
      </c>
      <c r="O1087" s="5">
        <f t="shared" si="194"/>
        <v>3.9084695882976196E-9</v>
      </c>
      <c r="P1087">
        <f t="shared" si="202"/>
        <v>10000</v>
      </c>
      <c r="Q1087">
        <f t="shared" si="195"/>
        <v>3.9084695882976196E-5</v>
      </c>
    </row>
    <row r="1088" spans="1:17" x14ac:dyDescent="0.15">
      <c r="A1088" s="10">
        <v>45904.548611111008</v>
      </c>
      <c r="B1088">
        <f>COUNT(A1088:$A$1158)/(48*252)</f>
        <v>5.8697089947089944E-3</v>
      </c>
      <c r="C1088">
        <v>2.3159999999999998</v>
      </c>
      <c r="D1088">
        <v>0.115</v>
      </c>
      <c r="E1088">
        <f t="shared" si="192"/>
        <v>5.1194188902638968</v>
      </c>
      <c r="F1088">
        <f t="shared" si="193"/>
        <v>-1.5323927193833242E-7</v>
      </c>
      <c r="G1088">
        <f t="shared" si="196"/>
        <v>1.9999999999997797E-3</v>
      </c>
      <c r="H1088">
        <f>IF(MOD(COUNTA($C$7:C1088)-1,$J$2),H1087,ROUND(F1088*P1088,-2))</f>
        <v>0</v>
      </c>
      <c r="I1088">
        <f t="shared" si="197"/>
        <v>0</v>
      </c>
      <c r="J1088">
        <f t="shared" si="198"/>
        <v>0</v>
      </c>
      <c r="K1088">
        <f t="shared" si="199"/>
        <v>206.84352009786903</v>
      </c>
      <c r="L1088">
        <f t="shared" si="200"/>
        <v>206.84352009786903</v>
      </c>
      <c r="M1088">
        <f t="shared" si="201"/>
        <v>0</v>
      </c>
      <c r="N1088">
        <f t="shared" si="203"/>
        <v>206.84352009786903</v>
      </c>
      <c r="O1088" s="5">
        <f t="shared" si="194"/>
        <v>2.8821143121573454E-9</v>
      </c>
      <c r="P1088">
        <f t="shared" si="202"/>
        <v>10000</v>
      </c>
      <c r="Q1088">
        <f t="shared" si="195"/>
        <v>2.8821143121573455E-5</v>
      </c>
    </row>
    <row r="1089" spans="1:17" x14ac:dyDescent="0.15">
      <c r="A1089" s="10">
        <v>45904.552083333023</v>
      </c>
      <c r="B1089">
        <f>COUNT(A1089:$A$1158)/(48*252)</f>
        <v>5.7870370370370367E-3</v>
      </c>
      <c r="C1089">
        <v>2.319</v>
      </c>
      <c r="D1089">
        <v>0.11600000000000001</v>
      </c>
      <c r="E1089">
        <f t="shared" si="192"/>
        <v>5.1850446488572199</v>
      </c>
      <c r="F1089">
        <f t="shared" si="193"/>
        <v>-1.0798156035995987E-7</v>
      </c>
      <c r="G1089">
        <f t="shared" si="196"/>
        <v>3.0000000000001137E-3</v>
      </c>
      <c r="H1089">
        <f>IF(MOD(COUNTA($C$7:C1089)-1,$J$2),H1088,ROUND(F1089*P1089,-2))</f>
        <v>0</v>
      </c>
      <c r="I1089">
        <f t="shared" si="197"/>
        <v>0</v>
      </c>
      <c r="J1089">
        <f t="shared" si="198"/>
        <v>0</v>
      </c>
      <c r="K1089">
        <f t="shared" si="199"/>
        <v>206.84352009786903</v>
      </c>
      <c r="L1089">
        <f t="shared" si="200"/>
        <v>206.84352009786903</v>
      </c>
      <c r="M1089">
        <f t="shared" si="201"/>
        <v>0</v>
      </c>
      <c r="N1089">
        <f t="shared" si="203"/>
        <v>206.84352009786903</v>
      </c>
      <c r="O1089" s="5">
        <f t="shared" si="194"/>
        <v>1.9963285312421888E-9</v>
      </c>
      <c r="P1089">
        <f t="shared" si="202"/>
        <v>10000</v>
      </c>
      <c r="Q1089">
        <f t="shared" si="195"/>
        <v>1.9963285312421887E-5</v>
      </c>
    </row>
    <row r="1090" spans="1:17" x14ac:dyDescent="0.15">
      <c r="A1090" s="10">
        <v>45904.555555555969</v>
      </c>
      <c r="B1090">
        <f>COUNT(A1090:$A$1158)/(48*252)</f>
        <v>5.704365079365079E-3</v>
      </c>
      <c r="C1090">
        <v>2.3180000000000001</v>
      </c>
      <c r="D1090">
        <v>0.11700000000000001</v>
      </c>
      <c r="E1090">
        <f t="shared" si="192"/>
        <v>5.2121907620067418</v>
      </c>
      <c r="F1090">
        <f t="shared" si="193"/>
        <v>-9.331174766202821E-8</v>
      </c>
      <c r="G1090">
        <f t="shared" si="196"/>
        <v>-9.9999999999988987E-4</v>
      </c>
      <c r="H1090">
        <f>IF(MOD(COUNTA($C$7:C1090)-1,$J$2),H1089,ROUND(F1090*P1090,-2))</f>
        <v>0</v>
      </c>
      <c r="I1090">
        <f t="shared" si="197"/>
        <v>0</v>
      </c>
      <c r="J1090">
        <f t="shared" si="198"/>
        <v>0</v>
      </c>
      <c r="K1090">
        <f t="shared" si="199"/>
        <v>206.84352009786903</v>
      </c>
      <c r="L1090">
        <f t="shared" si="200"/>
        <v>206.84352009786903</v>
      </c>
      <c r="M1090">
        <f t="shared" si="201"/>
        <v>0</v>
      </c>
      <c r="N1090">
        <f t="shared" si="203"/>
        <v>206.84352009786903</v>
      </c>
      <c r="O1090" s="5">
        <f t="shared" si="194"/>
        <v>1.7039767648042251E-9</v>
      </c>
      <c r="P1090">
        <f t="shared" si="202"/>
        <v>10000</v>
      </c>
      <c r="Q1090">
        <f t="shared" si="195"/>
        <v>1.703976764804225E-5</v>
      </c>
    </row>
    <row r="1091" spans="1:17" x14ac:dyDescent="0.15">
      <c r="A1091" s="10">
        <v>45904.559027777985</v>
      </c>
      <c r="B1091">
        <f>COUNT(A1091:$A$1158)/(48*252)</f>
        <v>5.6216931216931214E-3</v>
      </c>
      <c r="C1091">
        <v>2.3210000000000002</v>
      </c>
      <c r="D1091">
        <v>0.12</v>
      </c>
      <c r="E1091">
        <f t="shared" si="192"/>
        <v>5.2799642425298767</v>
      </c>
      <c r="F1091">
        <f t="shared" si="193"/>
        <v>-6.4604549931956967E-8</v>
      </c>
      <c r="G1091">
        <f t="shared" si="196"/>
        <v>3.0000000000001137E-3</v>
      </c>
      <c r="H1091">
        <f>IF(MOD(COUNTA($C$7:C1091)-1,$J$2),H1090,ROUND(F1091*P1091,-2))</f>
        <v>0</v>
      </c>
      <c r="I1091">
        <f t="shared" si="197"/>
        <v>0</v>
      </c>
      <c r="J1091">
        <f t="shared" si="198"/>
        <v>0</v>
      </c>
      <c r="K1091">
        <f t="shared" si="199"/>
        <v>206.84352009786903</v>
      </c>
      <c r="L1091">
        <f t="shared" si="200"/>
        <v>206.84352009786903</v>
      </c>
      <c r="M1091">
        <f t="shared" si="201"/>
        <v>0</v>
      </c>
      <c r="N1091">
        <f t="shared" si="203"/>
        <v>206.84352009786903</v>
      </c>
      <c r="O1091" s="5">
        <f t="shared" si="194"/>
        <v>1.1591868338374746E-9</v>
      </c>
      <c r="P1091">
        <f t="shared" si="202"/>
        <v>10000</v>
      </c>
      <c r="Q1091">
        <f t="shared" si="195"/>
        <v>1.1591868338374747E-5</v>
      </c>
    </row>
    <row r="1092" spans="1:17" x14ac:dyDescent="0.15">
      <c r="A1092" s="10">
        <v>45904.5625</v>
      </c>
      <c r="B1092">
        <f>COUNT(A1092:$A$1158)/(48*252)</f>
        <v>5.5390211640211637E-3</v>
      </c>
      <c r="C1092">
        <v>2.319</v>
      </c>
      <c r="D1092">
        <v>0.12</v>
      </c>
      <c r="E1092">
        <f t="shared" si="192"/>
        <v>5.2987236891009699</v>
      </c>
      <c r="F1092">
        <f t="shared" si="193"/>
        <v>-5.8307475181429425E-8</v>
      </c>
      <c r="G1092">
        <f t="shared" si="196"/>
        <v>-2.0000000000002238E-3</v>
      </c>
      <c r="H1092">
        <f>IF(MOD(COUNTA($C$7:C1092)-1,$J$2),H1091,ROUND(F1092*P1092,-2))</f>
        <v>0</v>
      </c>
      <c r="I1092">
        <f t="shared" si="197"/>
        <v>0</v>
      </c>
      <c r="J1092">
        <f t="shared" si="198"/>
        <v>0</v>
      </c>
      <c r="K1092">
        <f t="shared" si="199"/>
        <v>206.84352009786903</v>
      </c>
      <c r="L1092">
        <f t="shared" si="200"/>
        <v>206.84352009786903</v>
      </c>
      <c r="M1092">
        <f t="shared" si="201"/>
        <v>0</v>
      </c>
      <c r="N1092">
        <f t="shared" si="203"/>
        <v>206.84352009786903</v>
      </c>
      <c r="O1092" s="5">
        <f t="shared" si="194"/>
        <v>1.0342439321583713E-9</v>
      </c>
      <c r="P1092">
        <f t="shared" si="202"/>
        <v>10000</v>
      </c>
      <c r="Q1092">
        <f t="shared" si="195"/>
        <v>1.0342439321583713E-5</v>
      </c>
    </row>
    <row r="1093" spans="1:17" x14ac:dyDescent="0.15">
      <c r="A1093" s="10">
        <v>45904.565972222015</v>
      </c>
      <c r="B1093">
        <f>COUNT(A1093:$A$1158)/(48*252)</f>
        <v>5.456349206349206E-3</v>
      </c>
      <c r="C1093">
        <v>2.3210000000000002</v>
      </c>
      <c r="D1093">
        <v>0.11899999999999999</v>
      </c>
      <c r="E1093">
        <f t="shared" si="192"/>
        <v>5.3586056804850495</v>
      </c>
      <c r="F1093">
        <f t="shared" si="193"/>
        <v>-4.1933337135979798E-8</v>
      </c>
      <c r="G1093">
        <f t="shared" si="196"/>
        <v>2.0000000000002238E-3</v>
      </c>
      <c r="H1093">
        <f>IF(MOD(COUNTA($C$7:C1093)-1,$J$2),H1092,ROUND(F1093*P1093,-2))</f>
        <v>0</v>
      </c>
      <c r="I1093">
        <f t="shared" si="197"/>
        <v>0</v>
      </c>
      <c r="J1093">
        <f t="shared" si="198"/>
        <v>0</v>
      </c>
      <c r="K1093">
        <f t="shared" si="199"/>
        <v>206.84352009786903</v>
      </c>
      <c r="L1093">
        <f t="shared" si="200"/>
        <v>206.84352009786903</v>
      </c>
      <c r="M1093">
        <f t="shared" si="201"/>
        <v>0</v>
      </c>
      <c r="N1093">
        <f t="shared" si="203"/>
        <v>206.84352009786903</v>
      </c>
      <c r="O1093" s="5">
        <f t="shared" si="194"/>
        <v>7.3143656652871085E-10</v>
      </c>
      <c r="P1093">
        <f t="shared" si="202"/>
        <v>10000</v>
      </c>
      <c r="Q1093">
        <f t="shared" si="195"/>
        <v>7.3143656652871087E-6</v>
      </c>
    </row>
    <row r="1094" spans="1:17" x14ac:dyDescent="0.15">
      <c r="A1094" s="10">
        <v>45904.569444444962</v>
      </c>
      <c r="B1094">
        <f>COUNT(A1094:$A$1158)/(48*252)</f>
        <v>5.3736772486772484E-3</v>
      </c>
      <c r="C1094">
        <v>2.3220000000000001</v>
      </c>
      <c r="D1094">
        <v>0.11899999999999999</v>
      </c>
      <c r="E1094">
        <f t="shared" si="192"/>
        <v>5.4094918322401666</v>
      </c>
      <c r="F1094">
        <f t="shared" si="193"/>
        <v>-3.1601916528067875E-8</v>
      </c>
      <c r="G1094">
        <f t="shared" si="196"/>
        <v>9.9999999999988987E-4</v>
      </c>
      <c r="H1094">
        <f>IF(MOD(COUNTA($C$7:C1094)-1,$J$2),H1093,ROUND(F1094*P1094,-2))</f>
        <v>0</v>
      </c>
      <c r="I1094">
        <f t="shared" si="197"/>
        <v>0</v>
      </c>
      <c r="J1094">
        <f t="shared" si="198"/>
        <v>0</v>
      </c>
      <c r="K1094">
        <f t="shared" si="199"/>
        <v>206.84352009786903</v>
      </c>
      <c r="L1094">
        <f t="shared" si="200"/>
        <v>206.84352009786903</v>
      </c>
      <c r="M1094">
        <f t="shared" si="201"/>
        <v>0</v>
      </c>
      <c r="N1094">
        <f t="shared" si="203"/>
        <v>206.84352009786903</v>
      </c>
      <c r="O1094" s="5">
        <f t="shared" si="194"/>
        <v>5.4262390925012705E-10</v>
      </c>
      <c r="P1094">
        <f t="shared" si="202"/>
        <v>10000</v>
      </c>
      <c r="Q1094">
        <f t="shared" si="195"/>
        <v>5.4262390925012705E-6</v>
      </c>
    </row>
    <row r="1095" spans="1:17" x14ac:dyDescent="0.15">
      <c r="A1095" s="10">
        <v>45904.572916666977</v>
      </c>
      <c r="B1095">
        <f>COUNT(A1095:$A$1158)/(48*252)</f>
        <v>5.2910052910052907E-3</v>
      </c>
      <c r="C1095">
        <v>2.319</v>
      </c>
      <c r="D1095">
        <v>0.11799999999999999</v>
      </c>
      <c r="E1095">
        <f t="shared" si="192"/>
        <v>5.4203311671256493</v>
      </c>
      <c r="F1095">
        <f t="shared" si="193"/>
        <v>-2.9744365415140805E-8</v>
      </c>
      <c r="G1095">
        <f t="shared" si="196"/>
        <v>-3.0000000000001137E-3</v>
      </c>
      <c r="H1095">
        <f>IF(MOD(COUNTA($C$7:C1095)-1,$J$2),H1094,ROUND(F1095*P1095,-2))</f>
        <v>0</v>
      </c>
      <c r="I1095">
        <f t="shared" si="197"/>
        <v>0</v>
      </c>
      <c r="J1095">
        <f t="shared" si="198"/>
        <v>0</v>
      </c>
      <c r="K1095">
        <f t="shared" si="199"/>
        <v>206.84352009786903</v>
      </c>
      <c r="L1095">
        <f t="shared" si="200"/>
        <v>206.84352009786903</v>
      </c>
      <c r="M1095">
        <f t="shared" si="201"/>
        <v>0</v>
      </c>
      <c r="N1095">
        <f t="shared" si="203"/>
        <v>206.84352009786903</v>
      </c>
      <c r="O1095" s="5">
        <f t="shared" si="194"/>
        <v>5.051935814644962E-10</v>
      </c>
      <c r="P1095">
        <f t="shared" si="202"/>
        <v>10000</v>
      </c>
      <c r="Q1095">
        <f t="shared" si="195"/>
        <v>5.0519358146449618E-6</v>
      </c>
    </row>
    <row r="1096" spans="1:17" x14ac:dyDescent="0.15">
      <c r="A1096" s="10">
        <v>45904.576388888992</v>
      </c>
      <c r="B1096">
        <f>COUNT(A1096:$A$1158)/(48*252)</f>
        <v>5.208333333333333E-3</v>
      </c>
      <c r="C1096">
        <v>2.3149999999999999</v>
      </c>
      <c r="D1096">
        <v>0.11700000000000001</v>
      </c>
      <c r="E1096">
        <f t="shared" ref="E1096:E1158" si="204">(LN(C1096/$B$2)+($B$1+0.5*$D$1*$D$1)*B1096)/($D$1*SQRT(B1096))</f>
        <v>5.4212399474583561</v>
      </c>
      <c r="F1096">
        <f t="shared" ref="F1096:F1158" si="205">NORMSDIST(E1096)-1</f>
        <v>-2.9593525630033923E-8</v>
      </c>
      <c r="G1096">
        <f t="shared" si="196"/>
        <v>-4.0000000000000036E-3</v>
      </c>
      <c r="H1096">
        <f>IF(MOD(COUNTA($C$7:C1096)-1,$J$2),H1095,ROUND(F1096*P1096,-2))</f>
        <v>0</v>
      </c>
      <c r="I1096">
        <f t="shared" si="197"/>
        <v>0</v>
      </c>
      <c r="J1096">
        <f t="shared" si="198"/>
        <v>0</v>
      </c>
      <c r="K1096">
        <f t="shared" si="199"/>
        <v>206.84352009786903</v>
      </c>
      <c r="L1096">
        <f t="shared" si="200"/>
        <v>206.84352009786903</v>
      </c>
      <c r="M1096">
        <f t="shared" si="201"/>
        <v>0</v>
      </c>
      <c r="N1096">
        <f t="shared" si="203"/>
        <v>206.84352009786903</v>
      </c>
      <c r="O1096" s="5">
        <f t="shared" ref="O1096:O1158" si="206">put_bs($B$1,$J$1,C1096,$B$2,B1096)</f>
        <v>4.9772646863861445E-10</v>
      </c>
      <c r="P1096">
        <f t="shared" si="202"/>
        <v>10000</v>
      </c>
      <c r="Q1096">
        <f t="shared" ref="Q1096:Q1158" si="207">P1096*O1096</f>
        <v>4.9772646863861443E-6</v>
      </c>
    </row>
    <row r="1097" spans="1:17" x14ac:dyDescent="0.15">
      <c r="A1097" s="10">
        <v>45904.579861111008</v>
      </c>
      <c r="B1097">
        <f>COUNT(A1097:$A$1158)/(48*252)</f>
        <v>5.1256613756613754E-3</v>
      </c>
      <c r="C1097">
        <v>2.3159999999999998</v>
      </c>
      <c r="D1097">
        <v>0.11600000000000001</v>
      </c>
      <c r="E1097">
        <f t="shared" si="204"/>
        <v>5.4748701187336799</v>
      </c>
      <c r="F1097">
        <f t="shared" si="205"/>
        <v>-2.1891630952453056E-8</v>
      </c>
      <c r="G1097">
        <f t="shared" ref="G1097:G1158" si="208">C1097-C1096</f>
        <v>9.9999999999988987E-4</v>
      </c>
      <c r="H1097">
        <f>IF(MOD(COUNTA($C$7:C1097)-1,$J$2),H1096,ROUND(F1097*P1097,-2))</f>
        <v>0</v>
      </c>
      <c r="I1097">
        <f t="shared" ref="I1097:I1158" si="209">H1097-H1096</f>
        <v>0</v>
      </c>
      <c r="J1097">
        <f t="shared" ref="J1097:J1158" si="210">J1096</f>
        <v>0</v>
      </c>
      <c r="K1097">
        <f t="shared" ref="K1097:K1158" si="211">K1096-I1097*C1097-ABS(I1097*C1097*$F$2)</f>
        <v>206.84352009786903</v>
      </c>
      <c r="L1097">
        <f t="shared" ref="L1097:L1158" si="212">K1097+H1097*C1097</f>
        <v>206.84352009786903</v>
      </c>
      <c r="M1097">
        <f t="shared" ref="M1097:M1158" si="213">L1097-L1096</f>
        <v>0</v>
      </c>
      <c r="N1097">
        <f t="shared" si="203"/>
        <v>206.84352009786903</v>
      </c>
      <c r="O1097" s="5">
        <f t="shared" si="206"/>
        <v>3.6217668749299798E-10</v>
      </c>
      <c r="P1097">
        <f t="shared" ref="P1097:P1158" si="214">P1096</f>
        <v>10000</v>
      </c>
      <c r="Q1097">
        <f t="shared" si="207"/>
        <v>3.62176687492998E-6</v>
      </c>
    </row>
    <row r="1098" spans="1:17" x14ac:dyDescent="0.15">
      <c r="A1098" s="10">
        <v>45904.583333333023</v>
      </c>
      <c r="B1098">
        <f>COUNT(A1098:$A$1158)/(48*252)</f>
        <v>5.0429894179894177E-3</v>
      </c>
      <c r="C1098">
        <v>2.335</v>
      </c>
      <c r="D1098">
        <v>0.128</v>
      </c>
      <c r="E1098">
        <f t="shared" si="204"/>
        <v>5.7190120933911324</v>
      </c>
      <c r="F1098">
        <f t="shared" si="205"/>
        <v>-5.3572585256844718E-9</v>
      </c>
      <c r="G1098">
        <f t="shared" si="208"/>
        <v>1.9000000000000128E-2</v>
      </c>
      <c r="H1098">
        <f>IF(MOD(COUNTA($C$7:C1098)-1,$J$2),H1097,ROUND(F1098*P1098,-2))</f>
        <v>0</v>
      </c>
      <c r="I1098">
        <f t="shared" si="209"/>
        <v>0</v>
      </c>
      <c r="J1098">
        <f t="shared" si="210"/>
        <v>0</v>
      </c>
      <c r="K1098">
        <f t="shared" si="211"/>
        <v>206.84352009786903</v>
      </c>
      <c r="L1098">
        <f t="shared" si="212"/>
        <v>206.84352009786903</v>
      </c>
      <c r="M1098">
        <f t="shared" si="213"/>
        <v>0</v>
      </c>
      <c r="N1098">
        <f t="shared" ref="N1098:N1158" si="215">L1098-$F$1</f>
        <v>206.84352009786903</v>
      </c>
      <c r="O1098" s="5">
        <f t="shared" si="206"/>
        <v>8.5206797194383865E-11</v>
      </c>
      <c r="P1098">
        <f t="shared" si="214"/>
        <v>10000</v>
      </c>
      <c r="Q1098">
        <f t="shared" si="207"/>
        <v>8.5206797194383868E-7</v>
      </c>
    </row>
    <row r="1099" spans="1:17" x14ac:dyDescent="0.15">
      <c r="A1099" s="10">
        <v>45904.586805555969</v>
      </c>
      <c r="B1099">
        <f>COUNT(A1099:$A$1158)/(48*252)</f>
        <v>4.96031746031746E-3</v>
      </c>
      <c r="C1099">
        <v>2.3279999999999998</v>
      </c>
      <c r="D1099">
        <v>0.125</v>
      </c>
      <c r="E1099">
        <f t="shared" si="204"/>
        <v>5.6920281045126329</v>
      </c>
      <c r="F1099">
        <f t="shared" si="205"/>
        <v>-6.2769591746558717E-9</v>
      </c>
      <c r="G1099">
        <f t="shared" si="208"/>
        <v>-7.0000000000001172E-3</v>
      </c>
      <c r="H1099">
        <f>IF(MOD(COUNTA($C$7:C1099)-1,$J$2),H1098,ROUND(F1099*P1099,-2))</f>
        <v>0</v>
      </c>
      <c r="I1099">
        <f t="shared" si="209"/>
        <v>0</v>
      </c>
      <c r="J1099">
        <f t="shared" si="210"/>
        <v>0</v>
      </c>
      <c r="K1099">
        <f t="shared" si="211"/>
        <v>206.84352009786903</v>
      </c>
      <c r="L1099">
        <f t="shared" si="212"/>
        <v>206.84352009786903</v>
      </c>
      <c r="M1099">
        <f t="shared" si="213"/>
        <v>0</v>
      </c>
      <c r="N1099">
        <f t="shared" si="215"/>
        <v>206.84352009786903</v>
      </c>
      <c r="O1099" s="5">
        <f t="shared" si="206"/>
        <v>9.913444144959657E-11</v>
      </c>
      <c r="P1099">
        <f t="shared" si="214"/>
        <v>10000</v>
      </c>
      <c r="Q1099">
        <f t="shared" si="207"/>
        <v>9.9134441449596564E-7</v>
      </c>
    </row>
    <row r="1100" spans="1:17" x14ac:dyDescent="0.15">
      <c r="A1100" s="10">
        <v>45904.590277777985</v>
      </c>
      <c r="B1100">
        <f>COUNT(A1100:$A$1158)/(48*252)</f>
        <v>4.8776455026455024E-3</v>
      </c>
      <c r="C1100">
        <v>2.335</v>
      </c>
      <c r="D1100">
        <v>0.127</v>
      </c>
      <c r="E1100">
        <f t="shared" si="204"/>
        <v>5.8143318217855535</v>
      </c>
      <c r="F1100">
        <f t="shared" si="205"/>
        <v>-3.0438276343858206E-9</v>
      </c>
      <c r="G1100">
        <f t="shared" si="208"/>
        <v>7.0000000000001172E-3</v>
      </c>
      <c r="H1100">
        <f>IF(MOD(COUNTA($C$7:C1100)-1,$J$2),H1099,ROUND(F1100*P1100,-2))</f>
        <v>0</v>
      </c>
      <c r="I1100">
        <f t="shared" si="209"/>
        <v>0</v>
      </c>
      <c r="J1100">
        <f t="shared" si="210"/>
        <v>0</v>
      </c>
      <c r="K1100">
        <f t="shared" si="211"/>
        <v>206.84352009786903</v>
      </c>
      <c r="L1100">
        <f t="shared" si="212"/>
        <v>206.84352009786903</v>
      </c>
      <c r="M1100">
        <f t="shared" si="213"/>
        <v>0</v>
      </c>
      <c r="N1100">
        <f t="shared" si="215"/>
        <v>206.84352009786903</v>
      </c>
      <c r="O1100" s="5">
        <f t="shared" si="206"/>
        <v>4.6897582136172722E-11</v>
      </c>
      <c r="P1100">
        <f t="shared" si="214"/>
        <v>10000</v>
      </c>
      <c r="Q1100">
        <f t="shared" si="207"/>
        <v>4.6897582136172721E-7</v>
      </c>
    </row>
    <row r="1101" spans="1:17" x14ac:dyDescent="0.15">
      <c r="A1101" s="10">
        <v>45904.59375</v>
      </c>
      <c r="B1101">
        <f>COUNT(A1101:$A$1158)/(48*252)</f>
        <v>4.7949735449735447E-3</v>
      </c>
      <c r="C1101">
        <v>2.331</v>
      </c>
      <c r="D1101">
        <v>0.13</v>
      </c>
      <c r="E1101">
        <f t="shared" si="204"/>
        <v>5.8208273937587744</v>
      </c>
      <c r="F1101">
        <f t="shared" si="205"/>
        <v>-2.9278509616759152E-9</v>
      </c>
      <c r="G1101">
        <f t="shared" si="208"/>
        <v>-4.0000000000000036E-3</v>
      </c>
      <c r="H1101">
        <f>IF(MOD(COUNTA($C$7:C1101)-1,$J$2),H1100,ROUND(F1101*P1101,-2))</f>
        <v>0</v>
      </c>
      <c r="I1101">
        <f t="shared" si="209"/>
        <v>0</v>
      </c>
      <c r="J1101">
        <f t="shared" si="210"/>
        <v>0</v>
      </c>
      <c r="K1101">
        <f t="shared" si="211"/>
        <v>206.84352009786903</v>
      </c>
      <c r="L1101">
        <f t="shared" si="212"/>
        <v>206.84352009786903</v>
      </c>
      <c r="M1101">
        <f t="shared" si="213"/>
        <v>0</v>
      </c>
      <c r="N1101">
        <f t="shared" si="215"/>
        <v>206.84352009786903</v>
      </c>
      <c r="O1101" s="5">
        <f t="shared" si="206"/>
        <v>4.4602400479105876E-11</v>
      </c>
      <c r="P1101">
        <f t="shared" si="214"/>
        <v>10000</v>
      </c>
      <c r="Q1101">
        <f t="shared" si="207"/>
        <v>4.4602400479105877E-7</v>
      </c>
    </row>
    <row r="1102" spans="1:17" x14ac:dyDescent="0.15">
      <c r="A1102" s="10">
        <v>45904.597222222015</v>
      </c>
      <c r="B1102">
        <f>COUNT(A1102:$A$1158)/(48*252)</f>
        <v>4.712301587301587E-3</v>
      </c>
      <c r="C1102">
        <v>2.3439999999999999</v>
      </c>
      <c r="D1102">
        <v>0.14099999999999999</v>
      </c>
      <c r="E1102">
        <f t="shared" si="204"/>
        <v>6.0119811576971376</v>
      </c>
      <c r="F1102">
        <f t="shared" si="205"/>
        <v>-9.1634810850393933E-10</v>
      </c>
      <c r="G1102">
        <f t="shared" si="208"/>
        <v>1.2999999999999901E-2</v>
      </c>
      <c r="H1102">
        <f>IF(MOD(COUNTA($C$7:C1102)-1,$J$2),H1101,ROUND(F1102*P1102,-2))</f>
        <v>0</v>
      </c>
      <c r="I1102">
        <f t="shared" si="209"/>
        <v>0</v>
      </c>
      <c r="J1102">
        <f t="shared" si="210"/>
        <v>0</v>
      </c>
      <c r="K1102">
        <f t="shared" si="211"/>
        <v>206.84352009786903</v>
      </c>
      <c r="L1102">
        <f t="shared" si="212"/>
        <v>206.84352009786903</v>
      </c>
      <c r="M1102">
        <f t="shared" si="213"/>
        <v>0</v>
      </c>
      <c r="N1102">
        <f t="shared" si="215"/>
        <v>206.84352009786903</v>
      </c>
      <c r="O1102" s="5">
        <f t="shared" si="206"/>
        <v>1.3511252315747828E-11</v>
      </c>
      <c r="P1102">
        <f t="shared" si="214"/>
        <v>10000</v>
      </c>
      <c r="Q1102">
        <f t="shared" si="207"/>
        <v>1.3511252315747829E-7</v>
      </c>
    </row>
    <row r="1103" spans="1:17" x14ac:dyDescent="0.15">
      <c r="A1103" s="10">
        <v>45904.600694444962</v>
      </c>
      <c r="B1103">
        <f>COUNT(A1103:$A$1158)/(48*252)</f>
        <v>4.6296296296296294E-3</v>
      </c>
      <c r="C1103">
        <v>2.3380000000000001</v>
      </c>
      <c r="D1103">
        <v>0.13600000000000001</v>
      </c>
      <c r="E1103">
        <f t="shared" si="204"/>
        <v>5.9995795913530117</v>
      </c>
      <c r="F1103">
        <f t="shared" si="205"/>
        <v>-9.8914521018400592E-10</v>
      </c>
      <c r="G1103">
        <f t="shared" si="208"/>
        <v>-5.9999999999997833E-3</v>
      </c>
      <c r="H1103">
        <f>IF(MOD(COUNTA($C$7:C1103)-1,$J$2),H1102,ROUND(F1103*P1103,-2))</f>
        <v>0</v>
      </c>
      <c r="I1103">
        <f t="shared" si="209"/>
        <v>0</v>
      </c>
      <c r="J1103">
        <f t="shared" si="210"/>
        <v>0</v>
      </c>
      <c r="K1103">
        <f t="shared" si="211"/>
        <v>206.84352009786903</v>
      </c>
      <c r="L1103">
        <f t="shared" si="212"/>
        <v>206.84352009786903</v>
      </c>
      <c r="M1103">
        <f t="shared" si="213"/>
        <v>0</v>
      </c>
      <c r="N1103">
        <f t="shared" si="215"/>
        <v>206.84352009786903</v>
      </c>
      <c r="O1103" s="5">
        <f t="shared" si="206"/>
        <v>1.4445561704833054E-11</v>
      </c>
      <c r="P1103">
        <f t="shared" si="214"/>
        <v>10000</v>
      </c>
      <c r="Q1103">
        <f t="shared" si="207"/>
        <v>1.4445561704833053E-7</v>
      </c>
    </row>
    <row r="1104" spans="1:17" x14ac:dyDescent="0.15">
      <c r="A1104" s="10">
        <v>45904.604166666977</v>
      </c>
      <c r="B1104">
        <f>COUNT(A1104:$A$1158)/(48*252)</f>
        <v>4.5469576719576717E-3</v>
      </c>
      <c r="C1104">
        <v>2.335</v>
      </c>
      <c r="D1104">
        <v>0.13200000000000001</v>
      </c>
      <c r="E1104">
        <f t="shared" si="204"/>
        <v>6.0203844097047998</v>
      </c>
      <c r="F1104">
        <f t="shared" si="205"/>
        <v>-8.7001661430718968E-10</v>
      </c>
      <c r="G1104">
        <f t="shared" si="208"/>
        <v>-3.0000000000001137E-3</v>
      </c>
      <c r="H1104">
        <f>IF(MOD(COUNTA($C$7:C1104)-1,$J$2),H1103,ROUND(F1104*P1104,-2))</f>
        <v>0</v>
      </c>
      <c r="I1104">
        <f t="shared" si="209"/>
        <v>0</v>
      </c>
      <c r="J1104">
        <f t="shared" si="210"/>
        <v>0</v>
      </c>
      <c r="K1104">
        <f t="shared" si="211"/>
        <v>206.84352009786903</v>
      </c>
      <c r="L1104">
        <f t="shared" si="212"/>
        <v>206.84352009786903</v>
      </c>
      <c r="M1104">
        <f t="shared" si="213"/>
        <v>0</v>
      </c>
      <c r="N1104">
        <f t="shared" si="215"/>
        <v>206.84352009786903</v>
      </c>
      <c r="O1104" s="5">
        <f t="shared" si="206"/>
        <v>1.2535286597624107E-11</v>
      </c>
      <c r="P1104">
        <f t="shared" si="214"/>
        <v>10000</v>
      </c>
      <c r="Q1104">
        <f t="shared" si="207"/>
        <v>1.2535286597624106E-7</v>
      </c>
    </row>
    <row r="1105" spans="1:17" x14ac:dyDescent="0.15">
      <c r="A1105" s="10">
        <v>45904.607638888992</v>
      </c>
      <c r="B1105">
        <f>COUNT(A1105:$A$1158)/(48*252)</f>
        <v>4.464285714285714E-3</v>
      </c>
      <c r="C1105">
        <v>2.3420000000000001</v>
      </c>
      <c r="D1105">
        <v>0.13600000000000001</v>
      </c>
      <c r="E1105">
        <f t="shared" si="204"/>
        <v>6.1532704977502766</v>
      </c>
      <c r="F1105">
        <f t="shared" si="205"/>
        <v>-3.7950587117308032E-10</v>
      </c>
      <c r="G1105">
        <f t="shared" si="208"/>
        <v>7.0000000000001172E-3</v>
      </c>
      <c r="H1105">
        <f>IF(MOD(COUNTA($C$7:C1105)-1,$J$2),H1104,ROUND(F1105*P1105,-2))</f>
        <v>0</v>
      </c>
      <c r="I1105">
        <f t="shared" si="209"/>
        <v>0</v>
      </c>
      <c r="J1105">
        <f t="shared" si="210"/>
        <v>0</v>
      </c>
      <c r="K1105">
        <f t="shared" si="211"/>
        <v>206.84352009786903</v>
      </c>
      <c r="L1105">
        <f t="shared" si="212"/>
        <v>206.84352009786903</v>
      </c>
      <c r="M1105">
        <f t="shared" si="213"/>
        <v>0</v>
      </c>
      <c r="N1105">
        <f t="shared" si="215"/>
        <v>206.84352009786903</v>
      </c>
      <c r="O1105" s="5">
        <f t="shared" si="206"/>
        <v>5.3264326643696813E-12</v>
      </c>
      <c r="P1105">
        <f t="shared" si="214"/>
        <v>10000</v>
      </c>
      <c r="Q1105">
        <f t="shared" si="207"/>
        <v>5.326432664369681E-8</v>
      </c>
    </row>
    <row r="1106" spans="1:17" x14ac:dyDescent="0.15">
      <c r="A1106" s="10">
        <v>45904.611111111008</v>
      </c>
      <c r="B1106">
        <f>COUNT(A1106:$A$1158)/(48*252)</f>
        <v>4.3816137566137564E-3</v>
      </c>
      <c r="C1106">
        <v>2.3490000000000002</v>
      </c>
      <c r="D1106">
        <v>0.14299999999999999</v>
      </c>
      <c r="E1106">
        <f t="shared" si="204"/>
        <v>6.288938782759196</v>
      </c>
      <c r="F1106">
        <f t="shared" si="205"/>
        <v>-1.5982171142070456E-10</v>
      </c>
      <c r="G1106">
        <f t="shared" si="208"/>
        <v>7.0000000000001172E-3</v>
      </c>
      <c r="H1106">
        <f>IF(MOD(COUNTA($C$7:C1106)-1,$J$2),H1105,ROUND(F1106*P1106,-2))</f>
        <v>0</v>
      </c>
      <c r="I1106">
        <f t="shared" si="209"/>
        <v>0</v>
      </c>
      <c r="J1106">
        <f t="shared" si="210"/>
        <v>0</v>
      </c>
      <c r="K1106">
        <f t="shared" si="211"/>
        <v>206.84352009786903</v>
      </c>
      <c r="L1106">
        <f t="shared" si="212"/>
        <v>206.84352009786903</v>
      </c>
      <c r="M1106">
        <f t="shared" si="213"/>
        <v>0</v>
      </c>
      <c r="N1106">
        <f t="shared" si="215"/>
        <v>206.84352009786903</v>
      </c>
      <c r="O1106" s="5">
        <f t="shared" si="206"/>
        <v>2.1845745516074624E-12</v>
      </c>
      <c r="P1106">
        <f t="shared" si="214"/>
        <v>10000</v>
      </c>
      <c r="Q1106">
        <f t="shared" si="207"/>
        <v>2.1845745516074623E-8</v>
      </c>
    </row>
    <row r="1107" spans="1:17" x14ac:dyDescent="0.15">
      <c r="A1107" s="10">
        <v>45904.614583333023</v>
      </c>
      <c r="B1107">
        <f>COUNT(A1107:$A$1158)/(48*252)</f>
        <v>4.2989417989417987E-3</v>
      </c>
      <c r="C1107">
        <v>2.3479999999999999</v>
      </c>
      <c r="D1107">
        <v>0.14499999999999999</v>
      </c>
      <c r="E1107">
        <f t="shared" si="204"/>
        <v>6.3374123268700986</v>
      </c>
      <c r="F1107">
        <f t="shared" si="205"/>
        <v>-1.1682799172518799E-10</v>
      </c>
      <c r="G1107">
        <f t="shared" si="208"/>
        <v>-1.000000000000334E-3</v>
      </c>
      <c r="H1107">
        <f>IF(MOD(COUNTA($C$7:C1107)-1,$J$2),H1106,ROUND(F1107*P1107,-2))</f>
        <v>0</v>
      </c>
      <c r="I1107">
        <f t="shared" si="209"/>
        <v>0</v>
      </c>
      <c r="J1107">
        <f t="shared" si="210"/>
        <v>0</v>
      </c>
      <c r="K1107">
        <f t="shared" si="211"/>
        <v>206.84352009786903</v>
      </c>
      <c r="L1107">
        <f t="shared" si="212"/>
        <v>206.84352009786903</v>
      </c>
      <c r="M1107">
        <f t="shared" si="213"/>
        <v>0</v>
      </c>
      <c r="N1107">
        <f t="shared" si="215"/>
        <v>206.84352009786903</v>
      </c>
      <c r="O1107" s="5">
        <f t="shared" si="206"/>
        <v>1.5698694772153033E-12</v>
      </c>
      <c r="P1107">
        <f t="shared" si="214"/>
        <v>10000</v>
      </c>
      <c r="Q1107">
        <f t="shared" si="207"/>
        <v>1.5698694772153033E-8</v>
      </c>
    </row>
    <row r="1108" spans="1:17" x14ac:dyDescent="0.15">
      <c r="A1108" s="10">
        <v>45904.618055555969</v>
      </c>
      <c r="B1108">
        <f>COUNT(A1108:$A$1158)/(48*252)</f>
        <v>4.216269841269841E-3</v>
      </c>
      <c r="C1108">
        <v>2.3519999999999999</v>
      </c>
      <c r="D1108">
        <v>0.14299999999999999</v>
      </c>
      <c r="E1108">
        <f t="shared" si="204"/>
        <v>6.4443421173693149</v>
      </c>
      <c r="F1108">
        <f t="shared" si="205"/>
        <v>-5.8051452533902648E-11</v>
      </c>
      <c r="G1108">
        <f t="shared" si="208"/>
        <v>4.0000000000000036E-3</v>
      </c>
      <c r="H1108">
        <f>IF(MOD(COUNTA($C$7:C1108)-1,$J$2),H1107,ROUND(F1108*P1108,-2))</f>
        <v>0</v>
      </c>
      <c r="I1108">
        <f t="shared" si="209"/>
        <v>0</v>
      </c>
      <c r="J1108">
        <f t="shared" si="210"/>
        <v>0</v>
      </c>
      <c r="K1108">
        <f t="shared" si="211"/>
        <v>206.84352009786903</v>
      </c>
      <c r="L1108">
        <f t="shared" si="212"/>
        <v>206.84352009786903</v>
      </c>
      <c r="M1108">
        <f t="shared" si="213"/>
        <v>0</v>
      </c>
      <c r="N1108">
        <f t="shared" si="215"/>
        <v>206.84352009786903</v>
      </c>
      <c r="O1108" s="5">
        <f t="shared" si="206"/>
        <v>7.619508042527755E-13</v>
      </c>
      <c r="P1108">
        <f t="shared" si="214"/>
        <v>10000</v>
      </c>
      <c r="Q1108">
        <f t="shared" si="207"/>
        <v>7.6195080425277542E-9</v>
      </c>
    </row>
    <row r="1109" spans="1:17" x14ac:dyDescent="0.15">
      <c r="A1109" s="10">
        <v>45904.621527777985</v>
      </c>
      <c r="B1109">
        <f>COUNT(A1109:$A$1158)/(48*252)</f>
        <v>4.1335978835978834E-3</v>
      </c>
      <c r="C1109">
        <v>2.3490000000000002</v>
      </c>
      <c r="D1109">
        <v>0.14399999999999999</v>
      </c>
      <c r="E1109">
        <f t="shared" si="204"/>
        <v>6.4735473261435352</v>
      </c>
      <c r="F1109">
        <f t="shared" si="205"/>
        <v>-4.7864157082244674E-11</v>
      </c>
      <c r="G1109">
        <f t="shared" si="208"/>
        <v>-2.9999999999996696E-3</v>
      </c>
      <c r="H1109">
        <f>IF(MOD(COUNTA($C$7:C1109)-1,$J$2),H1108,ROUND(F1109*P1109,-2))</f>
        <v>0</v>
      </c>
      <c r="I1109">
        <f t="shared" si="209"/>
        <v>0</v>
      </c>
      <c r="J1109">
        <f t="shared" si="210"/>
        <v>0</v>
      </c>
      <c r="K1109">
        <f t="shared" si="211"/>
        <v>206.84352009786903</v>
      </c>
      <c r="L1109">
        <f t="shared" si="212"/>
        <v>206.84352009786903</v>
      </c>
      <c r="M1109">
        <f t="shared" si="213"/>
        <v>0</v>
      </c>
      <c r="N1109">
        <f t="shared" si="215"/>
        <v>206.84352009786903</v>
      </c>
      <c r="O1109" s="5">
        <f t="shared" si="206"/>
        <v>6.1863287599370908E-13</v>
      </c>
      <c r="P1109">
        <f t="shared" si="214"/>
        <v>10000</v>
      </c>
      <c r="Q1109">
        <f t="shared" si="207"/>
        <v>6.1863287599370908E-9</v>
      </c>
    </row>
    <row r="1110" spans="1:17" x14ac:dyDescent="0.15">
      <c r="A1110" s="10">
        <v>45904.625</v>
      </c>
      <c r="B1110">
        <f>COUNT(A1110:$A$1158)/(48*252)</f>
        <v>4.0509259259259257E-3</v>
      </c>
      <c r="C1110">
        <v>2.3479999999999999</v>
      </c>
      <c r="D1110">
        <v>0.14599999999999999</v>
      </c>
      <c r="E1110">
        <f t="shared" si="204"/>
        <v>6.5272081282302494</v>
      </c>
      <c r="F1110">
        <f t="shared" si="205"/>
        <v>-3.3503422258718274E-11</v>
      </c>
      <c r="G1110">
        <f t="shared" si="208"/>
        <v>-1.000000000000334E-3</v>
      </c>
      <c r="H1110">
        <f>IF(MOD(COUNTA($C$7:C1110)-1,$J$2),H1109,ROUND(F1110*P1110,-2))</f>
        <v>0</v>
      </c>
      <c r="I1110">
        <f t="shared" si="209"/>
        <v>0</v>
      </c>
      <c r="J1110">
        <f t="shared" si="210"/>
        <v>0</v>
      </c>
      <c r="K1110">
        <f t="shared" si="211"/>
        <v>206.84352009786903</v>
      </c>
      <c r="L1110">
        <f t="shared" si="212"/>
        <v>206.84352009786903</v>
      </c>
      <c r="M1110">
        <f t="shared" si="213"/>
        <v>0</v>
      </c>
      <c r="N1110">
        <f t="shared" si="215"/>
        <v>206.84352009786903</v>
      </c>
      <c r="O1110" s="5">
        <f t="shared" si="206"/>
        <v>4.2520847730935205E-13</v>
      </c>
      <c r="P1110">
        <f t="shared" si="214"/>
        <v>10000</v>
      </c>
      <c r="Q1110">
        <f t="shared" si="207"/>
        <v>4.2520847730935207E-9</v>
      </c>
    </row>
    <row r="1111" spans="1:17" x14ac:dyDescent="0.15">
      <c r="A1111" s="10">
        <v>45905.399305555969</v>
      </c>
      <c r="B1111">
        <f>COUNT(A1111:$A$1158)/(48*252)</f>
        <v>3.968253968253968E-3</v>
      </c>
      <c r="C1111">
        <v>2.335</v>
      </c>
      <c r="D1111">
        <v>0.13300000000000001</v>
      </c>
      <c r="E1111">
        <f t="shared" si="204"/>
        <v>6.4413133636714317</v>
      </c>
      <c r="F1111">
        <f t="shared" si="205"/>
        <v>-5.9222071691067413E-11</v>
      </c>
      <c r="G1111">
        <f t="shared" si="208"/>
        <v>-1.2999999999999901E-2</v>
      </c>
      <c r="H1111">
        <f>IF(MOD(COUNTA($C$7:C1111)-1,$J$2),H1110,ROUND(F1111*P1111,-2))</f>
        <v>0</v>
      </c>
      <c r="I1111">
        <f t="shared" si="209"/>
        <v>0</v>
      </c>
      <c r="J1111">
        <f t="shared" si="210"/>
        <v>0</v>
      </c>
      <c r="K1111">
        <f t="shared" si="211"/>
        <v>206.84352009786903</v>
      </c>
      <c r="L1111">
        <f t="shared" si="212"/>
        <v>206.84352009786903</v>
      </c>
      <c r="M1111">
        <f t="shared" si="213"/>
        <v>0</v>
      </c>
      <c r="N1111">
        <f t="shared" si="215"/>
        <v>206.84352009786903</v>
      </c>
      <c r="O1111" s="5">
        <f t="shared" si="206"/>
        <v>7.4885833128360961E-13</v>
      </c>
      <c r="P1111">
        <f t="shared" si="214"/>
        <v>10000</v>
      </c>
      <c r="Q1111">
        <f t="shared" si="207"/>
        <v>7.4885833128360957E-9</v>
      </c>
    </row>
    <row r="1112" spans="1:17" x14ac:dyDescent="0.15">
      <c r="A1112" s="10">
        <v>45905.402777777985</v>
      </c>
      <c r="B1112">
        <f>COUNT(A1112:$A$1158)/(48*252)</f>
        <v>3.8855820105820104E-3</v>
      </c>
      <c r="C1112">
        <v>2.3359999999999999</v>
      </c>
      <c r="D1112">
        <v>0.13700000000000001</v>
      </c>
      <c r="E1112">
        <f t="shared" si="204"/>
        <v>6.5209577307072832</v>
      </c>
      <c r="F1112">
        <f t="shared" si="205"/>
        <v>-3.4929947823059138E-11</v>
      </c>
      <c r="G1112">
        <f t="shared" si="208"/>
        <v>9.9999999999988987E-4</v>
      </c>
      <c r="H1112">
        <f>IF(MOD(COUNTA($C$7:C1112)-1,$J$2),H1111,ROUND(F1112*P1112,-2))</f>
        <v>0</v>
      </c>
      <c r="I1112">
        <f t="shared" si="209"/>
        <v>0</v>
      </c>
      <c r="J1112">
        <f t="shared" si="210"/>
        <v>0</v>
      </c>
      <c r="K1112">
        <f t="shared" si="211"/>
        <v>206.84352009786903</v>
      </c>
      <c r="L1112">
        <f t="shared" si="212"/>
        <v>206.84352009786903</v>
      </c>
      <c r="M1112">
        <f t="shared" si="213"/>
        <v>0</v>
      </c>
      <c r="N1112">
        <f t="shared" si="215"/>
        <v>206.84352009786903</v>
      </c>
      <c r="O1112" s="5">
        <f t="shared" si="206"/>
        <v>4.3228794016196898E-13</v>
      </c>
      <c r="P1112">
        <f t="shared" si="214"/>
        <v>10000</v>
      </c>
      <c r="Q1112">
        <f t="shared" si="207"/>
        <v>4.3228794016196896E-9</v>
      </c>
    </row>
    <row r="1113" spans="1:17" x14ac:dyDescent="0.15">
      <c r="A1113" s="10">
        <v>45905.40625</v>
      </c>
      <c r="B1113">
        <f>COUNT(A1113:$A$1158)/(48*252)</f>
        <v>3.8029100529100527E-3</v>
      </c>
      <c r="C1113">
        <v>2.3340000000000001</v>
      </c>
      <c r="D1113">
        <v>0.13500000000000001</v>
      </c>
      <c r="E1113">
        <f t="shared" si="204"/>
        <v>6.5668751026292744</v>
      </c>
      <c r="F1113">
        <f t="shared" si="205"/>
        <v>-2.5691004879035972E-11</v>
      </c>
      <c r="G1113">
        <f t="shared" si="208"/>
        <v>-1.9999999999997797E-3</v>
      </c>
      <c r="H1113">
        <f>IF(MOD(COUNTA($C$7:C1113)-1,$J$2),H1112,ROUND(F1113*P1113,-2))</f>
        <v>0</v>
      </c>
      <c r="I1113">
        <f t="shared" si="209"/>
        <v>0</v>
      </c>
      <c r="J1113">
        <f t="shared" si="210"/>
        <v>0</v>
      </c>
      <c r="K1113">
        <f t="shared" si="211"/>
        <v>206.84352009786903</v>
      </c>
      <c r="L1113">
        <f t="shared" si="212"/>
        <v>206.84352009786903</v>
      </c>
      <c r="M1113">
        <f t="shared" si="213"/>
        <v>0</v>
      </c>
      <c r="N1113">
        <f t="shared" si="215"/>
        <v>206.84352009786903</v>
      </c>
      <c r="O1113" s="5">
        <f t="shared" si="206"/>
        <v>3.1222784617307651E-13</v>
      </c>
      <c r="P1113">
        <f t="shared" si="214"/>
        <v>10000</v>
      </c>
      <c r="Q1113">
        <f t="shared" si="207"/>
        <v>3.1222784617307653E-9</v>
      </c>
    </row>
    <row r="1114" spans="1:17" x14ac:dyDescent="0.15">
      <c r="A1114" s="10">
        <v>45905.409722222015</v>
      </c>
      <c r="B1114">
        <f>COUNT(A1114:$A$1158)/(48*252)</f>
        <v>3.720238095238095E-3</v>
      </c>
      <c r="C1114">
        <v>2.331</v>
      </c>
      <c r="D1114">
        <v>0.13400000000000001</v>
      </c>
      <c r="E1114">
        <f t="shared" si="204"/>
        <v>6.6023509227533506</v>
      </c>
      <c r="F1114">
        <f t="shared" si="205"/>
        <v>-2.0234369735305791E-11</v>
      </c>
      <c r="G1114">
        <f t="shared" si="208"/>
        <v>-3.0000000000001137E-3</v>
      </c>
      <c r="H1114">
        <f>IF(MOD(COUNTA($C$7:C1114)-1,$J$2),H1113,ROUND(F1114*P1114,-2))</f>
        <v>0</v>
      </c>
      <c r="I1114">
        <f t="shared" si="209"/>
        <v>0</v>
      </c>
      <c r="J1114">
        <f t="shared" si="210"/>
        <v>0</v>
      </c>
      <c r="K1114">
        <f t="shared" si="211"/>
        <v>206.84352009786903</v>
      </c>
      <c r="L1114">
        <f t="shared" si="212"/>
        <v>206.84352009786903</v>
      </c>
      <c r="M1114">
        <f t="shared" si="213"/>
        <v>0</v>
      </c>
      <c r="N1114">
        <f t="shared" si="215"/>
        <v>206.84352009786903</v>
      </c>
      <c r="O1114" s="5">
        <f t="shared" si="206"/>
        <v>2.416896486682733E-13</v>
      </c>
      <c r="P1114">
        <f t="shared" si="214"/>
        <v>10000</v>
      </c>
      <c r="Q1114">
        <f t="shared" si="207"/>
        <v>2.4168964866827329E-9</v>
      </c>
    </row>
    <row r="1115" spans="1:17" x14ac:dyDescent="0.15">
      <c r="A1115" s="10">
        <v>45905.413194444962</v>
      </c>
      <c r="B1115">
        <f>COUNT(A1115:$A$1158)/(48*252)</f>
        <v>3.6375661375661374E-3</v>
      </c>
      <c r="C1115">
        <v>2.331</v>
      </c>
      <c r="D1115">
        <v>0.13200000000000001</v>
      </c>
      <c r="E1115">
        <f t="shared" si="204"/>
        <v>6.6764901252750191</v>
      </c>
      <c r="F1115">
        <f t="shared" si="205"/>
        <v>-1.223665613281355E-11</v>
      </c>
      <c r="G1115">
        <f t="shared" si="208"/>
        <v>0</v>
      </c>
      <c r="H1115">
        <f>IF(MOD(COUNTA($C$7:C1115)-1,$J$2),H1114,ROUND(F1115*P1115,-2))</f>
        <v>0</v>
      </c>
      <c r="I1115">
        <f t="shared" si="209"/>
        <v>0</v>
      </c>
      <c r="J1115">
        <f t="shared" si="210"/>
        <v>0</v>
      </c>
      <c r="K1115">
        <f t="shared" si="211"/>
        <v>206.84352009786903</v>
      </c>
      <c r="L1115">
        <f t="shared" si="212"/>
        <v>206.84352009786903</v>
      </c>
      <c r="M1115">
        <f t="shared" si="213"/>
        <v>0</v>
      </c>
      <c r="N1115">
        <f t="shared" si="215"/>
        <v>206.84352009786903</v>
      </c>
      <c r="O1115" s="5">
        <f t="shared" si="206"/>
        <v>1.4303070675369751E-13</v>
      </c>
      <c r="P1115">
        <f t="shared" si="214"/>
        <v>10000</v>
      </c>
      <c r="Q1115">
        <f t="shared" si="207"/>
        <v>1.4303070675369752E-9</v>
      </c>
    </row>
    <row r="1116" spans="1:17" x14ac:dyDescent="0.15">
      <c r="A1116" s="10">
        <v>45905.416666666977</v>
      </c>
      <c r="B1116">
        <f>COUNT(A1116:$A$1158)/(48*252)</f>
        <v>3.5548941798941797E-3</v>
      </c>
      <c r="C1116">
        <v>2.3330000000000002</v>
      </c>
      <c r="D1116">
        <v>0.13200000000000001</v>
      </c>
      <c r="E1116">
        <f t="shared" si="204"/>
        <v>6.7781914267114178</v>
      </c>
      <c r="F1116">
        <f t="shared" si="205"/>
        <v>-6.0844662641557079E-12</v>
      </c>
      <c r="G1116">
        <f t="shared" si="208"/>
        <v>2.0000000000002238E-3</v>
      </c>
      <c r="H1116">
        <f>IF(MOD(COUNTA($C$7:C1116)-1,$J$2),H1115,ROUND(F1116*P1116,-2))</f>
        <v>0</v>
      </c>
      <c r="I1116">
        <f t="shared" si="209"/>
        <v>0</v>
      </c>
      <c r="J1116">
        <f t="shared" si="210"/>
        <v>0</v>
      </c>
      <c r="K1116">
        <f t="shared" si="211"/>
        <v>206.84352009786903</v>
      </c>
      <c r="L1116">
        <f t="shared" si="212"/>
        <v>206.84352009786903</v>
      </c>
      <c r="M1116">
        <f t="shared" si="213"/>
        <v>0</v>
      </c>
      <c r="N1116">
        <f t="shared" si="215"/>
        <v>206.84352009786903</v>
      </c>
      <c r="O1116" s="5">
        <f t="shared" si="206"/>
        <v>6.938243314273287E-14</v>
      </c>
      <c r="P1116">
        <f t="shared" si="214"/>
        <v>10000</v>
      </c>
      <c r="Q1116">
        <f t="shared" si="207"/>
        <v>6.9382433142732873E-10</v>
      </c>
    </row>
    <row r="1117" spans="1:17" x14ac:dyDescent="0.15">
      <c r="A1117" s="10">
        <v>45905.420138888992</v>
      </c>
      <c r="B1117">
        <f>COUNT(A1117:$A$1158)/(48*252)</f>
        <v>3.472222222222222E-3</v>
      </c>
      <c r="C1117">
        <v>2.3359999999999999</v>
      </c>
      <c r="D1117">
        <v>0.13500000000000001</v>
      </c>
      <c r="E1117">
        <f t="shared" si="204"/>
        <v>6.8958133718033974</v>
      </c>
      <c r="F1117">
        <f t="shared" si="205"/>
        <v>-2.6778579353958776E-12</v>
      </c>
      <c r="G1117">
        <f t="shared" si="208"/>
        <v>2.9999999999996696E-3</v>
      </c>
      <c r="H1117">
        <f>IF(MOD(COUNTA($C$7:C1117)-1,$J$2),H1116,ROUND(F1117*P1117,-2))</f>
        <v>0</v>
      </c>
      <c r="I1117">
        <f t="shared" si="209"/>
        <v>0</v>
      </c>
      <c r="J1117">
        <f t="shared" si="210"/>
        <v>0</v>
      </c>
      <c r="K1117">
        <f t="shared" si="211"/>
        <v>206.84352009786903</v>
      </c>
      <c r="L1117">
        <f t="shared" si="212"/>
        <v>206.84352009786903</v>
      </c>
      <c r="M1117">
        <f t="shared" si="213"/>
        <v>0</v>
      </c>
      <c r="N1117">
        <f t="shared" si="215"/>
        <v>206.84352009786903</v>
      </c>
      <c r="O1117" s="5">
        <f t="shared" si="206"/>
        <v>2.9736302788380727E-14</v>
      </c>
      <c r="P1117">
        <f t="shared" si="214"/>
        <v>10000</v>
      </c>
      <c r="Q1117">
        <f t="shared" si="207"/>
        <v>2.9736302788380724E-10</v>
      </c>
    </row>
    <row r="1118" spans="1:17" x14ac:dyDescent="0.15">
      <c r="A1118" s="10">
        <v>45905.423611111008</v>
      </c>
      <c r="B1118">
        <f>COUNT(A1118:$A$1158)/(48*252)</f>
        <v>3.3895502645502644E-3</v>
      </c>
      <c r="C1118">
        <v>2.3340000000000001</v>
      </c>
      <c r="D1118">
        <v>0.13700000000000001</v>
      </c>
      <c r="E1118">
        <f t="shared" si="204"/>
        <v>6.9533647567611387</v>
      </c>
      <c r="F1118">
        <f t="shared" si="205"/>
        <v>-1.783351244455389E-12</v>
      </c>
      <c r="G1118">
        <f t="shared" si="208"/>
        <v>-1.9999999999997797E-3</v>
      </c>
      <c r="H1118">
        <f>IF(MOD(COUNTA($C$7:C1118)-1,$J$2),H1117,ROUND(F1118*P1118,-2))</f>
        <v>0</v>
      </c>
      <c r="I1118">
        <f t="shared" si="209"/>
        <v>0</v>
      </c>
      <c r="J1118">
        <f t="shared" si="210"/>
        <v>0</v>
      </c>
      <c r="K1118">
        <f t="shared" si="211"/>
        <v>206.84352009786903</v>
      </c>
      <c r="L1118">
        <f t="shared" si="212"/>
        <v>206.84352009786903</v>
      </c>
      <c r="M1118">
        <f t="shared" si="213"/>
        <v>0</v>
      </c>
      <c r="N1118">
        <f t="shared" si="215"/>
        <v>206.84352009786903</v>
      </c>
      <c r="O1118" s="5">
        <f t="shared" si="206"/>
        <v>1.9397501262434194E-14</v>
      </c>
      <c r="P1118">
        <f t="shared" si="214"/>
        <v>10000</v>
      </c>
      <c r="Q1118">
        <f t="shared" si="207"/>
        <v>1.9397501262434194E-10</v>
      </c>
    </row>
    <row r="1119" spans="1:17" x14ac:dyDescent="0.15">
      <c r="A1119" s="10">
        <v>45905.427083333023</v>
      </c>
      <c r="B1119">
        <f>COUNT(A1119:$A$1158)/(48*252)</f>
        <v>3.3068783068783067E-3</v>
      </c>
      <c r="C1119">
        <v>2.3319999999999999</v>
      </c>
      <c r="D1119">
        <v>0.13200000000000001</v>
      </c>
      <c r="E1119">
        <f t="shared" si="204"/>
        <v>7.0133623510557772</v>
      </c>
      <c r="F1119">
        <f t="shared" si="205"/>
        <v>-1.163291685202239E-12</v>
      </c>
      <c r="G1119">
        <f t="shared" si="208"/>
        <v>-2.0000000000002238E-3</v>
      </c>
      <c r="H1119">
        <f>IF(MOD(COUNTA($C$7:C1119)-1,$J$2),H1118,ROUND(F1119*P1119,-2))</f>
        <v>0</v>
      </c>
      <c r="I1119">
        <f t="shared" si="209"/>
        <v>0</v>
      </c>
      <c r="J1119">
        <f t="shared" si="210"/>
        <v>0</v>
      </c>
      <c r="K1119">
        <f t="shared" si="211"/>
        <v>206.84352009786903</v>
      </c>
      <c r="L1119">
        <f t="shared" si="212"/>
        <v>206.84352009786903</v>
      </c>
      <c r="M1119">
        <f t="shared" si="213"/>
        <v>0</v>
      </c>
      <c r="N1119">
        <f t="shared" si="215"/>
        <v>206.84352009786903</v>
      </c>
      <c r="O1119" s="5">
        <f t="shared" si="206"/>
        <v>1.2386555500919638E-14</v>
      </c>
      <c r="P1119">
        <f t="shared" si="214"/>
        <v>10000</v>
      </c>
      <c r="Q1119">
        <f t="shared" si="207"/>
        <v>1.2386555500919639E-10</v>
      </c>
    </row>
    <row r="1120" spans="1:17" x14ac:dyDescent="0.15">
      <c r="A1120" s="10">
        <v>45905.430555555969</v>
      </c>
      <c r="B1120">
        <f>COUNT(A1120:$A$1158)/(48*252)</f>
        <v>3.224206349206349E-3</v>
      </c>
      <c r="C1120">
        <v>2.335</v>
      </c>
      <c r="D1120">
        <v>0.13200000000000001</v>
      </c>
      <c r="E1120">
        <f t="shared" si="204"/>
        <v>7.1415408248252747</v>
      </c>
      <c r="F1120">
        <f t="shared" si="205"/>
        <v>-4.6140868903421506E-13</v>
      </c>
      <c r="G1120">
        <f t="shared" si="208"/>
        <v>3.0000000000001137E-3</v>
      </c>
      <c r="H1120">
        <f>IF(MOD(COUNTA($C$7:C1120)-1,$J$2),H1119,ROUND(F1120*P1120,-2))</f>
        <v>0</v>
      </c>
      <c r="I1120">
        <f t="shared" si="209"/>
        <v>0</v>
      </c>
      <c r="J1120">
        <f t="shared" si="210"/>
        <v>0</v>
      </c>
      <c r="K1120">
        <f t="shared" si="211"/>
        <v>206.84352009786903</v>
      </c>
      <c r="L1120">
        <f t="shared" si="212"/>
        <v>206.84352009786903</v>
      </c>
      <c r="M1120">
        <f t="shared" si="213"/>
        <v>0</v>
      </c>
      <c r="N1120">
        <f t="shared" si="215"/>
        <v>206.84352009786903</v>
      </c>
      <c r="O1120" s="5">
        <f t="shared" si="206"/>
        <v>4.776105305168172E-15</v>
      </c>
      <c r="P1120">
        <f t="shared" si="214"/>
        <v>10000</v>
      </c>
      <c r="Q1120">
        <f t="shared" si="207"/>
        <v>4.776105305168172E-11</v>
      </c>
    </row>
    <row r="1121" spans="1:17" x14ac:dyDescent="0.15">
      <c r="A1121" s="10">
        <v>45905.434027777985</v>
      </c>
      <c r="B1121">
        <f>COUNT(A1121:$A$1158)/(48*252)</f>
        <v>3.1415343915343914E-3</v>
      </c>
      <c r="C1121">
        <v>2.3380000000000001</v>
      </c>
      <c r="D1121">
        <v>0.13500000000000001</v>
      </c>
      <c r="E1121">
        <f t="shared" si="204"/>
        <v>7.2741874208431847</v>
      </c>
      <c r="F1121">
        <f t="shared" si="205"/>
        <v>-1.7430501486614958E-13</v>
      </c>
      <c r="G1121">
        <f t="shared" si="208"/>
        <v>3.0000000000001137E-3</v>
      </c>
      <c r="H1121">
        <f>IF(MOD(COUNTA($C$7:C1121)-1,$J$2),H1120,ROUND(F1121*P1121,-2))</f>
        <v>0</v>
      </c>
      <c r="I1121">
        <f t="shared" si="209"/>
        <v>0</v>
      </c>
      <c r="J1121">
        <f t="shared" si="210"/>
        <v>0</v>
      </c>
      <c r="K1121">
        <f t="shared" si="211"/>
        <v>206.84352009786903</v>
      </c>
      <c r="L1121">
        <f t="shared" si="212"/>
        <v>206.84352009786903</v>
      </c>
      <c r="M1121">
        <f t="shared" si="213"/>
        <v>0</v>
      </c>
      <c r="N1121">
        <f t="shared" si="215"/>
        <v>206.84352009786903</v>
      </c>
      <c r="O1121" s="5">
        <f t="shared" si="206"/>
        <v>1.7520249275055511E-15</v>
      </c>
      <c r="P1121">
        <f t="shared" si="214"/>
        <v>10000</v>
      </c>
      <c r="Q1121">
        <f t="shared" si="207"/>
        <v>1.7520249275055512E-11</v>
      </c>
    </row>
    <row r="1122" spans="1:17" x14ac:dyDescent="0.15">
      <c r="A1122" s="10">
        <v>45905.4375</v>
      </c>
      <c r="B1122">
        <f>COUNT(A1122:$A$1158)/(48*252)</f>
        <v>3.0588624338624337E-3</v>
      </c>
      <c r="C1122">
        <v>2.3340000000000001</v>
      </c>
      <c r="D1122">
        <v>0.13300000000000001</v>
      </c>
      <c r="E1122">
        <f t="shared" si="204"/>
        <v>7.317545898825049</v>
      </c>
      <c r="F1122">
        <f t="shared" si="205"/>
        <v>-1.262323578998803E-13</v>
      </c>
      <c r="G1122">
        <f t="shared" si="208"/>
        <v>-4.0000000000000036E-3</v>
      </c>
      <c r="H1122">
        <f>IF(MOD(COUNTA($C$7:C1122)-1,$J$2),H1121,ROUND(F1122*P1122,-2))</f>
        <v>0</v>
      </c>
      <c r="I1122">
        <f t="shared" si="209"/>
        <v>0</v>
      </c>
      <c r="J1122">
        <f t="shared" si="210"/>
        <v>0</v>
      </c>
      <c r="K1122">
        <f t="shared" si="211"/>
        <v>206.84352009786903</v>
      </c>
      <c r="L1122">
        <f t="shared" si="212"/>
        <v>206.84352009786903</v>
      </c>
      <c r="M1122">
        <f t="shared" si="213"/>
        <v>0</v>
      </c>
      <c r="N1122">
        <f t="shared" si="215"/>
        <v>206.84352009786903</v>
      </c>
      <c r="O1122" s="5">
        <f t="shared" si="206"/>
        <v>1.2436106947976323E-15</v>
      </c>
      <c r="P1122">
        <f t="shared" si="214"/>
        <v>10000</v>
      </c>
      <c r="Q1122">
        <f t="shared" si="207"/>
        <v>1.2436106947976323E-11</v>
      </c>
    </row>
    <row r="1123" spans="1:17" x14ac:dyDescent="0.15">
      <c r="A1123" s="10">
        <v>45905.440972222015</v>
      </c>
      <c r="B1123">
        <f>COUNT(A1123:$A$1158)/(48*252)</f>
        <v>2.976190476190476E-3</v>
      </c>
      <c r="C1123">
        <v>2.33</v>
      </c>
      <c r="D1123">
        <v>0.128</v>
      </c>
      <c r="E1123">
        <f t="shared" si="204"/>
        <v>7.3633540204784476</v>
      </c>
      <c r="F1123">
        <f t="shared" si="205"/>
        <v>-8.9706020389712648E-14</v>
      </c>
      <c r="G1123">
        <f t="shared" si="208"/>
        <v>-4.0000000000000036E-3</v>
      </c>
      <c r="H1123">
        <f>IF(MOD(COUNTA($C$7:C1123)-1,$J$2),H1122,ROUND(F1123*P1123,-2))</f>
        <v>0</v>
      </c>
      <c r="I1123">
        <f t="shared" si="209"/>
        <v>0</v>
      </c>
      <c r="J1123">
        <f t="shared" si="210"/>
        <v>0</v>
      </c>
      <c r="K1123">
        <f t="shared" si="211"/>
        <v>206.84352009786903</v>
      </c>
      <c r="L1123">
        <f t="shared" si="212"/>
        <v>206.84352009786903</v>
      </c>
      <c r="M1123">
        <f t="shared" si="213"/>
        <v>0</v>
      </c>
      <c r="N1123">
        <f t="shared" si="215"/>
        <v>206.84352009786903</v>
      </c>
      <c r="O1123" s="5">
        <f t="shared" si="206"/>
        <v>8.6451170310857977E-16</v>
      </c>
      <c r="P1123">
        <f t="shared" si="214"/>
        <v>10000</v>
      </c>
      <c r="Q1123">
        <f t="shared" si="207"/>
        <v>8.6451170310857973E-12</v>
      </c>
    </row>
    <row r="1124" spans="1:17" x14ac:dyDescent="0.15">
      <c r="A1124" s="10">
        <v>45905.444444444962</v>
      </c>
      <c r="B1124">
        <f>COUNT(A1124:$A$1158)/(48*252)</f>
        <v>2.8935185185185184E-3</v>
      </c>
      <c r="C1124">
        <v>2.33</v>
      </c>
      <c r="D1124">
        <v>0.128</v>
      </c>
      <c r="E1124">
        <f t="shared" si="204"/>
        <v>7.4672814841706607</v>
      </c>
      <c r="F1124">
        <f t="shared" si="205"/>
        <v>-4.0967229608668276E-14</v>
      </c>
      <c r="G1124">
        <f t="shared" si="208"/>
        <v>0</v>
      </c>
      <c r="H1124">
        <f>IF(MOD(COUNTA($C$7:C1124)-1,$J$2),H1123,ROUND(F1124*P1124,-2))</f>
        <v>0</v>
      </c>
      <c r="I1124">
        <f t="shared" si="209"/>
        <v>0</v>
      </c>
      <c r="J1124">
        <f t="shared" si="210"/>
        <v>0</v>
      </c>
      <c r="K1124">
        <f t="shared" si="211"/>
        <v>206.84352009786903</v>
      </c>
      <c r="L1124">
        <f t="shared" si="212"/>
        <v>206.84352009786903</v>
      </c>
      <c r="M1124">
        <f t="shared" si="213"/>
        <v>0</v>
      </c>
      <c r="N1124">
        <f t="shared" si="215"/>
        <v>206.84352009786903</v>
      </c>
      <c r="O1124" s="5">
        <f t="shared" si="206"/>
        <v>3.8400248335508802E-16</v>
      </c>
      <c r="P1124">
        <f t="shared" si="214"/>
        <v>10000</v>
      </c>
      <c r="Q1124">
        <f t="shared" si="207"/>
        <v>3.8400248335508798E-12</v>
      </c>
    </row>
    <row r="1125" spans="1:17" x14ac:dyDescent="0.15">
      <c r="A1125" s="10">
        <v>45905.447916666977</v>
      </c>
      <c r="B1125">
        <f>COUNT(A1125:$A$1158)/(48*252)</f>
        <v>2.8108465608465607E-3</v>
      </c>
      <c r="C1125">
        <v>2.331</v>
      </c>
      <c r="D1125">
        <v>0.128</v>
      </c>
      <c r="E1125">
        <f t="shared" si="204"/>
        <v>7.5898266913637418</v>
      </c>
      <c r="F1125">
        <f t="shared" si="205"/>
        <v>-1.5987211554602254E-14</v>
      </c>
      <c r="G1125">
        <f t="shared" si="208"/>
        <v>9.9999999999988987E-4</v>
      </c>
      <c r="H1125">
        <f>IF(MOD(COUNTA($C$7:C1125)-1,$J$2),H1124,ROUND(F1125*P1125,-2))</f>
        <v>0</v>
      </c>
      <c r="I1125">
        <f t="shared" si="209"/>
        <v>0</v>
      </c>
      <c r="J1125">
        <f t="shared" si="210"/>
        <v>0</v>
      </c>
      <c r="K1125">
        <f t="shared" si="211"/>
        <v>206.84352009786903</v>
      </c>
      <c r="L1125">
        <f t="shared" si="212"/>
        <v>206.84352009786903</v>
      </c>
      <c r="M1125">
        <f t="shared" si="213"/>
        <v>0</v>
      </c>
      <c r="N1125">
        <f t="shared" si="215"/>
        <v>206.84352009786903</v>
      </c>
      <c r="O1125" s="5">
        <f t="shared" si="206"/>
        <v>1.4589208635441275E-16</v>
      </c>
      <c r="P1125">
        <f t="shared" si="214"/>
        <v>10000</v>
      </c>
      <c r="Q1125">
        <f t="shared" si="207"/>
        <v>1.4589208635441274E-12</v>
      </c>
    </row>
    <row r="1126" spans="1:17" x14ac:dyDescent="0.15">
      <c r="A1126" s="10">
        <v>45905.451388888992</v>
      </c>
      <c r="B1126">
        <f>COUNT(A1126:$A$1158)/(48*252)</f>
        <v>2.728174603174603E-3</v>
      </c>
      <c r="C1126">
        <v>2.3319999999999999</v>
      </c>
      <c r="D1126">
        <v>0.128</v>
      </c>
      <c r="E1126">
        <f t="shared" si="204"/>
        <v>7.7176911805385098</v>
      </c>
      <c r="F1126">
        <f t="shared" si="205"/>
        <v>-5.8841820305133297E-15</v>
      </c>
      <c r="G1126">
        <f t="shared" si="208"/>
        <v>9.9999999999988987E-4</v>
      </c>
      <c r="H1126">
        <f>IF(MOD(COUNTA($C$7:C1126)-1,$J$2),H1125,ROUND(F1126*P1126,-2))</f>
        <v>0</v>
      </c>
      <c r="I1126">
        <f t="shared" si="209"/>
        <v>0</v>
      </c>
      <c r="J1126">
        <f t="shared" si="210"/>
        <v>0</v>
      </c>
      <c r="K1126">
        <f t="shared" si="211"/>
        <v>206.84352009786903</v>
      </c>
      <c r="L1126">
        <f t="shared" si="212"/>
        <v>206.84352009786903</v>
      </c>
      <c r="M1126">
        <f t="shared" si="213"/>
        <v>0</v>
      </c>
      <c r="N1126">
        <f t="shared" si="215"/>
        <v>206.84352009786903</v>
      </c>
      <c r="O1126" s="5">
        <f t="shared" si="206"/>
        <v>5.2338576951554946E-17</v>
      </c>
      <c r="P1126">
        <f t="shared" si="214"/>
        <v>10000</v>
      </c>
      <c r="Q1126">
        <f t="shared" si="207"/>
        <v>5.2338576951554943E-13</v>
      </c>
    </row>
    <row r="1127" spans="1:17" x14ac:dyDescent="0.15">
      <c r="A1127" s="10">
        <v>45905.454861111008</v>
      </c>
      <c r="B1127">
        <f>COUNT(A1127:$A$1158)/(48*252)</f>
        <v>2.6455026455026454E-3</v>
      </c>
      <c r="C1127">
        <v>2.3370000000000002</v>
      </c>
      <c r="D1127">
        <v>0.13900000000000001</v>
      </c>
      <c r="E1127">
        <f t="shared" si="204"/>
        <v>7.9091359439259339</v>
      </c>
      <c r="F1127">
        <f t="shared" si="205"/>
        <v>-1.3322676295501878E-15</v>
      </c>
      <c r="G1127">
        <f t="shared" si="208"/>
        <v>5.0000000000003375E-3</v>
      </c>
      <c r="H1127">
        <f>IF(MOD(COUNTA($C$7:C1127)-1,$J$2),H1126,ROUND(F1127*P1127,-2))</f>
        <v>0</v>
      </c>
      <c r="I1127">
        <f t="shared" si="209"/>
        <v>0</v>
      </c>
      <c r="J1127">
        <f t="shared" si="210"/>
        <v>0</v>
      </c>
      <c r="K1127">
        <f t="shared" si="211"/>
        <v>206.84352009786903</v>
      </c>
      <c r="L1127">
        <f t="shared" si="212"/>
        <v>206.84352009786903</v>
      </c>
      <c r="M1127">
        <f t="shared" si="213"/>
        <v>0</v>
      </c>
      <c r="N1127">
        <f t="shared" si="215"/>
        <v>206.84352009786903</v>
      </c>
      <c r="O1127" s="5">
        <f t="shared" si="206"/>
        <v>1.1041680295738403E-17</v>
      </c>
      <c r="P1127">
        <f t="shared" si="214"/>
        <v>10000</v>
      </c>
      <c r="Q1127">
        <f t="shared" si="207"/>
        <v>1.1041680295738403E-13</v>
      </c>
    </row>
    <row r="1128" spans="1:17" x14ac:dyDescent="0.15">
      <c r="A1128" s="10">
        <v>45905.458333333023</v>
      </c>
      <c r="B1128">
        <f>COUNT(A1128:$A$1158)/(48*252)</f>
        <v>2.5628306878306877E-3</v>
      </c>
      <c r="C1128">
        <v>2.335</v>
      </c>
      <c r="D1128">
        <v>0.13900000000000001</v>
      </c>
      <c r="E1128">
        <f t="shared" si="204"/>
        <v>8.0057589464187444</v>
      </c>
      <c r="F1128">
        <f t="shared" si="205"/>
        <v>0</v>
      </c>
      <c r="G1128">
        <f t="shared" si="208"/>
        <v>-2.0000000000002238E-3</v>
      </c>
      <c r="H1128">
        <f>IF(MOD(COUNTA($C$7:C1128)-1,$J$2),H1127,ROUND(F1128*P1128,-2))</f>
        <v>0</v>
      </c>
      <c r="I1128">
        <f t="shared" si="209"/>
        <v>0</v>
      </c>
      <c r="J1128">
        <f t="shared" si="210"/>
        <v>0</v>
      </c>
      <c r="K1128">
        <f t="shared" si="211"/>
        <v>206.84352009786903</v>
      </c>
      <c r="L1128">
        <f t="shared" si="212"/>
        <v>206.84352009786903</v>
      </c>
      <c r="M1128">
        <f t="shared" si="213"/>
        <v>0</v>
      </c>
      <c r="N1128">
        <f t="shared" si="215"/>
        <v>206.84352009786903</v>
      </c>
      <c r="O1128" s="5">
        <f t="shared" si="206"/>
        <v>4.9171706201401294E-18</v>
      </c>
      <c r="P1128">
        <f t="shared" si="214"/>
        <v>10000</v>
      </c>
      <c r="Q1128">
        <f t="shared" si="207"/>
        <v>4.9171706201401291E-14</v>
      </c>
    </row>
    <row r="1129" spans="1:17" x14ac:dyDescent="0.15">
      <c r="A1129" s="10">
        <v>45905.461805555969</v>
      </c>
      <c r="B1129">
        <f>COUNT(A1129:$A$1158)/(48*252)</f>
        <v>2.48015873015873E-3</v>
      </c>
      <c r="C1129">
        <v>2.33</v>
      </c>
      <c r="D1129">
        <v>0.13100000000000001</v>
      </c>
      <c r="E1129">
        <f t="shared" si="204"/>
        <v>8.0627640618082204</v>
      </c>
      <c r="F1129">
        <f t="shared" si="205"/>
        <v>0</v>
      </c>
      <c r="G1129">
        <f t="shared" si="208"/>
        <v>-4.9999999999998934E-3</v>
      </c>
      <c r="H1129">
        <f>IF(MOD(COUNTA($C$7:C1129)-1,$J$2),H1128,ROUND(F1129*P1129,-2))</f>
        <v>0</v>
      </c>
      <c r="I1129">
        <f t="shared" si="209"/>
        <v>0</v>
      </c>
      <c r="J1129">
        <f t="shared" si="210"/>
        <v>0</v>
      </c>
      <c r="K1129">
        <f t="shared" si="211"/>
        <v>206.84352009786903</v>
      </c>
      <c r="L1129">
        <f t="shared" si="212"/>
        <v>206.84352009786903</v>
      </c>
      <c r="M1129">
        <f t="shared" si="213"/>
        <v>0</v>
      </c>
      <c r="N1129">
        <f t="shared" si="215"/>
        <v>206.84352009786903</v>
      </c>
      <c r="O1129" s="5">
        <f t="shared" si="206"/>
        <v>3.0117705967483275E-18</v>
      </c>
      <c r="P1129">
        <f t="shared" si="214"/>
        <v>10000</v>
      </c>
      <c r="Q1129">
        <f t="shared" si="207"/>
        <v>3.0117705967483278E-14</v>
      </c>
    </row>
    <row r="1130" spans="1:17" x14ac:dyDescent="0.15">
      <c r="A1130" s="10">
        <v>45905.465277777985</v>
      </c>
      <c r="B1130">
        <f>COUNT(A1130:$A$1158)/(48*252)</f>
        <v>2.3974867724867724E-3</v>
      </c>
      <c r="C1130">
        <v>2.3290000000000002</v>
      </c>
      <c r="D1130">
        <v>0.129</v>
      </c>
      <c r="E1130">
        <f t="shared" si="204"/>
        <v>8.184796642446214</v>
      </c>
      <c r="F1130">
        <f t="shared" si="205"/>
        <v>0</v>
      </c>
      <c r="G1130">
        <f t="shared" si="208"/>
        <v>-9.9999999999988987E-4</v>
      </c>
      <c r="H1130">
        <f>IF(MOD(COUNTA($C$7:C1130)-1,$J$2),H1129,ROUND(F1130*P1130,-2))</f>
        <v>0</v>
      </c>
      <c r="I1130">
        <f t="shared" si="209"/>
        <v>0</v>
      </c>
      <c r="J1130">
        <f t="shared" si="210"/>
        <v>0</v>
      </c>
      <c r="K1130">
        <f t="shared" si="211"/>
        <v>206.84352009786903</v>
      </c>
      <c r="L1130">
        <f t="shared" si="212"/>
        <v>206.84352009786903</v>
      </c>
      <c r="M1130">
        <f t="shared" si="213"/>
        <v>0</v>
      </c>
      <c r="N1130">
        <f t="shared" si="215"/>
        <v>206.84352009786903</v>
      </c>
      <c r="O1130" s="5">
        <f t="shared" si="206"/>
        <v>1.0670245381529805E-18</v>
      </c>
      <c r="P1130">
        <f t="shared" si="214"/>
        <v>10000</v>
      </c>
      <c r="Q1130">
        <f t="shared" si="207"/>
        <v>1.0670245381529805E-14</v>
      </c>
    </row>
    <row r="1131" spans="1:17" x14ac:dyDescent="0.15">
      <c r="A1131" s="10">
        <v>45905.46875</v>
      </c>
      <c r="B1131">
        <f>COUNT(A1131:$A$1158)/(48*252)</f>
        <v>2.3148148148148147E-3</v>
      </c>
      <c r="C1131">
        <v>2.3239999999999998</v>
      </c>
      <c r="D1131">
        <v>0.128</v>
      </c>
      <c r="E1131">
        <f t="shared" si="204"/>
        <v>8.251497541394146</v>
      </c>
      <c r="F1131">
        <f t="shared" si="205"/>
        <v>0</v>
      </c>
      <c r="G1131">
        <f t="shared" si="208"/>
        <v>-5.0000000000003375E-3</v>
      </c>
      <c r="H1131">
        <f>IF(MOD(COUNTA($C$7:C1131)-1,$J$2),H1130,ROUND(F1131*P1131,-2))</f>
        <v>0</v>
      </c>
      <c r="I1131">
        <f t="shared" si="209"/>
        <v>0</v>
      </c>
      <c r="J1131">
        <f t="shared" si="210"/>
        <v>0</v>
      </c>
      <c r="K1131">
        <f t="shared" si="211"/>
        <v>206.84352009786903</v>
      </c>
      <c r="L1131">
        <f t="shared" si="212"/>
        <v>206.84352009786903</v>
      </c>
      <c r="M1131">
        <f t="shared" si="213"/>
        <v>0</v>
      </c>
      <c r="N1131">
        <f t="shared" si="215"/>
        <v>206.84352009786903</v>
      </c>
      <c r="O1131" s="5">
        <f t="shared" si="206"/>
        <v>5.953310299597513E-19</v>
      </c>
      <c r="P1131">
        <f t="shared" si="214"/>
        <v>10000</v>
      </c>
      <c r="Q1131">
        <f t="shared" si="207"/>
        <v>5.9533102995975133E-15</v>
      </c>
    </row>
    <row r="1132" spans="1:17" x14ac:dyDescent="0.15">
      <c r="A1132" s="10">
        <v>45905.472222222015</v>
      </c>
      <c r="B1132">
        <f>COUNT(A1132:$A$1158)/(48*252)</f>
        <v>2.232142857142857E-3</v>
      </c>
      <c r="C1132">
        <v>2.3199999999999998</v>
      </c>
      <c r="D1132">
        <v>0.121</v>
      </c>
      <c r="E1132">
        <f t="shared" si="204"/>
        <v>8.3389855175309577</v>
      </c>
      <c r="F1132">
        <f t="shared" si="205"/>
        <v>0</v>
      </c>
      <c r="G1132">
        <f t="shared" si="208"/>
        <v>-4.0000000000000036E-3</v>
      </c>
      <c r="H1132">
        <f>IF(MOD(COUNTA($C$7:C1132)-1,$J$2),H1131,ROUND(F1132*P1132,-2))</f>
        <v>0</v>
      </c>
      <c r="I1132">
        <f t="shared" si="209"/>
        <v>0</v>
      </c>
      <c r="J1132">
        <f t="shared" si="210"/>
        <v>0</v>
      </c>
      <c r="K1132">
        <f t="shared" si="211"/>
        <v>206.84352009786903</v>
      </c>
      <c r="L1132">
        <f t="shared" si="212"/>
        <v>206.84352009786903</v>
      </c>
      <c r="M1132">
        <f t="shared" si="213"/>
        <v>0</v>
      </c>
      <c r="N1132">
        <f t="shared" si="215"/>
        <v>206.84352009786903</v>
      </c>
      <c r="O1132" s="5">
        <f t="shared" si="206"/>
        <v>2.7675482619497945E-19</v>
      </c>
      <c r="P1132">
        <f t="shared" si="214"/>
        <v>10000</v>
      </c>
      <c r="Q1132">
        <f t="shared" si="207"/>
        <v>2.7675482619497945E-15</v>
      </c>
    </row>
    <row r="1133" spans="1:17" x14ac:dyDescent="0.15">
      <c r="A1133" s="10">
        <v>45905.475694444962</v>
      </c>
      <c r="B1133">
        <f>COUNT(A1133:$A$1158)/(48*252)</f>
        <v>2.1494708994708994E-3</v>
      </c>
      <c r="C1133">
        <v>2.3260000000000001</v>
      </c>
      <c r="D1133">
        <v>0.121</v>
      </c>
      <c r="E1133">
        <f t="shared" si="204"/>
        <v>8.5939995331808792</v>
      </c>
      <c r="F1133">
        <f t="shared" si="205"/>
        <v>0</v>
      </c>
      <c r="G1133">
        <f t="shared" si="208"/>
        <v>6.0000000000002274E-3</v>
      </c>
      <c r="H1133">
        <f>IF(MOD(COUNTA($C$7:C1133)-1,$J$2),H1132,ROUND(F1133*P1133,-2))</f>
        <v>0</v>
      </c>
      <c r="I1133">
        <f t="shared" si="209"/>
        <v>0</v>
      </c>
      <c r="J1133">
        <f t="shared" si="210"/>
        <v>0</v>
      </c>
      <c r="K1133">
        <f t="shared" si="211"/>
        <v>206.84352009786903</v>
      </c>
      <c r="L1133">
        <f t="shared" si="212"/>
        <v>206.84352009786903</v>
      </c>
      <c r="M1133">
        <f t="shared" si="213"/>
        <v>0</v>
      </c>
      <c r="N1133">
        <f t="shared" si="215"/>
        <v>206.84352009786903</v>
      </c>
      <c r="O1133" s="5">
        <f t="shared" si="206"/>
        <v>2.9656649958370081E-20</v>
      </c>
      <c r="P1133">
        <f t="shared" si="214"/>
        <v>10000</v>
      </c>
      <c r="Q1133">
        <f t="shared" si="207"/>
        <v>2.9656649958370079E-16</v>
      </c>
    </row>
    <row r="1134" spans="1:17" x14ac:dyDescent="0.15">
      <c r="A1134" s="10">
        <v>45905.479166666977</v>
      </c>
      <c r="B1134">
        <f>COUNT(A1134:$A$1158)/(48*252)</f>
        <v>2.0667989417989417E-3</v>
      </c>
      <c r="C1134">
        <v>2.3250000000000002</v>
      </c>
      <c r="D1134">
        <v>0.122</v>
      </c>
      <c r="E1134">
        <f t="shared" si="204"/>
        <v>8.7471463138012258</v>
      </c>
      <c r="F1134">
        <f t="shared" si="205"/>
        <v>0</v>
      </c>
      <c r="G1134">
        <f t="shared" si="208"/>
        <v>-9.9999999999988987E-4</v>
      </c>
      <c r="H1134">
        <f>IF(MOD(COUNTA($C$7:C1134)-1,$J$2),H1133,ROUND(F1134*P1134,-2))</f>
        <v>0</v>
      </c>
      <c r="I1134">
        <f t="shared" si="209"/>
        <v>0</v>
      </c>
      <c r="J1134">
        <f t="shared" si="210"/>
        <v>0</v>
      </c>
      <c r="K1134">
        <f t="shared" si="211"/>
        <v>206.84352009786903</v>
      </c>
      <c r="L1134">
        <f t="shared" si="212"/>
        <v>206.84352009786903</v>
      </c>
      <c r="M1134">
        <f t="shared" si="213"/>
        <v>0</v>
      </c>
      <c r="N1134">
        <f t="shared" si="215"/>
        <v>206.84352009786903</v>
      </c>
      <c r="O1134" s="5">
        <f t="shared" si="206"/>
        <v>7.4456979817408265E-21</v>
      </c>
      <c r="P1134">
        <f t="shared" si="214"/>
        <v>10000</v>
      </c>
      <c r="Q1134">
        <f t="shared" si="207"/>
        <v>7.4456979817408265E-17</v>
      </c>
    </row>
    <row r="1135" spans="1:17" x14ac:dyDescent="0.15">
      <c r="A1135" s="10">
        <v>45905.545138888992</v>
      </c>
      <c r="B1135">
        <f>COUNT(A1135:$A$1158)/(48*252)</f>
        <v>1.984126984126984E-3</v>
      </c>
      <c r="C1135">
        <v>2.3220000000000001</v>
      </c>
      <c r="D1135">
        <v>0.121</v>
      </c>
      <c r="E1135">
        <f t="shared" si="204"/>
        <v>8.8765389773768923</v>
      </c>
      <c r="F1135">
        <f t="shared" si="205"/>
        <v>0</v>
      </c>
      <c r="G1135">
        <f t="shared" si="208"/>
        <v>-3.0000000000001137E-3</v>
      </c>
      <c r="H1135">
        <f>IF(MOD(COUNTA($C$7:C1135)-1,$J$2),H1134,ROUND(F1135*P1135,-2))</f>
        <v>0</v>
      </c>
      <c r="I1135">
        <f t="shared" si="209"/>
        <v>0</v>
      </c>
      <c r="J1135">
        <f t="shared" si="210"/>
        <v>0</v>
      </c>
      <c r="K1135">
        <f t="shared" si="211"/>
        <v>206.84352009786903</v>
      </c>
      <c r="L1135">
        <f t="shared" si="212"/>
        <v>206.84352009786903</v>
      </c>
      <c r="M1135">
        <f t="shared" si="213"/>
        <v>0</v>
      </c>
      <c r="N1135">
        <f t="shared" si="215"/>
        <v>206.84352009786903</v>
      </c>
      <c r="O1135" s="5">
        <f t="shared" si="206"/>
        <v>2.2644339025029832E-21</v>
      </c>
      <c r="P1135">
        <f t="shared" si="214"/>
        <v>10000</v>
      </c>
      <c r="Q1135">
        <f t="shared" si="207"/>
        <v>2.2644339025029832E-17</v>
      </c>
    </row>
    <row r="1136" spans="1:17" x14ac:dyDescent="0.15">
      <c r="A1136" s="10">
        <v>45905.548611111008</v>
      </c>
      <c r="B1136">
        <f>COUNT(A1136:$A$1158)/(48*252)</f>
        <v>1.9014550264550263E-3</v>
      </c>
      <c r="C1136">
        <v>2.3279999999999998</v>
      </c>
      <c r="D1136">
        <v>0.124</v>
      </c>
      <c r="E1136">
        <f t="shared" si="204"/>
        <v>9.1696068155975201</v>
      </c>
      <c r="F1136">
        <f t="shared" si="205"/>
        <v>0</v>
      </c>
      <c r="G1136">
        <f t="shared" si="208"/>
        <v>5.9999999999997833E-3</v>
      </c>
      <c r="H1136">
        <f>IF(MOD(COUNTA($C$7:C1136)-1,$J$2),H1135,ROUND(F1136*P1136,-2))</f>
        <v>0</v>
      </c>
      <c r="I1136">
        <f t="shared" si="209"/>
        <v>0</v>
      </c>
      <c r="J1136">
        <f t="shared" si="210"/>
        <v>0</v>
      </c>
      <c r="K1136">
        <f t="shared" si="211"/>
        <v>206.84352009786903</v>
      </c>
      <c r="L1136">
        <f t="shared" si="212"/>
        <v>206.84352009786903</v>
      </c>
      <c r="M1136">
        <f t="shared" si="213"/>
        <v>0</v>
      </c>
      <c r="N1136">
        <f t="shared" si="215"/>
        <v>206.84352009786903</v>
      </c>
      <c r="O1136" s="5">
        <f t="shared" si="206"/>
        <v>1.4828157336972988E-22</v>
      </c>
      <c r="P1136">
        <f t="shared" si="214"/>
        <v>10000</v>
      </c>
      <c r="Q1136">
        <f t="shared" si="207"/>
        <v>1.4828157336972988E-18</v>
      </c>
    </row>
    <row r="1137" spans="1:17" x14ac:dyDescent="0.15">
      <c r="A1137" s="10">
        <v>45905.552083333023</v>
      </c>
      <c r="B1137">
        <f>COUNT(A1137:$A$1158)/(48*252)</f>
        <v>1.8187830687830687E-3</v>
      </c>
      <c r="C1137">
        <v>2.3290000000000002</v>
      </c>
      <c r="D1137">
        <v>0.125</v>
      </c>
      <c r="E1137">
        <f t="shared" si="204"/>
        <v>9.3925236888873584</v>
      </c>
      <c r="F1137">
        <f t="shared" si="205"/>
        <v>0</v>
      </c>
      <c r="G1137">
        <f t="shared" si="208"/>
        <v>1.000000000000334E-3</v>
      </c>
      <c r="H1137">
        <f>IF(MOD(COUNTA($C$7:C1137)-1,$J$2),H1136,ROUND(F1137*P1137,-2))</f>
        <v>0</v>
      </c>
      <c r="I1137">
        <f t="shared" si="209"/>
        <v>0</v>
      </c>
      <c r="J1137">
        <f t="shared" si="210"/>
        <v>0</v>
      </c>
      <c r="K1137">
        <f t="shared" si="211"/>
        <v>206.84352009786903</v>
      </c>
      <c r="L1137">
        <f t="shared" si="212"/>
        <v>206.84352009786903</v>
      </c>
      <c r="M1137">
        <f t="shared" si="213"/>
        <v>0</v>
      </c>
      <c r="N1137">
        <f t="shared" si="215"/>
        <v>206.84352009786903</v>
      </c>
      <c r="O1137" s="5">
        <f t="shared" si="206"/>
        <v>1.7493095382231542E-23</v>
      </c>
      <c r="P1137">
        <f t="shared" si="214"/>
        <v>10000</v>
      </c>
      <c r="Q1137">
        <f t="shared" si="207"/>
        <v>1.7493095382231542E-19</v>
      </c>
    </row>
    <row r="1138" spans="1:17" x14ac:dyDescent="0.15">
      <c r="A1138" s="10">
        <v>45905.555555555969</v>
      </c>
      <c r="B1138">
        <f>COUNT(A1138:$A$1158)/(48*252)</f>
        <v>1.736111111111111E-3</v>
      </c>
      <c r="C1138">
        <v>2.3319999999999999</v>
      </c>
      <c r="D1138">
        <v>0.126</v>
      </c>
      <c r="E1138">
        <f t="shared" si="204"/>
        <v>9.6665434956464598</v>
      </c>
      <c r="F1138">
        <f t="shared" si="205"/>
        <v>0</v>
      </c>
      <c r="G1138">
        <f t="shared" si="208"/>
        <v>2.9999999999996696E-3</v>
      </c>
      <c r="H1138">
        <f>IF(MOD(COUNTA($C$7:C1138)-1,$J$2),H1137,ROUND(F1138*P1138,-2))</f>
        <v>0</v>
      </c>
      <c r="I1138">
        <f t="shared" si="209"/>
        <v>0</v>
      </c>
      <c r="J1138">
        <f t="shared" si="210"/>
        <v>0</v>
      </c>
      <c r="K1138">
        <f t="shared" si="211"/>
        <v>206.84352009786903</v>
      </c>
      <c r="L1138">
        <f t="shared" si="212"/>
        <v>206.84352009786903</v>
      </c>
      <c r="M1138">
        <f t="shared" si="213"/>
        <v>0</v>
      </c>
      <c r="N1138">
        <f t="shared" si="215"/>
        <v>206.84352009786903</v>
      </c>
      <c r="O1138" s="5">
        <f t="shared" si="206"/>
        <v>1.1884888108491962E-24</v>
      </c>
      <c r="P1138">
        <f t="shared" si="214"/>
        <v>10000</v>
      </c>
      <c r="Q1138">
        <f t="shared" si="207"/>
        <v>1.1884888108491962E-20</v>
      </c>
    </row>
    <row r="1139" spans="1:17" x14ac:dyDescent="0.15">
      <c r="A1139" s="10">
        <v>45905.559027777985</v>
      </c>
      <c r="B1139">
        <f>COUNT(A1139:$A$1158)/(48*252)</f>
        <v>1.6534391534391533E-3</v>
      </c>
      <c r="C1139">
        <v>2.3340000000000001</v>
      </c>
      <c r="D1139">
        <v>0.128</v>
      </c>
      <c r="E1139">
        <f t="shared" si="204"/>
        <v>9.941188228698941</v>
      </c>
      <c r="F1139">
        <f t="shared" si="205"/>
        <v>0</v>
      </c>
      <c r="G1139">
        <f t="shared" si="208"/>
        <v>2.0000000000002238E-3</v>
      </c>
      <c r="H1139">
        <f>IF(MOD(COUNTA($C$7:C1139)-1,$J$2),H1138,ROUND(F1139*P1139,-2))</f>
        <v>0</v>
      </c>
      <c r="I1139">
        <f t="shared" si="209"/>
        <v>0</v>
      </c>
      <c r="J1139">
        <f t="shared" si="210"/>
        <v>0</v>
      </c>
      <c r="K1139">
        <f t="shared" si="211"/>
        <v>206.84352009786903</v>
      </c>
      <c r="L1139">
        <f t="shared" si="212"/>
        <v>206.84352009786903</v>
      </c>
      <c r="M1139">
        <f t="shared" si="213"/>
        <v>0</v>
      </c>
      <c r="N1139">
        <f t="shared" si="215"/>
        <v>206.84352009786903</v>
      </c>
      <c r="O1139" s="5">
        <f t="shared" si="206"/>
        <v>7.4425782955277894E-26</v>
      </c>
      <c r="P1139">
        <f t="shared" si="214"/>
        <v>10000</v>
      </c>
      <c r="Q1139">
        <f t="shared" si="207"/>
        <v>7.4425782955277894E-22</v>
      </c>
    </row>
    <row r="1140" spans="1:17" x14ac:dyDescent="0.15">
      <c r="A1140" s="10">
        <v>45905.5625</v>
      </c>
      <c r="B1140">
        <f>COUNT(A1140:$A$1158)/(48*252)</f>
        <v>1.5707671957671957E-3</v>
      </c>
      <c r="C1140">
        <v>2.3279999999999998</v>
      </c>
      <c r="D1140">
        <v>0.124</v>
      </c>
      <c r="E1140">
        <f t="shared" si="204"/>
        <v>10.085924356919502</v>
      </c>
      <c r="F1140">
        <f t="shared" si="205"/>
        <v>0</v>
      </c>
      <c r="G1140">
        <f t="shared" si="208"/>
        <v>-6.0000000000002274E-3</v>
      </c>
      <c r="H1140">
        <f>IF(MOD(COUNTA($C$7:C1140)-1,$J$2),H1139,ROUND(F1140*P1140,-2))</f>
        <v>0</v>
      </c>
      <c r="I1140">
        <f t="shared" si="209"/>
        <v>0</v>
      </c>
      <c r="J1140">
        <f t="shared" si="210"/>
        <v>0</v>
      </c>
      <c r="K1140">
        <f t="shared" si="211"/>
        <v>206.84352009786903</v>
      </c>
      <c r="L1140">
        <f t="shared" si="212"/>
        <v>206.84352009786903</v>
      </c>
      <c r="M1140">
        <f t="shared" si="213"/>
        <v>0</v>
      </c>
      <c r="N1140">
        <f t="shared" si="215"/>
        <v>206.84352009786903</v>
      </c>
      <c r="O1140" s="5">
        <f t="shared" si="206"/>
        <v>1.6511735203484532E-26</v>
      </c>
      <c r="P1140">
        <f t="shared" si="214"/>
        <v>10000</v>
      </c>
      <c r="Q1140">
        <f t="shared" si="207"/>
        <v>1.6511735203484532E-22</v>
      </c>
    </row>
    <row r="1141" spans="1:17" x14ac:dyDescent="0.15">
      <c r="A1141" s="10">
        <v>45905.565972222015</v>
      </c>
      <c r="B1141">
        <f>COUNT(A1141:$A$1158)/(48*252)</f>
        <v>1.488095238095238E-3</v>
      </c>
      <c r="C1141">
        <v>2.3239999999999998</v>
      </c>
      <c r="D1141">
        <v>0.124</v>
      </c>
      <c r="E1141">
        <f t="shared" si="204"/>
        <v>10.28413978414463</v>
      </c>
      <c r="F1141">
        <f t="shared" si="205"/>
        <v>0</v>
      </c>
      <c r="G1141">
        <f t="shared" si="208"/>
        <v>-4.0000000000000036E-3</v>
      </c>
      <c r="H1141">
        <f>IF(MOD(COUNTA($C$7:C1141)-1,$J$2),H1140,ROUND(F1141*P1141,-2))</f>
        <v>0</v>
      </c>
      <c r="I1141">
        <f t="shared" si="209"/>
        <v>0</v>
      </c>
      <c r="J1141">
        <f t="shared" si="210"/>
        <v>0</v>
      </c>
      <c r="K1141">
        <f t="shared" si="211"/>
        <v>206.84352009786903</v>
      </c>
      <c r="L1141">
        <f t="shared" si="212"/>
        <v>206.84352009786903</v>
      </c>
      <c r="M1141">
        <f t="shared" si="213"/>
        <v>0</v>
      </c>
      <c r="N1141">
        <f t="shared" si="215"/>
        <v>206.84352009786903</v>
      </c>
      <c r="O1141" s="5">
        <f t="shared" si="206"/>
        <v>2.0513985735749253E-27</v>
      </c>
      <c r="P1141">
        <f t="shared" si="214"/>
        <v>10000</v>
      </c>
      <c r="Q1141">
        <f t="shared" si="207"/>
        <v>2.0513985735749253E-23</v>
      </c>
    </row>
    <row r="1142" spans="1:17" x14ac:dyDescent="0.15">
      <c r="A1142" s="10">
        <v>45905.569444444962</v>
      </c>
      <c r="B1142">
        <f>COUNT(A1142:$A$1158)/(48*252)</f>
        <v>1.4054232804232803E-3</v>
      </c>
      <c r="C1142">
        <v>2.3220000000000001</v>
      </c>
      <c r="D1142">
        <v>0.123</v>
      </c>
      <c r="E1142">
        <f t="shared" si="204"/>
        <v>10.541651997796338</v>
      </c>
      <c r="F1142">
        <f t="shared" si="205"/>
        <v>0</v>
      </c>
      <c r="G1142">
        <f t="shared" si="208"/>
        <v>-1.9999999999997797E-3</v>
      </c>
      <c r="H1142">
        <f>IF(MOD(COUNTA($C$7:C1142)-1,$J$2),H1141,ROUND(F1142*P1142,-2))</f>
        <v>0</v>
      </c>
      <c r="I1142">
        <f t="shared" si="209"/>
        <v>0</v>
      </c>
      <c r="J1142">
        <f t="shared" si="210"/>
        <v>0</v>
      </c>
      <c r="K1142">
        <f t="shared" si="211"/>
        <v>206.84352009786903</v>
      </c>
      <c r="L1142">
        <f t="shared" si="212"/>
        <v>206.84352009786903</v>
      </c>
      <c r="M1142">
        <f t="shared" si="213"/>
        <v>0</v>
      </c>
      <c r="N1142">
        <f t="shared" si="215"/>
        <v>206.84352009786903</v>
      </c>
      <c r="O1142" s="5">
        <f t="shared" si="206"/>
        <v>1.2994445978728394E-28</v>
      </c>
      <c r="P1142">
        <f t="shared" si="214"/>
        <v>10000</v>
      </c>
      <c r="Q1142">
        <f t="shared" si="207"/>
        <v>1.2994445978728394E-24</v>
      </c>
    </row>
    <row r="1143" spans="1:17" x14ac:dyDescent="0.15">
      <c r="A1143" s="10">
        <v>45905.572916666977</v>
      </c>
      <c r="B1143">
        <f>COUNT(A1143:$A$1158)/(48*252)</f>
        <v>1.3227513227513227E-3</v>
      </c>
      <c r="C1143">
        <v>2.3239999999999998</v>
      </c>
      <c r="D1143">
        <v>0.123</v>
      </c>
      <c r="E1143">
        <f t="shared" si="204"/>
        <v>10.906431920231261</v>
      </c>
      <c r="F1143">
        <f t="shared" si="205"/>
        <v>0</v>
      </c>
      <c r="G1143">
        <f t="shared" si="208"/>
        <v>1.9999999999997797E-3</v>
      </c>
      <c r="H1143">
        <f>IF(MOD(COUNTA($C$7:C1143)-1,$J$2),H1142,ROUND(F1143*P1143,-2))</f>
        <v>0</v>
      </c>
      <c r="I1143">
        <f t="shared" si="209"/>
        <v>0</v>
      </c>
      <c r="J1143">
        <f t="shared" si="210"/>
        <v>0</v>
      </c>
      <c r="K1143">
        <f t="shared" si="211"/>
        <v>206.84352009786903</v>
      </c>
      <c r="L1143">
        <f t="shared" si="212"/>
        <v>206.84352009786903</v>
      </c>
      <c r="M1143">
        <f t="shared" si="213"/>
        <v>0</v>
      </c>
      <c r="N1143">
        <f t="shared" si="215"/>
        <v>206.84352009786903</v>
      </c>
      <c r="O1143" s="5">
        <f t="shared" si="206"/>
        <v>2.3614080871526122E-30</v>
      </c>
      <c r="P1143">
        <f t="shared" si="214"/>
        <v>10000</v>
      </c>
      <c r="Q1143">
        <f t="shared" si="207"/>
        <v>2.3614080871526122E-26</v>
      </c>
    </row>
    <row r="1144" spans="1:17" x14ac:dyDescent="0.15">
      <c r="A1144" s="10">
        <v>45905.576388888992</v>
      </c>
      <c r="B1144">
        <f>COUNT(A1144:$A$1158)/(48*252)</f>
        <v>1.240079365079365E-3</v>
      </c>
      <c r="C1144">
        <v>2.3290000000000002</v>
      </c>
      <c r="D1144">
        <v>0.123</v>
      </c>
      <c r="E1144">
        <f t="shared" si="204"/>
        <v>11.369324239519242</v>
      </c>
      <c r="F1144">
        <f t="shared" si="205"/>
        <v>0</v>
      </c>
      <c r="G1144">
        <f t="shared" si="208"/>
        <v>5.0000000000003375E-3</v>
      </c>
      <c r="H1144">
        <f>IF(MOD(COUNTA($C$7:C1144)-1,$J$2),H1143,ROUND(F1144*P1144,-2))</f>
        <v>0</v>
      </c>
      <c r="I1144">
        <f t="shared" si="209"/>
        <v>0</v>
      </c>
      <c r="J1144">
        <f t="shared" si="210"/>
        <v>0</v>
      </c>
      <c r="K1144">
        <f t="shared" si="211"/>
        <v>206.84352009786903</v>
      </c>
      <c r="L1144">
        <f t="shared" si="212"/>
        <v>206.84352009786903</v>
      </c>
      <c r="M1144">
        <f t="shared" si="213"/>
        <v>0</v>
      </c>
      <c r="N1144">
        <f t="shared" si="215"/>
        <v>206.84352009786903</v>
      </c>
      <c r="O1144" s="5">
        <f t="shared" si="206"/>
        <v>1.2181260504528123E-32</v>
      </c>
      <c r="P1144">
        <f t="shared" si="214"/>
        <v>10000</v>
      </c>
      <c r="Q1144">
        <f t="shared" si="207"/>
        <v>1.2181260504528123E-28</v>
      </c>
    </row>
    <row r="1145" spans="1:17" x14ac:dyDescent="0.15">
      <c r="A1145" s="10">
        <v>45905.579861111008</v>
      </c>
      <c r="B1145">
        <f>COUNT(A1145:$A$1158)/(48*252)</f>
        <v>1.1574074074074073E-3</v>
      </c>
      <c r="C1145">
        <v>2.327</v>
      </c>
      <c r="D1145">
        <v>0.122</v>
      </c>
      <c r="E1145">
        <f t="shared" si="204"/>
        <v>11.723679356523249</v>
      </c>
      <c r="F1145">
        <f t="shared" si="205"/>
        <v>0</v>
      </c>
      <c r="G1145">
        <f t="shared" si="208"/>
        <v>-2.0000000000002238E-3</v>
      </c>
      <c r="H1145">
        <f>IF(MOD(COUNTA($C$7:C1145)-1,$J$2),H1144,ROUND(F1145*P1145,-2))</f>
        <v>0</v>
      </c>
      <c r="I1145">
        <f t="shared" si="209"/>
        <v>0</v>
      </c>
      <c r="J1145">
        <f t="shared" si="210"/>
        <v>0</v>
      </c>
      <c r="K1145">
        <f t="shared" si="211"/>
        <v>206.84352009786903</v>
      </c>
      <c r="L1145">
        <f t="shared" si="212"/>
        <v>206.84352009786903</v>
      </c>
      <c r="M1145">
        <f t="shared" si="213"/>
        <v>0</v>
      </c>
      <c r="N1145">
        <f t="shared" si="215"/>
        <v>206.84352009786903</v>
      </c>
      <c r="O1145" s="5">
        <f t="shared" si="206"/>
        <v>1.8503756571328871E-34</v>
      </c>
      <c r="P1145">
        <f t="shared" si="214"/>
        <v>10000</v>
      </c>
      <c r="Q1145">
        <f t="shared" si="207"/>
        <v>1.8503756571328871E-30</v>
      </c>
    </row>
    <row r="1146" spans="1:17" x14ac:dyDescent="0.15">
      <c r="A1146" s="10">
        <v>45905.583333333023</v>
      </c>
      <c r="B1146">
        <f>COUNT(A1146:$A$1158)/(48*252)</f>
        <v>1.0747354497354497E-3</v>
      </c>
      <c r="C1146">
        <v>2.33</v>
      </c>
      <c r="D1146">
        <v>0.122</v>
      </c>
      <c r="E1146">
        <f t="shared" si="204"/>
        <v>12.233643473878988</v>
      </c>
      <c r="F1146">
        <f t="shared" si="205"/>
        <v>0</v>
      </c>
      <c r="G1146">
        <f t="shared" si="208"/>
        <v>3.0000000000001137E-3</v>
      </c>
      <c r="H1146">
        <f>IF(MOD(COUNTA($C$7:C1146)-1,$J$2),H1145,ROUND(F1146*P1146,-2))</f>
        <v>0</v>
      </c>
      <c r="I1146">
        <f t="shared" si="209"/>
        <v>0</v>
      </c>
      <c r="J1146">
        <f t="shared" si="210"/>
        <v>0</v>
      </c>
      <c r="K1146">
        <f t="shared" si="211"/>
        <v>206.84352009786903</v>
      </c>
      <c r="L1146">
        <f t="shared" si="212"/>
        <v>206.84352009786903</v>
      </c>
      <c r="M1146">
        <f t="shared" si="213"/>
        <v>0</v>
      </c>
      <c r="N1146">
        <f t="shared" si="215"/>
        <v>206.84352009786903</v>
      </c>
      <c r="O1146" s="5">
        <f t="shared" si="206"/>
        <v>3.65139741530135E-37</v>
      </c>
      <c r="P1146">
        <f t="shared" si="214"/>
        <v>10000</v>
      </c>
      <c r="Q1146">
        <f t="shared" si="207"/>
        <v>3.65139741530135E-33</v>
      </c>
    </row>
    <row r="1147" spans="1:17" x14ac:dyDescent="0.15">
      <c r="A1147" s="10">
        <v>45905.586805555969</v>
      </c>
      <c r="B1147">
        <f>COUNT(A1147:$A$1158)/(48*252)</f>
        <v>9.9206349206349201E-4</v>
      </c>
      <c r="C1147">
        <v>2.3260000000000001</v>
      </c>
      <c r="D1147">
        <v>0.11899999999999999</v>
      </c>
      <c r="E1147">
        <f t="shared" si="204"/>
        <v>12.637532263207596</v>
      </c>
      <c r="F1147">
        <f t="shared" si="205"/>
        <v>0</v>
      </c>
      <c r="G1147">
        <f t="shared" si="208"/>
        <v>-4.0000000000000036E-3</v>
      </c>
      <c r="H1147">
        <f>IF(MOD(COUNTA($C$7:C1147)-1,$J$2),H1146,ROUND(F1147*P1147,-2))</f>
        <v>0</v>
      </c>
      <c r="I1147">
        <f t="shared" si="209"/>
        <v>0</v>
      </c>
      <c r="J1147">
        <f t="shared" si="210"/>
        <v>0</v>
      </c>
      <c r="K1147">
        <f t="shared" si="211"/>
        <v>206.84352009786903</v>
      </c>
      <c r="L1147">
        <f t="shared" si="212"/>
        <v>206.84352009786903</v>
      </c>
      <c r="M1147">
        <f t="shared" si="213"/>
        <v>0</v>
      </c>
      <c r="N1147">
        <f t="shared" si="215"/>
        <v>206.84352009786903</v>
      </c>
      <c r="O1147" s="5">
        <f t="shared" si="206"/>
        <v>2.1642765260146343E-39</v>
      </c>
      <c r="P1147">
        <f t="shared" si="214"/>
        <v>10000</v>
      </c>
      <c r="Q1147">
        <f t="shared" si="207"/>
        <v>2.1642765260146343E-35</v>
      </c>
    </row>
    <row r="1148" spans="1:17" x14ac:dyDescent="0.15">
      <c r="A1148" s="10">
        <v>45905.590277777985</v>
      </c>
      <c r="B1148">
        <f>COUNT(A1148:$A$1158)/(48*252)</f>
        <v>9.0939153439153434E-4</v>
      </c>
      <c r="C1148">
        <v>2.3260000000000001</v>
      </c>
      <c r="D1148">
        <v>0.11899999999999999</v>
      </c>
      <c r="E1148">
        <f t="shared" si="204"/>
        <v>13.198539959049034</v>
      </c>
      <c r="F1148">
        <f t="shared" si="205"/>
        <v>0</v>
      </c>
      <c r="G1148">
        <f t="shared" si="208"/>
        <v>0</v>
      </c>
      <c r="H1148">
        <f>IF(MOD(COUNTA($C$7:C1148)-1,$J$2),H1147,ROUND(F1148*P1148,-2))</f>
        <v>0</v>
      </c>
      <c r="I1148">
        <f t="shared" si="209"/>
        <v>0</v>
      </c>
      <c r="J1148">
        <f t="shared" si="210"/>
        <v>0</v>
      </c>
      <c r="K1148">
        <f t="shared" si="211"/>
        <v>206.84352009786903</v>
      </c>
      <c r="L1148">
        <f t="shared" si="212"/>
        <v>206.84352009786903</v>
      </c>
      <c r="M1148">
        <f t="shared" si="213"/>
        <v>0</v>
      </c>
      <c r="N1148">
        <f t="shared" si="215"/>
        <v>206.84352009786903</v>
      </c>
      <c r="O1148" s="5">
        <f t="shared" si="206"/>
        <v>1.3549075431727199E-42</v>
      </c>
      <c r="P1148">
        <f t="shared" si="214"/>
        <v>10000</v>
      </c>
      <c r="Q1148">
        <f t="shared" si="207"/>
        <v>1.3549075431727199E-38</v>
      </c>
    </row>
    <row r="1149" spans="1:17" x14ac:dyDescent="0.15">
      <c r="A1149" s="10">
        <v>45905.59375</v>
      </c>
      <c r="B1149">
        <f>COUNT(A1149:$A$1158)/(48*252)</f>
        <v>8.2671957671957667E-4</v>
      </c>
      <c r="C1149">
        <v>2.3250000000000002</v>
      </c>
      <c r="D1149">
        <v>0.12</v>
      </c>
      <c r="E1149">
        <f t="shared" si="204"/>
        <v>13.815790316104509</v>
      </c>
      <c r="F1149">
        <f t="shared" si="205"/>
        <v>0</v>
      </c>
      <c r="G1149">
        <f t="shared" si="208"/>
        <v>-9.9999999999988987E-4</v>
      </c>
      <c r="H1149">
        <f>IF(MOD(COUNTA($C$7:C1149)-1,$J$2),H1148,ROUND(F1149*P1149,-2))</f>
        <v>0</v>
      </c>
      <c r="I1149">
        <f t="shared" si="209"/>
        <v>0</v>
      </c>
      <c r="J1149">
        <f t="shared" si="210"/>
        <v>0</v>
      </c>
      <c r="K1149">
        <f t="shared" si="211"/>
        <v>206.84352009786903</v>
      </c>
      <c r="L1149">
        <f t="shared" si="212"/>
        <v>206.84352009786903</v>
      </c>
      <c r="M1149">
        <f t="shared" si="213"/>
        <v>0</v>
      </c>
      <c r="N1149">
        <f t="shared" si="215"/>
        <v>206.84352009786903</v>
      </c>
      <c r="O1149" s="5">
        <f t="shared" si="206"/>
        <v>2.8252867698312071E-46</v>
      </c>
      <c r="P1149">
        <f t="shared" si="214"/>
        <v>10000</v>
      </c>
      <c r="Q1149">
        <f t="shared" si="207"/>
        <v>2.8252867698312071E-42</v>
      </c>
    </row>
    <row r="1150" spans="1:17" x14ac:dyDescent="0.15">
      <c r="A1150" s="10">
        <v>45905.597222222015</v>
      </c>
      <c r="B1150">
        <f>COUNT(A1150:$A$1158)/(48*252)</f>
        <v>7.4404761904761901E-4</v>
      </c>
      <c r="C1150">
        <v>2.3250000000000002</v>
      </c>
      <c r="D1150">
        <v>0.123</v>
      </c>
      <c r="E1150">
        <f t="shared" si="204"/>
        <v>14.562091324844459</v>
      </c>
      <c r="F1150">
        <f t="shared" si="205"/>
        <v>0</v>
      </c>
      <c r="G1150">
        <f t="shared" si="208"/>
        <v>0</v>
      </c>
      <c r="H1150">
        <f>IF(MOD(COUNTA($C$7:C1150)-1,$J$2),H1149,ROUND(F1150*P1150,-2))</f>
        <v>0</v>
      </c>
      <c r="I1150">
        <f t="shared" si="209"/>
        <v>0</v>
      </c>
      <c r="J1150">
        <f t="shared" si="210"/>
        <v>0</v>
      </c>
      <c r="K1150">
        <f t="shared" si="211"/>
        <v>206.84352009786903</v>
      </c>
      <c r="L1150">
        <f t="shared" si="212"/>
        <v>206.84352009786903</v>
      </c>
      <c r="M1150">
        <f t="shared" si="213"/>
        <v>0</v>
      </c>
      <c r="N1150">
        <f t="shared" si="215"/>
        <v>206.84352009786903</v>
      </c>
      <c r="O1150" s="5">
        <f t="shared" si="206"/>
        <v>6.084936536564986E-51</v>
      </c>
      <c r="P1150">
        <f t="shared" si="214"/>
        <v>10000</v>
      </c>
      <c r="Q1150">
        <f t="shared" si="207"/>
        <v>6.084936536564986E-47</v>
      </c>
    </row>
    <row r="1151" spans="1:17" x14ac:dyDescent="0.15">
      <c r="A1151" s="10">
        <v>45905.600694444962</v>
      </c>
      <c r="B1151">
        <f>COUNT(A1151:$A$1158)/(48*252)</f>
        <v>6.6137566137566134E-4</v>
      </c>
      <c r="C1151">
        <v>2.3279999999999998</v>
      </c>
      <c r="D1151">
        <v>0.121</v>
      </c>
      <c r="E1151">
        <f t="shared" si="204"/>
        <v>15.531431778271314</v>
      </c>
      <c r="F1151">
        <f t="shared" si="205"/>
        <v>0</v>
      </c>
      <c r="G1151">
        <f t="shared" si="208"/>
        <v>2.9999999999996696E-3</v>
      </c>
      <c r="H1151">
        <f>IF(MOD(COUNTA($C$7:C1151)-1,$J$2),H1150,ROUND(F1151*P1151,-2))</f>
        <v>0</v>
      </c>
      <c r="I1151">
        <f t="shared" si="209"/>
        <v>0</v>
      </c>
      <c r="J1151">
        <f t="shared" si="210"/>
        <v>0</v>
      </c>
      <c r="K1151">
        <f t="shared" si="211"/>
        <v>206.84352009786903</v>
      </c>
      <c r="L1151">
        <f t="shared" si="212"/>
        <v>206.84352009786903</v>
      </c>
      <c r="M1151">
        <f t="shared" si="213"/>
        <v>0</v>
      </c>
      <c r="N1151">
        <f t="shared" si="215"/>
        <v>206.84352009786903</v>
      </c>
      <c r="O1151" s="5">
        <f t="shared" si="206"/>
        <v>2.3418466580864722E-57</v>
      </c>
      <c r="P1151">
        <f t="shared" si="214"/>
        <v>10000</v>
      </c>
      <c r="Q1151">
        <f t="shared" si="207"/>
        <v>2.3418466580864722E-53</v>
      </c>
    </row>
    <row r="1152" spans="1:17" x14ac:dyDescent="0.15">
      <c r="A1152" s="10">
        <v>45905.604166666977</v>
      </c>
      <c r="B1152">
        <f>COUNT(A1152:$A$1158)/(48*252)</f>
        <v>5.7870370370370367E-4</v>
      </c>
      <c r="C1152">
        <v>2.3250000000000002</v>
      </c>
      <c r="D1152">
        <v>0.11899999999999999</v>
      </c>
      <c r="E1152">
        <f t="shared" si="204"/>
        <v>16.509522868817324</v>
      </c>
      <c r="F1152">
        <f t="shared" si="205"/>
        <v>0</v>
      </c>
      <c r="G1152">
        <f t="shared" si="208"/>
        <v>-2.9999999999996696E-3</v>
      </c>
      <c r="H1152">
        <f>IF(MOD(COUNTA($C$7:C1152)-1,$J$2),H1151,ROUND(F1152*P1152,-2))</f>
        <v>0</v>
      </c>
      <c r="I1152">
        <f t="shared" si="209"/>
        <v>0</v>
      </c>
      <c r="J1152">
        <f t="shared" si="210"/>
        <v>0</v>
      </c>
      <c r="K1152">
        <f t="shared" si="211"/>
        <v>206.84352009786903</v>
      </c>
      <c r="L1152">
        <f t="shared" si="212"/>
        <v>206.84352009786903</v>
      </c>
      <c r="M1152">
        <f t="shared" si="213"/>
        <v>0</v>
      </c>
      <c r="N1152">
        <f t="shared" si="215"/>
        <v>206.84352009786903</v>
      </c>
      <c r="O1152" s="5">
        <f t="shared" si="206"/>
        <v>3.0362747079614639E-64</v>
      </c>
      <c r="P1152">
        <f t="shared" si="214"/>
        <v>10000</v>
      </c>
      <c r="Q1152">
        <f t="shared" si="207"/>
        <v>3.0362747079614639E-60</v>
      </c>
    </row>
    <row r="1153" spans="1:17" x14ac:dyDescent="0.15">
      <c r="A1153" s="10">
        <v>45905.607638888992</v>
      </c>
      <c r="B1153">
        <f>COUNT(A1153:$A$1158)/(48*252)</f>
        <v>4.96031746031746E-4</v>
      </c>
      <c r="C1153">
        <v>2.3250000000000002</v>
      </c>
      <c r="D1153">
        <v>0.12</v>
      </c>
      <c r="E1153">
        <f t="shared" si="204"/>
        <v>17.831060858390334</v>
      </c>
      <c r="F1153">
        <f t="shared" si="205"/>
        <v>0</v>
      </c>
      <c r="G1153">
        <f t="shared" si="208"/>
        <v>0</v>
      </c>
      <c r="H1153">
        <f>IF(MOD(COUNTA($C$7:C1153)-1,$J$2),H1152,ROUND(F1153*P1153,-2))</f>
        <v>0</v>
      </c>
      <c r="I1153">
        <f t="shared" si="209"/>
        <v>0</v>
      </c>
      <c r="J1153">
        <f t="shared" si="210"/>
        <v>0</v>
      </c>
      <c r="K1153">
        <f t="shared" si="211"/>
        <v>206.84352009786903</v>
      </c>
      <c r="L1153">
        <f t="shared" si="212"/>
        <v>206.84352009786903</v>
      </c>
      <c r="M1153">
        <f t="shared" si="213"/>
        <v>0</v>
      </c>
      <c r="N1153">
        <f t="shared" si="215"/>
        <v>206.84352009786903</v>
      </c>
      <c r="O1153" s="5">
        <f t="shared" si="206"/>
        <v>3.372391238764559E-74</v>
      </c>
      <c r="P1153">
        <f t="shared" si="214"/>
        <v>10000</v>
      </c>
      <c r="Q1153">
        <f t="shared" si="207"/>
        <v>3.372391238764559E-70</v>
      </c>
    </row>
    <row r="1154" spans="1:17" x14ac:dyDescent="0.15">
      <c r="A1154" s="10">
        <v>45905.611111111008</v>
      </c>
      <c r="B1154">
        <f>COUNT(A1154:$A$1158)/(48*252)</f>
        <v>4.1335978835978834E-4</v>
      </c>
      <c r="C1154">
        <v>2.319</v>
      </c>
      <c r="D1154">
        <v>0.112</v>
      </c>
      <c r="E1154">
        <f t="shared" si="204"/>
        <v>19.310805794762992</v>
      </c>
      <c r="F1154">
        <f t="shared" si="205"/>
        <v>0</v>
      </c>
      <c r="G1154">
        <f t="shared" si="208"/>
        <v>-6.0000000000002274E-3</v>
      </c>
      <c r="H1154">
        <f>IF(MOD(COUNTA($C$7:C1154)-1,$J$2),H1153,ROUND(F1154*P1154,-2))</f>
        <v>0</v>
      </c>
      <c r="I1154">
        <f t="shared" si="209"/>
        <v>0</v>
      </c>
      <c r="J1154">
        <f t="shared" si="210"/>
        <v>0</v>
      </c>
      <c r="K1154">
        <f t="shared" si="211"/>
        <v>206.84352009786903</v>
      </c>
      <c r="L1154">
        <f t="shared" si="212"/>
        <v>206.84352009786903</v>
      </c>
      <c r="M1154">
        <f t="shared" si="213"/>
        <v>0</v>
      </c>
      <c r="N1154">
        <f t="shared" si="215"/>
        <v>206.84352009786903</v>
      </c>
      <c r="O1154" s="5">
        <f t="shared" si="206"/>
        <v>3.0479217632843453E-86</v>
      </c>
      <c r="P1154">
        <f t="shared" si="214"/>
        <v>10000</v>
      </c>
      <c r="Q1154">
        <f t="shared" si="207"/>
        <v>3.0479217632843453E-82</v>
      </c>
    </row>
    <row r="1155" spans="1:17" x14ac:dyDescent="0.15">
      <c r="A1155" s="10">
        <v>45905.614583333023</v>
      </c>
      <c r="B1155">
        <f>COUNT(A1155:$A$1158)/(48*252)</f>
        <v>3.3068783068783067E-4</v>
      </c>
      <c r="C1155">
        <v>2.3199999999999998</v>
      </c>
      <c r="D1155">
        <v>0.112</v>
      </c>
      <c r="E1155">
        <f t="shared" si="204"/>
        <v>21.629772253889708</v>
      </c>
      <c r="F1155">
        <f t="shared" si="205"/>
        <v>0</v>
      </c>
      <c r="G1155">
        <f t="shared" si="208"/>
        <v>9.9999999999988987E-4</v>
      </c>
      <c r="H1155">
        <f>IF(MOD(COUNTA($C$7:C1155)-1,$J$2),H1154,ROUND(F1155*P1155,-2))</f>
        <v>0</v>
      </c>
      <c r="I1155">
        <f t="shared" si="209"/>
        <v>0</v>
      </c>
      <c r="J1155">
        <f t="shared" si="210"/>
        <v>0</v>
      </c>
      <c r="K1155">
        <f t="shared" si="211"/>
        <v>206.84352009786903</v>
      </c>
      <c r="L1155">
        <f t="shared" si="212"/>
        <v>206.84352009786903</v>
      </c>
      <c r="M1155">
        <f t="shared" si="213"/>
        <v>0</v>
      </c>
      <c r="N1155">
        <f t="shared" si="215"/>
        <v>206.84352009786903</v>
      </c>
      <c r="O1155" s="5">
        <f t="shared" si="206"/>
        <v>5.2717693268974328E-107</v>
      </c>
      <c r="P1155">
        <f t="shared" si="214"/>
        <v>10000</v>
      </c>
      <c r="Q1155">
        <f t="shared" si="207"/>
        <v>5.2717693268974328E-103</v>
      </c>
    </row>
    <row r="1156" spans="1:17" x14ac:dyDescent="0.15">
      <c r="A1156" s="10">
        <v>45905.618055555969</v>
      </c>
      <c r="B1156">
        <f>COUNT(A1156:$A$1158)/(48*252)</f>
        <v>2.48015873015873E-4</v>
      </c>
      <c r="C1156">
        <v>2.3130000000000002</v>
      </c>
      <c r="D1156">
        <v>0.104</v>
      </c>
      <c r="E1156">
        <f t="shared" si="204"/>
        <v>24.640835074906665</v>
      </c>
      <c r="F1156">
        <f t="shared" si="205"/>
        <v>0</v>
      </c>
      <c r="G1156">
        <f t="shared" si="208"/>
        <v>-6.9999999999996732E-3</v>
      </c>
      <c r="H1156">
        <f>IF(MOD(COUNTA($C$7:C1156)-1,$J$2),H1155,ROUND(F1156*P1156,-2))</f>
        <v>0</v>
      </c>
      <c r="I1156">
        <f t="shared" si="209"/>
        <v>0</v>
      </c>
      <c r="J1156">
        <f t="shared" si="210"/>
        <v>0</v>
      </c>
      <c r="K1156">
        <f t="shared" si="211"/>
        <v>206.84352009786903</v>
      </c>
      <c r="L1156">
        <f t="shared" si="212"/>
        <v>206.84352009786903</v>
      </c>
      <c r="M1156">
        <f t="shared" si="213"/>
        <v>0</v>
      </c>
      <c r="N1156">
        <f t="shared" si="215"/>
        <v>206.84352009786903</v>
      </c>
      <c r="O1156" s="5">
        <f t="shared" si="206"/>
        <v>1.9578991858795434E-137</v>
      </c>
      <c r="P1156">
        <f t="shared" si="214"/>
        <v>10000</v>
      </c>
      <c r="Q1156">
        <f t="shared" si="207"/>
        <v>1.9578991858795434E-133</v>
      </c>
    </row>
    <row r="1157" spans="1:17" x14ac:dyDescent="0.15">
      <c r="A1157" s="10">
        <v>45905.621527777985</v>
      </c>
      <c r="B1157">
        <f>COUNT(A1157:$A$1158)/(48*252)</f>
        <v>1.6534391534391533E-4</v>
      </c>
      <c r="C1157">
        <v>2.3130000000000002</v>
      </c>
      <c r="D1157">
        <v>0.106</v>
      </c>
      <c r="E1157">
        <f t="shared" si="204"/>
        <v>30.176550647270862</v>
      </c>
      <c r="F1157">
        <f t="shared" si="205"/>
        <v>0</v>
      </c>
      <c r="G1157">
        <f t="shared" si="208"/>
        <v>0</v>
      </c>
      <c r="H1157">
        <f>IF(MOD(COUNTA($C$7:C1157)-1,$J$2),H1156,ROUND(F1157*P1157,-2))</f>
        <v>0</v>
      </c>
      <c r="I1157">
        <f t="shared" si="209"/>
        <v>0</v>
      </c>
      <c r="J1157">
        <f t="shared" si="210"/>
        <v>0</v>
      </c>
      <c r="K1157">
        <f t="shared" si="211"/>
        <v>206.84352009786903</v>
      </c>
      <c r="L1157">
        <f t="shared" si="212"/>
        <v>206.84352009786903</v>
      </c>
      <c r="M1157">
        <f t="shared" si="213"/>
        <v>0</v>
      </c>
      <c r="N1157">
        <f>L1157-$F$1</f>
        <v>206.84352009786903</v>
      </c>
      <c r="O1157" s="5">
        <f t="shared" si="206"/>
        <v>1.3623575942730632E-203</v>
      </c>
      <c r="P1157">
        <f t="shared" si="214"/>
        <v>10000</v>
      </c>
      <c r="Q1157">
        <f t="shared" si="207"/>
        <v>1.3623575942730632E-199</v>
      </c>
    </row>
    <row r="1158" spans="1:17" x14ac:dyDescent="0.15">
      <c r="A1158" s="10">
        <v>45905.625</v>
      </c>
      <c r="B1158">
        <f>COUNT(A1158:$A$1158)/(48*252)</f>
        <v>8.2671957671957667E-5</v>
      </c>
      <c r="C1158">
        <v>2.3079999999999998</v>
      </c>
      <c r="D1158">
        <v>0.1</v>
      </c>
      <c r="E1158">
        <f t="shared" si="204"/>
        <v>42.259586095405702</v>
      </c>
      <c r="F1158">
        <f t="shared" si="205"/>
        <v>0</v>
      </c>
      <c r="G1158">
        <f t="shared" si="208"/>
        <v>-5.0000000000003375E-3</v>
      </c>
      <c r="H1158">
        <f>IF(MOD(COUNTA($C$7:C1158)-1,$J$2),H1157,ROUND(F1158*P1158,-2))</f>
        <v>0</v>
      </c>
      <c r="I1158">
        <f t="shared" si="209"/>
        <v>0</v>
      </c>
      <c r="J1158">
        <f t="shared" si="210"/>
        <v>0</v>
      </c>
      <c r="K1158">
        <f t="shared" si="211"/>
        <v>206.84352009786903</v>
      </c>
      <c r="L1158">
        <f t="shared" si="212"/>
        <v>206.84352009786903</v>
      </c>
      <c r="M1158">
        <f t="shared" si="213"/>
        <v>0</v>
      </c>
      <c r="N1158">
        <f t="shared" si="215"/>
        <v>206.84352009786903</v>
      </c>
      <c r="O1158" s="5">
        <f t="shared" si="206"/>
        <v>0</v>
      </c>
      <c r="P1158">
        <f t="shared" si="214"/>
        <v>10000</v>
      </c>
      <c r="Q1158">
        <f t="shared" si="207"/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List Box 5">
              <controlPr defaultSize="0" autoLine="0" autoPict="0" macro="[0]!选择合约">
                <anchor moveWithCells="1">
                  <from>
                    <xdr:col>7</xdr:col>
                    <xdr:colOff>19050</xdr:colOff>
                    <xdr:row>2</xdr:row>
                    <xdr:rowOff>161925</xdr:rowOff>
                  </from>
                  <to>
                    <xdr:col>7</xdr:col>
                    <xdr:colOff>666750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1158"/>
  <sheetViews>
    <sheetView workbookViewId="0">
      <selection activeCell="I19" sqref="I19"/>
    </sheetView>
  </sheetViews>
  <sheetFormatPr defaultRowHeight="13.5" x14ac:dyDescent="0.15"/>
  <cols>
    <col min="4" max="4" width="12.625" customWidth="1"/>
  </cols>
  <sheetData>
    <row r="1" spans="1:18" x14ac:dyDescent="0.15">
      <c r="A1" s="1" t="s">
        <v>0</v>
      </c>
      <c r="B1" s="2">
        <v>0.03</v>
      </c>
      <c r="C1" s="1" t="s">
        <v>1</v>
      </c>
      <c r="D1" s="3">
        <v>0.47582964831963181</v>
      </c>
      <c r="E1" s="1" t="s">
        <v>32</v>
      </c>
      <c r="F1" s="4"/>
      <c r="G1" s="1"/>
      <c r="H1" s="15"/>
      <c r="I1" s="17" t="s">
        <v>2</v>
      </c>
      <c r="J1" s="18">
        <f>D1</f>
        <v>0.47582964831963181</v>
      </c>
      <c r="K1" s="19" t="s">
        <v>23</v>
      </c>
      <c r="L1" s="19">
        <v>1</v>
      </c>
      <c r="M1" s="17" t="s">
        <v>26</v>
      </c>
      <c r="N1" s="19">
        <v>1.85</v>
      </c>
      <c r="O1" s="23">
        <v>2.2000000000000002</v>
      </c>
      <c r="P1" s="24">
        <v>2.35</v>
      </c>
      <c r="R1" t="s">
        <v>3</v>
      </c>
    </row>
    <row r="2" spans="1:18" ht="14.25" thickBot="1" x14ac:dyDescent="0.2">
      <c r="A2" s="6" t="s">
        <v>4</v>
      </c>
      <c r="B2" s="7">
        <v>2.2000000000000002</v>
      </c>
      <c r="C2" s="6" t="s">
        <v>5</v>
      </c>
      <c r="D2" s="8">
        <v>42305</v>
      </c>
      <c r="E2" s="6" t="s">
        <v>6</v>
      </c>
      <c r="F2" s="7">
        <v>4.5000000000000003E-5</v>
      </c>
      <c r="G2" s="5"/>
      <c r="H2" s="11"/>
      <c r="I2" s="20" t="s">
        <v>28</v>
      </c>
      <c r="J2" s="21">
        <v>6</v>
      </c>
      <c r="K2" s="21" t="s">
        <v>29</v>
      </c>
      <c r="L2" s="21"/>
      <c r="M2" s="25" t="s">
        <v>24</v>
      </c>
      <c r="N2" s="26">
        <f>imvol($C$7,N1,$B$7,$B$1,0.0286,2)</f>
        <v>0.57571045542135835</v>
      </c>
      <c r="O2" s="26">
        <f>imvol($C$7,O1,$B$7,$B$1,0.12,2)</f>
        <v>0.47582964831963181</v>
      </c>
      <c r="P2" s="27">
        <f>imvol($C$7,P1,$B$7,$B$1,0.2026,2)</f>
        <v>0.45067318296059966</v>
      </c>
      <c r="R2" t="s">
        <v>25</v>
      </c>
    </row>
    <row r="3" spans="1:18" ht="14.25" thickBot="1" x14ac:dyDescent="0.2">
      <c r="A3" s="11"/>
      <c r="B3" s="11"/>
      <c r="C3" s="11"/>
      <c r="D3" s="12"/>
      <c r="E3" s="11"/>
      <c r="F3" s="11"/>
      <c r="G3" s="13"/>
      <c r="H3" s="13" t="s">
        <v>33</v>
      </c>
      <c r="I3" s="16">
        <v>1.85</v>
      </c>
      <c r="M3" s="20" t="s">
        <v>31</v>
      </c>
      <c r="N3" s="21">
        <v>10000410</v>
      </c>
      <c r="O3" s="28">
        <v>10000420</v>
      </c>
      <c r="P3" s="22">
        <v>10000426</v>
      </c>
    </row>
    <row r="4" spans="1:18" x14ac:dyDescent="0.15">
      <c r="A4" s="11"/>
      <c r="B4" s="11"/>
      <c r="C4" s="11"/>
      <c r="D4" s="12"/>
      <c r="E4" s="11"/>
      <c r="F4" s="11"/>
      <c r="G4" s="13"/>
      <c r="H4" s="13">
        <v>2</v>
      </c>
      <c r="I4" s="13">
        <v>2.2000000000000002</v>
      </c>
      <c r="J4" s="14" t="s">
        <v>27</v>
      </c>
      <c r="K4" s="14">
        <f>L1158</f>
        <v>1540.5218995419127</v>
      </c>
      <c r="O4" s="5"/>
    </row>
    <row r="5" spans="1:18" x14ac:dyDescent="0.15">
      <c r="A5" s="11"/>
      <c r="B5" s="11"/>
      <c r="C5" s="11"/>
      <c r="D5" s="12"/>
      <c r="E5" s="11"/>
      <c r="F5" s="11"/>
      <c r="G5" s="13"/>
      <c r="H5" s="13"/>
      <c r="I5" s="13">
        <v>2.35</v>
      </c>
      <c r="M5" t="s">
        <v>27</v>
      </c>
      <c r="O5" s="5">
        <v>850</v>
      </c>
    </row>
    <row r="6" spans="1:18" ht="27" x14ac:dyDescent="0.15">
      <c r="A6" t="s">
        <v>7</v>
      </c>
      <c r="B6" t="s">
        <v>8</v>
      </c>
      <c r="C6" t="s">
        <v>9</v>
      </c>
      <c r="D6" t="s">
        <v>22</v>
      </c>
      <c r="E6" t="s">
        <v>10</v>
      </c>
      <c r="F6" t="s">
        <v>11</v>
      </c>
      <c r="G6" t="s">
        <v>12</v>
      </c>
      <c r="H6" t="s">
        <v>13</v>
      </c>
      <c r="I6" t="s">
        <v>14</v>
      </c>
      <c r="J6" t="s">
        <v>15</v>
      </c>
      <c r="K6" t="s">
        <v>16</v>
      </c>
      <c r="L6" t="s">
        <v>17</v>
      </c>
      <c r="M6" t="s">
        <v>18</v>
      </c>
      <c r="N6" s="9" t="s">
        <v>19</v>
      </c>
      <c r="O6" s="5" t="s">
        <v>20</v>
      </c>
      <c r="P6" t="s">
        <v>13</v>
      </c>
      <c r="Q6" t="s">
        <v>21</v>
      </c>
    </row>
    <row r="7" spans="1:18" x14ac:dyDescent="0.15">
      <c r="A7" s="10">
        <v>45865.399305555969</v>
      </c>
      <c r="B7">
        <f>COUNT(A7:$A$1158)/(48*252)</f>
        <v>9.5238095238095233E-2</v>
      </c>
      <c r="C7">
        <v>2.2120000000000002</v>
      </c>
      <c r="D7">
        <v>0.108</v>
      </c>
      <c r="E7">
        <f>(LN(C7/$B$2)+($B$1+0.5*$D$1*$D$1)*B7)/($D$1*SQRT(B7))</f>
        <v>0.12992325189415932</v>
      </c>
      <c r="F7">
        <f>NORMSDIST(E7)</f>
        <v>0.55168642607138607</v>
      </c>
      <c r="H7">
        <f>ROUND(P7*F7,-2)</f>
        <v>5500</v>
      </c>
      <c r="I7">
        <f>H7</f>
        <v>5500</v>
      </c>
      <c r="J7">
        <v>0</v>
      </c>
      <c r="K7">
        <f>O7*P7-H7*C7-ABS(I7*C7*$F$2)</f>
        <v>-10966.547469458064</v>
      </c>
      <c r="L7">
        <f>K7+H7*C7</f>
        <v>1199.4525305419374</v>
      </c>
      <c r="N7">
        <f>L7-$F$1</f>
        <v>1199.4525305419374</v>
      </c>
      <c r="O7" s="5">
        <f>put_bs($B$1,$J$1,C7,$B$2,B7)</f>
        <v>0.12000000005419376</v>
      </c>
      <c r="P7">
        <v>10000</v>
      </c>
      <c r="Q7">
        <f>P7*O7</f>
        <v>1200.0000005419377</v>
      </c>
    </row>
    <row r="8" spans="1:18" x14ac:dyDescent="0.15">
      <c r="A8" s="10">
        <v>45865.402777777985</v>
      </c>
      <c r="B8">
        <f>COUNT(A8:$A$1158)/(48*252)</f>
        <v>9.5155423280423285E-2</v>
      </c>
      <c r="C8">
        <v>2.2080000000000002</v>
      </c>
      <c r="D8">
        <v>0.104</v>
      </c>
      <c r="E8">
        <f t="shared" ref="E8:E71" si="0">(LN(C8/$B$2)+($B$1+0.5*$D$1*$D$1)*B8)/($D$1*SQRT(B8))</f>
        <v>0.11756798375125767</v>
      </c>
      <c r="F8">
        <f t="shared" ref="F8:F71" si="1">NORMSDIST(E8)</f>
        <v>0.54679501288399812</v>
      </c>
      <c r="G8">
        <f>C8-C7</f>
        <v>-4.0000000000000036E-3</v>
      </c>
      <c r="H8">
        <f>IF(MOD(COUNTA($C$7:C8)-1,$J$2),H7,ROUND(F8*P8,-2))</f>
        <v>5500</v>
      </c>
      <c r="I8">
        <f>H8-H7</f>
        <v>0</v>
      </c>
      <c r="J8">
        <f>J7</f>
        <v>0</v>
      </c>
      <c r="K8">
        <f>K7-I8*C8-ABS(I8*C8*$F$2)</f>
        <v>-10966.547469458064</v>
      </c>
      <c r="L8">
        <f>K8+H8*C8</f>
        <v>1177.4525305419374</v>
      </c>
      <c r="M8">
        <f>L8-L7</f>
        <v>-22</v>
      </c>
      <c r="N8">
        <f>L8-$F$1</f>
        <v>1177.4525305419374</v>
      </c>
      <c r="O8" s="5">
        <f t="shared" ref="O8:O71" si="2">put_bs($B$1,$J$1,C8,$B$2,B8)</f>
        <v>0.12175002535723811</v>
      </c>
      <c r="P8">
        <f>P7</f>
        <v>10000</v>
      </c>
      <c r="Q8">
        <f t="shared" ref="Q8:Q71" si="3">P8*O8</f>
        <v>1217.5002535723811</v>
      </c>
    </row>
    <row r="9" spans="1:18" x14ac:dyDescent="0.15">
      <c r="A9" s="10">
        <v>45865.40625</v>
      </c>
      <c r="B9">
        <f>COUNT(A9:$A$1158)/(48*252)</f>
        <v>9.5072751322751323E-2</v>
      </c>
      <c r="C9">
        <v>2.2029999999999998</v>
      </c>
      <c r="D9">
        <v>0.106</v>
      </c>
      <c r="E9">
        <f t="shared" si="0"/>
        <v>0.10208643406495235</v>
      </c>
      <c r="F9">
        <f t="shared" si="1"/>
        <v>0.54065596559862639</v>
      </c>
      <c r="G9">
        <f t="shared" ref="G9:G72" si="4">C9-C8</f>
        <v>-5.0000000000003375E-3</v>
      </c>
      <c r="H9">
        <f>IF(MOD(COUNTA($C$7:C9)-1,$J$2),H8,ROUND(F9*P9,-2))</f>
        <v>5500</v>
      </c>
      <c r="I9">
        <f t="shared" ref="I9:I72" si="5">H9-H8</f>
        <v>0</v>
      </c>
      <c r="J9">
        <f t="shared" ref="J9:J72" si="6">J8</f>
        <v>0</v>
      </c>
      <c r="K9">
        <f t="shared" ref="K9:K72" si="7">K8-I9*C9-ABS(I9*C9*$F$2)</f>
        <v>-10966.547469458064</v>
      </c>
      <c r="L9">
        <f t="shared" ref="L9:L72" si="8">K9+H9*C9</f>
        <v>1149.9525305419356</v>
      </c>
      <c r="M9">
        <f t="shared" ref="M9:M72" si="9">L9-L8</f>
        <v>-27.500000000001819</v>
      </c>
      <c r="N9">
        <f>L9-$F$1</f>
        <v>1149.9525305419356</v>
      </c>
      <c r="O9" s="5">
        <f t="shared" si="2"/>
        <v>0.12397840965578832</v>
      </c>
      <c r="P9">
        <f t="shared" ref="P9:P72" si="10">P8</f>
        <v>10000</v>
      </c>
      <c r="Q9">
        <f t="shared" si="3"/>
        <v>1239.7840965578832</v>
      </c>
    </row>
    <row r="10" spans="1:18" x14ac:dyDescent="0.15">
      <c r="A10" s="10">
        <v>45865.409722222015</v>
      </c>
      <c r="B10">
        <f>COUNT(A10:$A$1158)/(48*252)</f>
        <v>9.4990079365079361E-2</v>
      </c>
      <c r="C10">
        <v>2.2040000000000002</v>
      </c>
      <c r="D10">
        <v>0.10199999999999999</v>
      </c>
      <c r="E10">
        <f t="shared" si="0"/>
        <v>0.10514466068052111</v>
      </c>
      <c r="F10">
        <f t="shared" si="1"/>
        <v>0.54186948920730427</v>
      </c>
      <c r="G10">
        <f t="shared" si="4"/>
        <v>1.000000000000334E-3</v>
      </c>
      <c r="H10">
        <f>IF(MOD(COUNTA($C$7:C10)-1,$J$2),H9,ROUND(F10*P10,-2))</f>
        <v>5500</v>
      </c>
      <c r="I10">
        <f t="shared" si="5"/>
        <v>0</v>
      </c>
      <c r="J10">
        <f t="shared" si="6"/>
        <v>0</v>
      </c>
      <c r="K10">
        <f t="shared" si="7"/>
        <v>-10966.547469458064</v>
      </c>
      <c r="L10">
        <f t="shared" si="8"/>
        <v>1155.4525305419374</v>
      </c>
      <c r="M10">
        <f t="shared" si="9"/>
        <v>5.500000000001819</v>
      </c>
      <c r="N10">
        <f t="shared" ref="N10:N73" si="11">L10-$F$1</f>
        <v>1155.4525305419374</v>
      </c>
      <c r="O10" s="5">
        <f t="shared" si="2"/>
        <v>0.12346669862661774</v>
      </c>
      <c r="P10">
        <f t="shared" si="10"/>
        <v>10000</v>
      </c>
      <c r="Q10">
        <f t="shared" si="3"/>
        <v>1234.6669862661774</v>
      </c>
    </row>
    <row r="11" spans="1:18" x14ac:dyDescent="0.15">
      <c r="A11" s="10">
        <v>45865.413194444962</v>
      </c>
      <c r="B11">
        <f>COUNT(A11:$A$1158)/(48*252)</f>
        <v>9.4907407407407413E-2</v>
      </c>
      <c r="C11">
        <v>2.2090000000000001</v>
      </c>
      <c r="D11">
        <v>0.105</v>
      </c>
      <c r="E11">
        <f t="shared" si="0"/>
        <v>0.12056808671765908</v>
      </c>
      <c r="F11">
        <f t="shared" si="1"/>
        <v>0.54798342624666363</v>
      </c>
      <c r="G11">
        <f t="shared" si="4"/>
        <v>4.9999999999998934E-3</v>
      </c>
      <c r="H11">
        <f>IF(MOD(COUNTA($C$7:C11)-1,$J$2),H10,ROUND(F11*P11,-2))</f>
        <v>5500</v>
      </c>
      <c r="I11">
        <f t="shared" si="5"/>
        <v>0</v>
      </c>
      <c r="J11">
        <f t="shared" si="6"/>
        <v>0</v>
      </c>
      <c r="K11">
        <f t="shared" si="7"/>
        <v>-10966.547469458064</v>
      </c>
      <c r="L11">
        <f t="shared" si="8"/>
        <v>1182.9525305419356</v>
      </c>
      <c r="M11">
        <f t="shared" si="9"/>
        <v>27.499999999998181</v>
      </c>
      <c r="N11">
        <f t="shared" si="11"/>
        <v>1182.9525305419356</v>
      </c>
      <c r="O11" s="5">
        <f t="shared" si="2"/>
        <v>0.12113830114263957</v>
      </c>
      <c r="P11">
        <f t="shared" si="10"/>
        <v>10000</v>
      </c>
      <c r="Q11">
        <f t="shared" si="3"/>
        <v>1211.3830114263958</v>
      </c>
    </row>
    <row r="12" spans="1:18" x14ac:dyDescent="0.15">
      <c r="A12" s="10">
        <v>45865.416666666977</v>
      </c>
      <c r="B12">
        <f>COUNT(A12:$A$1158)/(48*252)</f>
        <v>9.4824735449735451E-2</v>
      </c>
      <c r="C12">
        <v>2.2120000000000002</v>
      </c>
      <c r="D12">
        <v>0.108</v>
      </c>
      <c r="E12">
        <f t="shared" si="0"/>
        <v>0.12980212587073403</v>
      </c>
      <c r="F12">
        <f t="shared" si="1"/>
        <v>0.55163850952759153</v>
      </c>
      <c r="G12">
        <f t="shared" si="4"/>
        <v>3.0000000000001137E-3</v>
      </c>
      <c r="H12">
        <f>IF(MOD(COUNTA($C$7:C12)-1,$J$2),H11,ROUND(F12*P12,-2))</f>
        <v>5500</v>
      </c>
      <c r="I12">
        <f t="shared" si="5"/>
        <v>0</v>
      </c>
      <c r="J12">
        <f t="shared" si="6"/>
        <v>0</v>
      </c>
      <c r="K12">
        <f t="shared" si="7"/>
        <v>-10966.547469458064</v>
      </c>
      <c r="L12">
        <f t="shared" si="8"/>
        <v>1199.4525305419374</v>
      </c>
      <c r="M12">
        <f t="shared" si="9"/>
        <v>16.500000000001819</v>
      </c>
      <c r="N12">
        <f t="shared" si="11"/>
        <v>1199.4525305419374</v>
      </c>
      <c r="O12" s="5">
        <f t="shared" si="2"/>
        <v>0.1197346270000883</v>
      </c>
      <c r="P12">
        <f t="shared" si="10"/>
        <v>10000</v>
      </c>
      <c r="Q12">
        <f t="shared" si="3"/>
        <v>1197.3462700008829</v>
      </c>
    </row>
    <row r="13" spans="1:18" x14ac:dyDescent="0.15">
      <c r="A13" s="10">
        <v>45865.420138888992</v>
      </c>
      <c r="B13">
        <f>COUNT(A13:$A$1158)/(48*252)</f>
        <v>9.4742063492063489E-2</v>
      </c>
      <c r="C13">
        <v>2.2090000000000001</v>
      </c>
      <c r="D13">
        <v>0.108</v>
      </c>
      <c r="E13">
        <f t="shared" si="0"/>
        <v>0.12051157865232175</v>
      </c>
      <c r="F13">
        <f t="shared" si="1"/>
        <v>0.54796104597328021</v>
      </c>
      <c r="G13">
        <f t="shared" si="4"/>
        <v>-3.0000000000001137E-3</v>
      </c>
      <c r="H13">
        <f>IF(MOD(COUNTA($C$7:C13)-1,$J$2),H12,ROUND(F13*P13,-2))</f>
        <v>5500</v>
      </c>
      <c r="I13">
        <f t="shared" si="5"/>
        <v>0</v>
      </c>
      <c r="J13">
        <f t="shared" si="6"/>
        <v>0</v>
      </c>
      <c r="K13">
        <f t="shared" si="7"/>
        <v>-10966.547469458064</v>
      </c>
      <c r="L13">
        <f t="shared" si="8"/>
        <v>1182.9525305419356</v>
      </c>
      <c r="M13">
        <f t="shared" si="9"/>
        <v>-16.500000000001819</v>
      </c>
      <c r="N13">
        <f t="shared" si="11"/>
        <v>1182.9525305419356</v>
      </c>
      <c r="O13" s="5">
        <f t="shared" si="2"/>
        <v>0.12103209138573967</v>
      </c>
      <c r="P13">
        <f t="shared" si="10"/>
        <v>10000</v>
      </c>
      <c r="Q13">
        <f t="shared" si="3"/>
        <v>1210.3209138573968</v>
      </c>
    </row>
    <row r="14" spans="1:18" x14ac:dyDescent="0.15">
      <c r="A14" s="10">
        <v>45865.423611111008</v>
      </c>
      <c r="B14">
        <f>COUNT(A14:$A$1158)/(48*252)</f>
        <v>9.465939153439154E-2</v>
      </c>
      <c r="C14">
        <v>2.2149999999999999</v>
      </c>
      <c r="D14">
        <v>0.109</v>
      </c>
      <c r="E14">
        <f t="shared" si="0"/>
        <v>0.13901151397306102</v>
      </c>
      <c r="F14">
        <f t="shared" si="1"/>
        <v>0.55527947472204553</v>
      </c>
      <c r="G14">
        <f t="shared" si="4"/>
        <v>5.9999999999997833E-3</v>
      </c>
      <c r="H14">
        <f>IF(MOD(COUNTA($C$7:C14)-1,$J$2),H13,ROUND(F14*P14,-2))</f>
        <v>5500</v>
      </c>
      <c r="I14">
        <f t="shared" si="5"/>
        <v>0</v>
      </c>
      <c r="J14">
        <f t="shared" si="6"/>
        <v>0</v>
      </c>
      <c r="K14">
        <f t="shared" si="7"/>
        <v>-10966.547469458064</v>
      </c>
      <c r="L14">
        <f t="shared" si="8"/>
        <v>1215.9525305419356</v>
      </c>
      <c r="M14">
        <f t="shared" si="9"/>
        <v>33</v>
      </c>
      <c r="N14">
        <f t="shared" si="11"/>
        <v>1215.9525305419356</v>
      </c>
      <c r="O14" s="5">
        <f t="shared" si="2"/>
        <v>0.11828865628347385</v>
      </c>
      <c r="P14">
        <f t="shared" si="10"/>
        <v>10000</v>
      </c>
      <c r="Q14">
        <f t="shared" si="3"/>
        <v>1182.8865628347385</v>
      </c>
    </row>
    <row r="15" spans="1:18" x14ac:dyDescent="0.15">
      <c r="A15" s="10">
        <v>45865.427083333023</v>
      </c>
      <c r="B15">
        <f>COUNT(A15:$A$1158)/(48*252)</f>
        <v>9.4576719576719578E-2</v>
      </c>
      <c r="C15">
        <v>2.2130000000000001</v>
      </c>
      <c r="D15">
        <v>0.109</v>
      </c>
      <c r="E15">
        <f t="shared" si="0"/>
        <v>0.13281817406091517</v>
      </c>
      <c r="F15">
        <f t="shared" si="1"/>
        <v>0.55283140956034238</v>
      </c>
      <c r="G15">
        <f t="shared" si="4"/>
        <v>-1.9999999999997797E-3</v>
      </c>
      <c r="H15">
        <f>IF(MOD(COUNTA($C$7:C15)-1,$J$2),H14,ROUND(F15*P15,-2))</f>
        <v>5500</v>
      </c>
      <c r="I15">
        <f t="shared" si="5"/>
        <v>0</v>
      </c>
      <c r="J15">
        <f t="shared" si="6"/>
        <v>0</v>
      </c>
      <c r="K15">
        <f t="shared" si="7"/>
        <v>-10966.547469458064</v>
      </c>
      <c r="L15">
        <f t="shared" si="8"/>
        <v>1204.9525305419356</v>
      </c>
      <c r="M15">
        <f t="shared" si="9"/>
        <v>-11</v>
      </c>
      <c r="N15">
        <f t="shared" si="11"/>
        <v>1204.9525305419356</v>
      </c>
      <c r="O15" s="5">
        <f t="shared" si="2"/>
        <v>0.11912732866651099</v>
      </c>
      <c r="P15">
        <f t="shared" si="10"/>
        <v>10000</v>
      </c>
      <c r="Q15">
        <f t="shared" si="3"/>
        <v>1191.2732866651099</v>
      </c>
    </row>
    <row r="16" spans="1:18" x14ac:dyDescent="0.15">
      <c r="A16" s="10">
        <v>45865.430555555969</v>
      </c>
      <c r="B16">
        <f>COUNT(A16:$A$1158)/(48*252)</f>
        <v>9.4494047619047616E-2</v>
      </c>
      <c r="C16">
        <v>2.2069999999999999</v>
      </c>
      <c r="D16">
        <v>0.106</v>
      </c>
      <c r="E16">
        <f t="shared" si="0"/>
        <v>0.11423414378706077</v>
      </c>
      <c r="F16">
        <f t="shared" si="1"/>
        <v>0.54547390688519326</v>
      </c>
      <c r="G16">
        <f t="shared" si="4"/>
        <v>-6.0000000000002274E-3</v>
      </c>
      <c r="H16">
        <f>IF(MOD(COUNTA($C$7:C16)-1,$J$2),H15,ROUND(F16*P16,-2))</f>
        <v>5500</v>
      </c>
      <c r="I16">
        <f t="shared" si="5"/>
        <v>0</v>
      </c>
      <c r="J16">
        <f t="shared" si="6"/>
        <v>0</v>
      </c>
      <c r="K16">
        <f t="shared" si="7"/>
        <v>-10966.547469458064</v>
      </c>
      <c r="L16">
        <f t="shared" si="8"/>
        <v>1171.9525305419356</v>
      </c>
      <c r="M16">
        <f t="shared" si="9"/>
        <v>-33</v>
      </c>
      <c r="N16">
        <f t="shared" si="11"/>
        <v>1171.9525305419356</v>
      </c>
      <c r="O16" s="5">
        <f t="shared" si="2"/>
        <v>0.12177918972964163</v>
      </c>
      <c r="P16">
        <f t="shared" si="10"/>
        <v>10000</v>
      </c>
      <c r="Q16">
        <f t="shared" si="3"/>
        <v>1217.7918972964164</v>
      </c>
    </row>
    <row r="17" spans="1:17" x14ac:dyDescent="0.15">
      <c r="A17" s="10">
        <v>45865.434027777985</v>
      </c>
      <c r="B17">
        <f>COUNT(A17:$A$1158)/(48*252)</f>
        <v>9.4411375661375668E-2</v>
      </c>
      <c r="C17">
        <v>2.21</v>
      </c>
      <c r="D17">
        <v>0.107</v>
      </c>
      <c r="E17">
        <f t="shared" si="0"/>
        <v>0.12349412422066752</v>
      </c>
      <c r="F17">
        <f t="shared" si="1"/>
        <v>0.5491420865649661</v>
      </c>
      <c r="G17">
        <f t="shared" si="4"/>
        <v>3.0000000000001137E-3</v>
      </c>
      <c r="H17">
        <f>IF(MOD(COUNTA($C$7:C17)-1,$J$2),H16,ROUND(F17*P17,-2))</f>
        <v>5500</v>
      </c>
      <c r="I17">
        <f t="shared" si="5"/>
        <v>0</v>
      </c>
      <c r="J17">
        <f t="shared" si="6"/>
        <v>0</v>
      </c>
      <c r="K17">
        <f t="shared" si="7"/>
        <v>-10966.547469458064</v>
      </c>
      <c r="L17">
        <f t="shared" si="8"/>
        <v>1188.4525305419356</v>
      </c>
      <c r="M17">
        <f t="shared" si="9"/>
        <v>16.5</v>
      </c>
      <c r="N17">
        <f t="shared" si="11"/>
        <v>1188.4525305419356</v>
      </c>
      <c r="O17" s="5">
        <f t="shared" si="2"/>
        <v>0.12036790504779216</v>
      </c>
      <c r="P17">
        <f t="shared" si="10"/>
        <v>10000</v>
      </c>
      <c r="Q17">
        <f t="shared" si="3"/>
        <v>1203.6790504779215</v>
      </c>
    </row>
    <row r="18" spans="1:17" x14ac:dyDescent="0.15">
      <c r="A18" s="10">
        <v>45865.4375</v>
      </c>
      <c r="B18">
        <f>COUNT(A18:$A$1158)/(48*252)</f>
        <v>9.4328703703703706E-2</v>
      </c>
      <c r="C18">
        <v>2.2090000000000001</v>
      </c>
      <c r="D18">
        <v>0.109</v>
      </c>
      <c r="E18">
        <f t="shared" si="0"/>
        <v>0.12037027867028945</v>
      </c>
      <c r="F18">
        <f t="shared" si="1"/>
        <v>0.54790508281312644</v>
      </c>
      <c r="G18">
        <f t="shared" si="4"/>
        <v>-9.9999999999988987E-4</v>
      </c>
      <c r="H18">
        <f>IF(MOD(COUNTA($C$7:C18)-1,$J$2),H17,ROUND(F18*P18,-2))</f>
        <v>5500</v>
      </c>
      <c r="I18">
        <f t="shared" si="5"/>
        <v>0</v>
      </c>
      <c r="J18">
        <f t="shared" si="6"/>
        <v>0</v>
      </c>
      <c r="K18">
        <f t="shared" si="7"/>
        <v>-10966.547469458064</v>
      </c>
      <c r="L18">
        <f t="shared" si="8"/>
        <v>1182.9525305419356</v>
      </c>
      <c r="M18">
        <f t="shared" si="9"/>
        <v>-5.5</v>
      </c>
      <c r="N18">
        <f t="shared" si="11"/>
        <v>1182.9525305419356</v>
      </c>
      <c r="O18" s="5">
        <f t="shared" si="2"/>
        <v>0.12076613500655597</v>
      </c>
      <c r="P18">
        <f t="shared" si="10"/>
        <v>10000</v>
      </c>
      <c r="Q18">
        <f t="shared" si="3"/>
        <v>1207.6613500655596</v>
      </c>
    </row>
    <row r="19" spans="1:17" x14ac:dyDescent="0.15">
      <c r="A19" s="10">
        <v>45865.440972222015</v>
      </c>
      <c r="B19">
        <f>COUNT(A19:$A$1158)/(48*252)</f>
        <v>9.4246031746031744E-2</v>
      </c>
      <c r="C19">
        <v>2.202</v>
      </c>
      <c r="D19">
        <v>0.104</v>
      </c>
      <c r="E19">
        <f t="shared" si="0"/>
        <v>9.86145862775476E-2</v>
      </c>
      <c r="F19">
        <f t="shared" si="1"/>
        <v>0.53927785584981103</v>
      </c>
      <c r="G19">
        <f t="shared" si="4"/>
        <v>-7.0000000000001172E-3</v>
      </c>
      <c r="H19">
        <f>IF(MOD(COUNTA($C$7:C19)-1,$J$2),H18,ROUND(F19*P19,-2))</f>
        <v>5400</v>
      </c>
      <c r="I19">
        <f t="shared" si="5"/>
        <v>-100</v>
      </c>
      <c r="J19">
        <f t="shared" si="6"/>
        <v>0</v>
      </c>
      <c r="K19">
        <f t="shared" si="7"/>
        <v>-10746.357378458064</v>
      </c>
      <c r="L19">
        <f t="shared" si="8"/>
        <v>1144.4426215419353</v>
      </c>
      <c r="M19">
        <f t="shared" si="9"/>
        <v>-38.509909000000334</v>
      </c>
      <c r="N19">
        <f t="shared" si="11"/>
        <v>1144.4426215419353</v>
      </c>
      <c r="O19" s="5">
        <f t="shared" si="2"/>
        <v>0.12390774040661756</v>
      </c>
      <c r="P19">
        <f t="shared" si="10"/>
        <v>10000</v>
      </c>
      <c r="Q19">
        <f t="shared" si="3"/>
        <v>1239.0774040661756</v>
      </c>
    </row>
    <row r="20" spans="1:17" x14ac:dyDescent="0.15">
      <c r="A20" s="10">
        <v>45865.444444444962</v>
      </c>
      <c r="B20">
        <f>COUNT(A20:$A$1158)/(48*252)</f>
        <v>9.4163359788359782E-2</v>
      </c>
      <c r="C20">
        <v>2.2050000000000001</v>
      </c>
      <c r="D20">
        <v>0.106</v>
      </c>
      <c r="E20">
        <f t="shared" si="0"/>
        <v>0.10790107426164795</v>
      </c>
      <c r="F20">
        <f t="shared" si="1"/>
        <v>0.54296291751940462</v>
      </c>
      <c r="G20">
        <f t="shared" si="4"/>
        <v>3.0000000000001137E-3</v>
      </c>
      <c r="H20">
        <f>IF(MOD(COUNTA($C$7:C20)-1,$J$2),H19,ROUND(F20*P20,-2))</f>
        <v>5400</v>
      </c>
      <c r="I20">
        <f t="shared" si="5"/>
        <v>0</v>
      </c>
      <c r="J20">
        <f t="shared" si="6"/>
        <v>0</v>
      </c>
      <c r="K20">
        <f t="shared" si="7"/>
        <v>-10746.357378458064</v>
      </c>
      <c r="L20">
        <f t="shared" si="8"/>
        <v>1160.642621541936</v>
      </c>
      <c r="M20">
        <f t="shared" si="9"/>
        <v>16.200000000000728</v>
      </c>
      <c r="N20">
        <f t="shared" si="11"/>
        <v>1160.642621541936</v>
      </c>
      <c r="O20" s="5">
        <f t="shared" si="2"/>
        <v>0.1224778824666235</v>
      </c>
      <c r="P20">
        <f t="shared" si="10"/>
        <v>10000</v>
      </c>
      <c r="Q20">
        <f t="shared" si="3"/>
        <v>1224.7788246662351</v>
      </c>
    </row>
    <row r="21" spans="1:17" x14ac:dyDescent="0.15">
      <c r="A21" s="10">
        <v>45865.447916666977</v>
      </c>
      <c r="B21">
        <f>COUNT(A21:$A$1158)/(48*252)</f>
        <v>9.4080687830687834E-2</v>
      </c>
      <c r="C21">
        <v>2.2109999999999999</v>
      </c>
      <c r="D21">
        <v>0.108</v>
      </c>
      <c r="E21">
        <f t="shared" si="0"/>
        <v>0.12648611147043951</v>
      </c>
      <c r="F21">
        <f t="shared" si="1"/>
        <v>0.55032642890535</v>
      </c>
      <c r="G21">
        <f t="shared" si="4"/>
        <v>5.9999999999997833E-3</v>
      </c>
      <c r="H21">
        <f>IF(MOD(COUNTA($C$7:C21)-1,$J$2),H20,ROUND(F21*P21,-2))</f>
        <v>5400</v>
      </c>
      <c r="I21">
        <f t="shared" si="5"/>
        <v>0</v>
      </c>
      <c r="J21">
        <f t="shared" si="6"/>
        <v>0</v>
      </c>
      <c r="K21">
        <f t="shared" si="7"/>
        <v>-10746.357378458064</v>
      </c>
      <c r="L21">
        <f t="shared" si="8"/>
        <v>1193.0426215419357</v>
      </c>
      <c r="M21">
        <f t="shared" si="9"/>
        <v>32.399999999999636</v>
      </c>
      <c r="N21">
        <f t="shared" si="11"/>
        <v>1193.0426215419357</v>
      </c>
      <c r="O21" s="5">
        <f t="shared" si="2"/>
        <v>0.11970446227575759</v>
      </c>
      <c r="P21">
        <f t="shared" si="10"/>
        <v>10000</v>
      </c>
      <c r="Q21">
        <f t="shared" si="3"/>
        <v>1197.044622757576</v>
      </c>
    </row>
    <row r="22" spans="1:17" x14ac:dyDescent="0.15">
      <c r="A22" s="10">
        <v>45865.451388888992</v>
      </c>
      <c r="B22">
        <f>COUNT(A22:$A$1158)/(48*252)</f>
        <v>9.3998015873015872E-2</v>
      </c>
      <c r="C22">
        <v>2.2080000000000002</v>
      </c>
      <c r="D22">
        <v>0.106</v>
      </c>
      <c r="E22">
        <f t="shared" si="0"/>
        <v>0.11715342285204264</v>
      </c>
      <c r="F22">
        <f t="shared" si="1"/>
        <v>0.54663076207573447</v>
      </c>
      <c r="G22">
        <f t="shared" si="4"/>
        <v>-2.9999999999996696E-3</v>
      </c>
      <c r="H22">
        <f>IF(MOD(COUNTA($C$7:C22)-1,$J$2),H21,ROUND(F22*P22,-2))</f>
        <v>5400</v>
      </c>
      <c r="I22">
        <f t="shared" si="5"/>
        <v>0</v>
      </c>
      <c r="J22">
        <f t="shared" si="6"/>
        <v>0</v>
      </c>
      <c r="K22">
        <f t="shared" si="7"/>
        <v>-10746.357378458064</v>
      </c>
      <c r="L22">
        <f t="shared" si="8"/>
        <v>1176.8426215419368</v>
      </c>
      <c r="M22">
        <f t="shared" si="9"/>
        <v>-16.199999999998909</v>
      </c>
      <c r="N22">
        <f t="shared" si="11"/>
        <v>1176.8426215419368</v>
      </c>
      <c r="O22" s="5">
        <f t="shared" si="2"/>
        <v>0.12100567782503524</v>
      </c>
      <c r="P22">
        <f t="shared" si="10"/>
        <v>10000</v>
      </c>
      <c r="Q22">
        <f t="shared" si="3"/>
        <v>1210.0567782503524</v>
      </c>
    </row>
    <row r="23" spans="1:17" x14ac:dyDescent="0.15">
      <c r="A23" s="10">
        <v>45865.454861111008</v>
      </c>
      <c r="B23">
        <f>COUNT(A23:$A$1158)/(48*252)</f>
        <v>9.391534391534391E-2</v>
      </c>
      <c r="C23">
        <v>2.2069999999999999</v>
      </c>
      <c r="D23">
        <v>0.105</v>
      </c>
      <c r="E23">
        <f t="shared" si="0"/>
        <v>0.11401722714734826</v>
      </c>
      <c r="F23">
        <f t="shared" si="1"/>
        <v>0.54538793139483799</v>
      </c>
      <c r="G23">
        <f t="shared" si="4"/>
        <v>-1.000000000000334E-3</v>
      </c>
      <c r="H23">
        <f>IF(MOD(COUNTA($C$7:C23)-1,$J$2),H22,ROUND(F23*P23,-2))</f>
        <v>5400</v>
      </c>
      <c r="I23">
        <f t="shared" si="5"/>
        <v>0</v>
      </c>
      <c r="J23">
        <f t="shared" si="6"/>
        <v>0</v>
      </c>
      <c r="K23">
        <f t="shared" si="7"/>
        <v>-10746.357378458064</v>
      </c>
      <c r="L23">
        <f t="shared" si="8"/>
        <v>1171.4426215419353</v>
      </c>
      <c r="M23">
        <f t="shared" si="9"/>
        <v>-5.4000000000014552</v>
      </c>
      <c r="N23">
        <f t="shared" si="11"/>
        <v>1171.4426215419353</v>
      </c>
      <c r="O23" s="5">
        <f t="shared" si="2"/>
        <v>0.121406320564863</v>
      </c>
      <c r="P23">
        <f t="shared" si="10"/>
        <v>10000</v>
      </c>
      <c r="Q23">
        <f t="shared" si="3"/>
        <v>1214.0632056486299</v>
      </c>
    </row>
    <row r="24" spans="1:17" x14ac:dyDescent="0.15">
      <c r="A24" s="10">
        <v>45865.458333333023</v>
      </c>
      <c r="B24">
        <f>COUNT(A24:$A$1158)/(48*252)</f>
        <v>9.3832671957671962E-2</v>
      </c>
      <c r="C24">
        <v>2.2040000000000002</v>
      </c>
      <c r="D24">
        <v>0.104</v>
      </c>
      <c r="E24">
        <f t="shared" si="0"/>
        <v>0.10465398206708551</v>
      </c>
      <c r="F24">
        <f t="shared" si="1"/>
        <v>0.54167481082383162</v>
      </c>
      <c r="G24">
        <f t="shared" si="4"/>
        <v>-2.9999999999996696E-3</v>
      </c>
      <c r="H24">
        <f>IF(MOD(COUNTA($C$7:C24)-1,$J$2),H23,ROUND(F24*P24,-2))</f>
        <v>5400</v>
      </c>
      <c r="I24">
        <f t="shared" si="5"/>
        <v>0</v>
      </c>
      <c r="J24">
        <f t="shared" si="6"/>
        <v>0</v>
      </c>
      <c r="K24">
        <f t="shared" si="7"/>
        <v>-10746.357378458064</v>
      </c>
      <c r="L24">
        <f t="shared" si="8"/>
        <v>1155.2426215419364</v>
      </c>
      <c r="M24">
        <f t="shared" si="9"/>
        <v>-16.199999999998909</v>
      </c>
      <c r="N24">
        <f t="shared" si="11"/>
        <v>1155.2426215419364</v>
      </c>
      <c r="O24" s="5">
        <f t="shared" si="2"/>
        <v>0.12272237602454217</v>
      </c>
      <c r="P24">
        <f t="shared" si="10"/>
        <v>10000</v>
      </c>
      <c r="Q24">
        <f t="shared" si="3"/>
        <v>1227.2237602454218</v>
      </c>
    </row>
    <row r="25" spans="1:17" x14ac:dyDescent="0.15">
      <c r="A25" s="10">
        <v>45865.461805555969</v>
      </c>
      <c r="B25">
        <f>COUNT(A25:$A$1158)/(48*252)</f>
        <v>9.375E-2</v>
      </c>
      <c r="C25">
        <v>2.206</v>
      </c>
      <c r="D25">
        <v>0.106</v>
      </c>
      <c r="E25">
        <f t="shared" si="0"/>
        <v>0.11084449824604589</v>
      </c>
      <c r="F25">
        <f t="shared" si="1"/>
        <v>0.54413017087679227</v>
      </c>
      <c r="G25">
        <f t="shared" si="4"/>
        <v>1.9999999999997797E-3</v>
      </c>
      <c r="H25">
        <f>IF(MOD(COUNTA($C$7:C25)-1,$J$2),H24,ROUND(F25*P25,-2))</f>
        <v>5400</v>
      </c>
      <c r="I25">
        <f t="shared" si="5"/>
        <v>0</v>
      </c>
      <c r="J25">
        <f t="shared" si="6"/>
        <v>0</v>
      </c>
      <c r="K25">
        <f t="shared" si="7"/>
        <v>-10746.357378458064</v>
      </c>
      <c r="L25">
        <f t="shared" si="8"/>
        <v>1166.0426215419357</v>
      </c>
      <c r="M25">
        <f t="shared" si="9"/>
        <v>10.799999999999272</v>
      </c>
      <c r="N25">
        <f t="shared" si="11"/>
        <v>1166.0426215419357</v>
      </c>
      <c r="O25" s="5">
        <f t="shared" si="2"/>
        <v>0.12175481539422872</v>
      </c>
      <c r="P25">
        <f t="shared" si="10"/>
        <v>10000</v>
      </c>
      <c r="Q25">
        <f t="shared" si="3"/>
        <v>1217.5481539422872</v>
      </c>
    </row>
    <row r="26" spans="1:17" x14ac:dyDescent="0.15">
      <c r="A26" s="10">
        <v>45865.465277777985</v>
      </c>
      <c r="B26">
        <f>COUNT(A26:$A$1158)/(48*252)</f>
        <v>9.3667328042328038E-2</v>
      </c>
      <c r="C26">
        <v>2.2130000000000001</v>
      </c>
      <c r="D26">
        <v>0.108</v>
      </c>
      <c r="E26">
        <f t="shared" si="0"/>
        <v>0.13256709365167452</v>
      </c>
      <c r="F26">
        <f t="shared" si="1"/>
        <v>0.55273212093262014</v>
      </c>
      <c r="G26">
        <f t="shared" si="4"/>
        <v>7.0000000000001172E-3</v>
      </c>
      <c r="H26">
        <f>IF(MOD(COUNTA($C$7:C26)-1,$J$2),H25,ROUND(F26*P26,-2))</f>
        <v>5400</v>
      </c>
      <c r="I26">
        <f t="shared" si="5"/>
        <v>0</v>
      </c>
      <c r="J26">
        <f t="shared" si="6"/>
        <v>0</v>
      </c>
      <c r="K26">
        <f t="shared" si="7"/>
        <v>-10746.357378458064</v>
      </c>
      <c r="L26">
        <f t="shared" si="8"/>
        <v>1203.8426215419368</v>
      </c>
      <c r="M26">
        <f t="shared" si="9"/>
        <v>37.800000000001091</v>
      </c>
      <c r="N26">
        <f t="shared" si="11"/>
        <v>1203.8426215419368</v>
      </c>
      <c r="O26" s="5">
        <f t="shared" si="2"/>
        <v>0.11854041354879019</v>
      </c>
      <c r="P26">
        <f t="shared" si="10"/>
        <v>10000</v>
      </c>
      <c r="Q26">
        <f t="shared" si="3"/>
        <v>1185.4041354879018</v>
      </c>
    </row>
    <row r="27" spans="1:17" x14ac:dyDescent="0.15">
      <c r="A27" s="10">
        <v>45865.46875</v>
      </c>
      <c r="B27">
        <f>COUNT(A27:$A$1158)/(48*252)</f>
        <v>9.358465608465609E-2</v>
      </c>
      <c r="C27">
        <v>2.21</v>
      </c>
      <c r="D27">
        <v>0.107</v>
      </c>
      <c r="E27">
        <f t="shared" si="0"/>
        <v>0.12322506054398248</v>
      </c>
      <c r="F27">
        <f t="shared" si="1"/>
        <v>0.54903555932388959</v>
      </c>
      <c r="G27">
        <f t="shared" si="4"/>
        <v>-3.0000000000001137E-3</v>
      </c>
      <c r="H27">
        <f>IF(MOD(COUNTA($C$7:C27)-1,$J$2),H26,ROUND(F27*P27,-2))</f>
        <v>5400</v>
      </c>
      <c r="I27">
        <f t="shared" si="5"/>
        <v>0</v>
      </c>
      <c r="J27">
        <f t="shared" si="6"/>
        <v>0</v>
      </c>
      <c r="K27">
        <f t="shared" si="7"/>
        <v>-10746.357378458064</v>
      </c>
      <c r="L27">
        <f t="shared" si="8"/>
        <v>1187.642621541936</v>
      </c>
      <c r="M27">
        <f t="shared" si="9"/>
        <v>-16.200000000000728</v>
      </c>
      <c r="N27">
        <f t="shared" si="11"/>
        <v>1187.642621541936</v>
      </c>
      <c r="O27" s="5">
        <f t="shared" si="2"/>
        <v>0.11983426749658399</v>
      </c>
      <c r="P27">
        <f t="shared" si="10"/>
        <v>10000</v>
      </c>
      <c r="Q27">
        <f t="shared" si="3"/>
        <v>1198.3426749658399</v>
      </c>
    </row>
    <row r="28" spans="1:17" x14ac:dyDescent="0.15">
      <c r="A28" s="10">
        <v>45865.472222222015</v>
      </c>
      <c r="B28">
        <f>COUNT(A28:$A$1158)/(48*252)</f>
        <v>9.3501984126984128E-2</v>
      </c>
      <c r="C28">
        <v>2.2080000000000002</v>
      </c>
      <c r="D28">
        <v>0.106</v>
      </c>
      <c r="E28">
        <f t="shared" si="0"/>
        <v>0.11697554806349135</v>
      </c>
      <c r="F28">
        <f t="shared" si="1"/>
        <v>0.54656028487340724</v>
      </c>
      <c r="G28">
        <f t="shared" si="4"/>
        <v>-1.9999999999997797E-3</v>
      </c>
      <c r="H28">
        <f>IF(MOD(COUNTA($C$7:C28)-1,$J$2),H27,ROUND(F28*P28,-2))</f>
        <v>5400</v>
      </c>
      <c r="I28">
        <f t="shared" si="5"/>
        <v>0</v>
      </c>
      <c r="J28">
        <f t="shared" si="6"/>
        <v>0</v>
      </c>
      <c r="K28">
        <f t="shared" si="7"/>
        <v>-10746.357378458064</v>
      </c>
      <c r="L28">
        <f t="shared" si="8"/>
        <v>1176.8426215419368</v>
      </c>
      <c r="M28">
        <f t="shared" si="9"/>
        <v>-10.799999999999272</v>
      </c>
      <c r="N28">
        <f t="shared" si="11"/>
        <v>1176.8426215419368</v>
      </c>
      <c r="O28" s="5">
        <f t="shared" si="2"/>
        <v>0.12068518031122122</v>
      </c>
      <c r="P28">
        <f t="shared" si="10"/>
        <v>10000</v>
      </c>
      <c r="Q28">
        <f t="shared" si="3"/>
        <v>1206.8518031122121</v>
      </c>
    </row>
    <row r="29" spans="1:17" x14ac:dyDescent="0.15">
      <c r="A29" s="10">
        <v>45865.475694444962</v>
      </c>
      <c r="B29">
        <f>COUNT(A29:$A$1158)/(48*252)</f>
        <v>9.3419312169312166E-2</v>
      </c>
      <c r="C29">
        <v>2.214</v>
      </c>
      <c r="D29">
        <v>0.108</v>
      </c>
      <c r="E29">
        <f t="shared" si="0"/>
        <v>0.1356050871533685</v>
      </c>
      <c r="F29">
        <f t="shared" si="1"/>
        <v>0.55393325818040917</v>
      </c>
      <c r="G29">
        <f t="shared" si="4"/>
        <v>5.9999999999997833E-3</v>
      </c>
      <c r="H29">
        <f>IF(MOD(COUNTA($C$7:C29)-1,$J$2),H28,ROUND(F29*P29,-2))</f>
        <v>5400</v>
      </c>
      <c r="I29">
        <f t="shared" si="5"/>
        <v>0</v>
      </c>
      <c r="J29">
        <f t="shared" si="6"/>
        <v>0</v>
      </c>
      <c r="K29">
        <f t="shared" si="7"/>
        <v>-10746.357378458064</v>
      </c>
      <c r="L29">
        <f t="shared" si="8"/>
        <v>1209.2426215419364</v>
      </c>
      <c r="M29">
        <f t="shared" si="9"/>
        <v>32.399999999999636</v>
      </c>
      <c r="N29">
        <f t="shared" si="11"/>
        <v>1209.2426215419364</v>
      </c>
      <c r="O29" s="5">
        <f t="shared" si="2"/>
        <v>0.11793314035268321</v>
      </c>
      <c r="P29">
        <f t="shared" si="10"/>
        <v>10000</v>
      </c>
      <c r="Q29">
        <f t="shared" si="3"/>
        <v>1179.331403526832</v>
      </c>
    </row>
    <row r="30" spans="1:17" x14ac:dyDescent="0.15">
      <c r="A30" s="10">
        <v>45865.479166666977</v>
      </c>
      <c r="B30">
        <f>COUNT(A30:$A$1158)/(48*252)</f>
        <v>9.3336640211640218E-2</v>
      </c>
      <c r="C30">
        <v>2.2109999999999999</v>
      </c>
      <c r="D30">
        <v>0.107</v>
      </c>
      <c r="E30">
        <f t="shared" si="0"/>
        <v>0.12625629098102875</v>
      </c>
      <c r="F30">
        <f t="shared" si="1"/>
        <v>0.55023547297132525</v>
      </c>
      <c r="G30">
        <f t="shared" si="4"/>
        <v>-3.0000000000001137E-3</v>
      </c>
      <c r="H30">
        <f>IF(MOD(COUNTA($C$7:C30)-1,$J$2),H29,ROUND(F30*P30,-2))</f>
        <v>5400</v>
      </c>
      <c r="I30">
        <f t="shared" si="5"/>
        <v>0</v>
      </c>
      <c r="J30">
        <f t="shared" si="6"/>
        <v>0</v>
      </c>
      <c r="K30">
        <f t="shared" si="7"/>
        <v>-10746.357378458064</v>
      </c>
      <c r="L30">
        <f t="shared" si="8"/>
        <v>1193.0426215419357</v>
      </c>
      <c r="M30">
        <f t="shared" si="9"/>
        <v>-16.200000000000728</v>
      </c>
      <c r="N30">
        <f t="shared" si="11"/>
        <v>1193.0426215419357</v>
      </c>
      <c r="O30" s="5">
        <f t="shared" si="2"/>
        <v>0.1192233077146948</v>
      </c>
      <c r="P30">
        <f t="shared" si="10"/>
        <v>10000</v>
      </c>
      <c r="Q30">
        <f t="shared" si="3"/>
        <v>1192.2330771469481</v>
      </c>
    </row>
    <row r="31" spans="1:17" x14ac:dyDescent="0.15">
      <c r="A31" s="10">
        <v>45865.545138888992</v>
      </c>
      <c r="B31">
        <f>COUNT(A31:$A$1158)/(48*252)</f>
        <v>9.3253968253968256E-2</v>
      </c>
      <c r="C31">
        <v>2.2090000000000001</v>
      </c>
      <c r="D31">
        <v>0.106</v>
      </c>
      <c r="E31">
        <f t="shared" si="0"/>
        <v>0.12000270867300988</v>
      </c>
      <c r="F31">
        <f t="shared" si="1"/>
        <v>0.547759498872189</v>
      </c>
      <c r="G31">
        <f t="shared" si="4"/>
        <v>-1.9999999999997797E-3</v>
      </c>
      <c r="H31">
        <f>IF(MOD(COUNTA($C$7:C31)-1,$J$2),H30,ROUND(F31*P31,-2))</f>
        <v>5500</v>
      </c>
      <c r="I31">
        <f t="shared" si="5"/>
        <v>100</v>
      </c>
      <c r="J31">
        <f t="shared" si="6"/>
        <v>0</v>
      </c>
      <c r="K31">
        <f t="shared" si="7"/>
        <v>-10967.267318958064</v>
      </c>
      <c r="L31">
        <f t="shared" si="8"/>
        <v>1182.2326810419363</v>
      </c>
      <c r="M31">
        <f t="shared" si="9"/>
        <v>-10.809940499999357</v>
      </c>
      <c r="N31">
        <f t="shared" si="11"/>
        <v>1182.2326810419363</v>
      </c>
      <c r="O31" s="5">
        <f t="shared" si="2"/>
        <v>0.12007173493804291</v>
      </c>
      <c r="P31">
        <f t="shared" si="10"/>
        <v>10000</v>
      </c>
      <c r="Q31">
        <f t="shared" si="3"/>
        <v>1200.7173493804291</v>
      </c>
    </row>
    <row r="32" spans="1:17" x14ac:dyDescent="0.15">
      <c r="A32" s="10">
        <v>45865.548611111008</v>
      </c>
      <c r="B32">
        <f>COUNT(A32:$A$1158)/(48*252)</f>
        <v>9.3171296296296294E-2</v>
      </c>
      <c r="C32">
        <v>2.206</v>
      </c>
      <c r="D32">
        <v>0.106</v>
      </c>
      <c r="E32">
        <f t="shared" si="0"/>
        <v>0.11061760825911898</v>
      </c>
      <c r="F32">
        <f t="shared" si="1"/>
        <v>0.54404020809559772</v>
      </c>
      <c r="G32">
        <f t="shared" si="4"/>
        <v>-3.0000000000001137E-3</v>
      </c>
      <c r="H32">
        <f>IF(MOD(COUNTA($C$7:C32)-1,$J$2),H31,ROUND(F32*P32,-2))</f>
        <v>5500</v>
      </c>
      <c r="I32">
        <f t="shared" si="5"/>
        <v>0</v>
      </c>
      <c r="J32">
        <f t="shared" si="6"/>
        <v>0</v>
      </c>
      <c r="K32">
        <f t="shared" si="7"/>
        <v>-10967.267318958064</v>
      </c>
      <c r="L32">
        <f t="shared" si="8"/>
        <v>1165.7326810419363</v>
      </c>
      <c r="M32">
        <f t="shared" si="9"/>
        <v>-16.5</v>
      </c>
      <c r="N32">
        <f t="shared" si="11"/>
        <v>1165.7326810419363</v>
      </c>
      <c r="O32" s="5">
        <f t="shared" si="2"/>
        <v>0.12138045876482662</v>
      </c>
      <c r="P32">
        <f t="shared" si="10"/>
        <v>10000</v>
      </c>
      <c r="Q32">
        <f t="shared" si="3"/>
        <v>1213.8045876482661</v>
      </c>
    </row>
    <row r="33" spans="1:17" x14ac:dyDescent="0.15">
      <c r="A33" s="10">
        <v>45865.552083333023</v>
      </c>
      <c r="B33">
        <f>COUNT(A33:$A$1158)/(48*252)</f>
        <v>9.3088624338624332E-2</v>
      </c>
      <c r="C33">
        <v>2.2109999999999999</v>
      </c>
      <c r="D33">
        <v>0.107</v>
      </c>
      <c r="E33">
        <f t="shared" si="0"/>
        <v>0.12617972217634332</v>
      </c>
      <c r="F33">
        <f t="shared" si="1"/>
        <v>0.55020516878946379</v>
      </c>
      <c r="G33">
        <f t="shared" si="4"/>
        <v>4.9999999999998934E-3</v>
      </c>
      <c r="H33">
        <f>IF(MOD(COUNTA($C$7:C33)-1,$J$2),H32,ROUND(F33*P33,-2))</f>
        <v>5500</v>
      </c>
      <c r="I33">
        <f t="shared" si="5"/>
        <v>0</v>
      </c>
      <c r="J33">
        <f t="shared" si="6"/>
        <v>0</v>
      </c>
      <c r="K33">
        <f t="shared" si="7"/>
        <v>-10967.267318958064</v>
      </c>
      <c r="L33">
        <f t="shared" si="8"/>
        <v>1193.2326810419363</v>
      </c>
      <c r="M33">
        <f t="shared" si="9"/>
        <v>27.5</v>
      </c>
      <c r="N33">
        <f t="shared" si="11"/>
        <v>1193.2326810419363</v>
      </c>
      <c r="O33" s="5">
        <f t="shared" si="2"/>
        <v>0.11906247029471184</v>
      </c>
      <c r="P33">
        <f t="shared" si="10"/>
        <v>10000</v>
      </c>
      <c r="Q33">
        <f t="shared" si="3"/>
        <v>1190.6247029471185</v>
      </c>
    </row>
    <row r="34" spans="1:17" x14ac:dyDescent="0.15">
      <c r="A34" s="10">
        <v>45865.555555555969</v>
      </c>
      <c r="B34">
        <f>COUNT(A34:$A$1158)/(48*252)</f>
        <v>9.3005952380952384E-2</v>
      </c>
      <c r="C34">
        <v>2.2149999999999999</v>
      </c>
      <c r="D34">
        <v>0.108</v>
      </c>
      <c r="E34">
        <f t="shared" si="0"/>
        <v>0.13861000933567155</v>
      </c>
      <c r="F34">
        <f t="shared" si="1"/>
        <v>0.55512083331875717</v>
      </c>
      <c r="G34">
        <f t="shared" si="4"/>
        <v>4.0000000000000036E-3</v>
      </c>
      <c r="H34">
        <f>IF(MOD(COUNTA($C$7:C34)-1,$J$2),H33,ROUND(F34*P34,-2))</f>
        <v>5500</v>
      </c>
      <c r="I34">
        <f t="shared" si="5"/>
        <v>0</v>
      </c>
      <c r="J34">
        <f t="shared" si="6"/>
        <v>0</v>
      </c>
      <c r="K34">
        <f t="shared" si="7"/>
        <v>-10967.267318958064</v>
      </c>
      <c r="L34">
        <f t="shared" si="8"/>
        <v>1215.2326810419363</v>
      </c>
      <c r="M34">
        <f t="shared" si="9"/>
        <v>22</v>
      </c>
      <c r="N34">
        <f t="shared" si="11"/>
        <v>1215.2326810419363</v>
      </c>
      <c r="O34" s="5">
        <f t="shared" si="2"/>
        <v>0.11721944472769774</v>
      </c>
      <c r="P34">
        <f t="shared" si="10"/>
        <v>10000</v>
      </c>
      <c r="Q34">
        <f t="shared" si="3"/>
        <v>1172.1944472769774</v>
      </c>
    </row>
    <row r="35" spans="1:17" x14ac:dyDescent="0.15">
      <c r="A35" s="10">
        <v>45865.559027777985</v>
      </c>
      <c r="B35">
        <f>COUNT(A35:$A$1158)/(48*252)</f>
        <v>9.2923280423280422E-2</v>
      </c>
      <c r="C35">
        <v>2.2160000000000002</v>
      </c>
      <c r="D35">
        <v>0.108</v>
      </c>
      <c r="E35">
        <f t="shared" si="0"/>
        <v>0.14170185279179709</v>
      </c>
      <c r="F35">
        <f t="shared" si="1"/>
        <v>0.55634224430256263</v>
      </c>
      <c r="G35">
        <f t="shared" si="4"/>
        <v>1.000000000000334E-3</v>
      </c>
      <c r="H35">
        <f>IF(MOD(COUNTA($C$7:C35)-1,$J$2),H34,ROUND(F35*P35,-2))</f>
        <v>5500</v>
      </c>
      <c r="I35">
        <f t="shared" si="5"/>
        <v>0</v>
      </c>
      <c r="J35">
        <f t="shared" si="6"/>
        <v>0</v>
      </c>
      <c r="K35">
        <f t="shared" si="7"/>
        <v>-10967.267318958064</v>
      </c>
      <c r="L35">
        <f t="shared" si="8"/>
        <v>1220.7326810419381</v>
      </c>
      <c r="M35">
        <f t="shared" si="9"/>
        <v>5.500000000001819</v>
      </c>
      <c r="N35">
        <f t="shared" si="11"/>
        <v>1220.7326810419381</v>
      </c>
      <c r="O35" s="5">
        <f t="shared" si="2"/>
        <v>0.11672144803985884</v>
      </c>
      <c r="P35">
        <f t="shared" si="10"/>
        <v>10000</v>
      </c>
      <c r="Q35">
        <f t="shared" si="3"/>
        <v>1167.2144803985884</v>
      </c>
    </row>
    <row r="36" spans="1:17" x14ac:dyDescent="0.15">
      <c r="A36" s="10">
        <v>45865.5625</v>
      </c>
      <c r="B36">
        <f>COUNT(A36:$A$1158)/(48*252)</f>
        <v>9.284060846560846E-2</v>
      </c>
      <c r="C36">
        <v>2.2240000000000002</v>
      </c>
      <c r="D36">
        <v>0.112</v>
      </c>
      <c r="E36">
        <f t="shared" si="0"/>
        <v>0.16653845563924138</v>
      </c>
      <c r="F36">
        <f t="shared" si="1"/>
        <v>0.56613338876185759</v>
      </c>
      <c r="G36">
        <f t="shared" si="4"/>
        <v>8.0000000000000071E-3</v>
      </c>
      <c r="H36">
        <f>IF(MOD(COUNTA($C$7:C36)-1,$J$2),H35,ROUND(F36*P36,-2))</f>
        <v>5500</v>
      </c>
      <c r="I36">
        <f t="shared" si="5"/>
        <v>0</v>
      </c>
      <c r="J36">
        <f t="shared" si="6"/>
        <v>0</v>
      </c>
      <c r="K36">
        <f t="shared" si="7"/>
        <v>-10967.267318958064</v>
      </c>
      <c r="L36">
        <f t="shared" si="8"/>
        <v>1264.7326810419381</v>
      </c>
      <c r="M36">
        <f t="shared" si="9"/>
        <v>44</v>
      </c>
      <c r="N36">
        <f t="shared" si="11"/>
        <v>1264.7326810419381</v>
      </c>
      <c r="O36" s="5">
        <f t="shared" si="2"/>
        <v>0.11315761242513467</v>
      </c>
      <c r="P36">
        <f t="shared" si="10"/>
        <v>10000</v>
      </c>
      <c r="Q36">
        <f t="shared" si="3"/>
        <v>1131.5761242513468</v>
      </c>
    </row>
    <row r="37" spans="1:17" x14ac:dyDescent="0.15">
      <c r="A37" s="10">
        <v>45865.565972222015</v>
      </c>
      <c r="B37">
        <f>COUNT(A37:$A$1158)/(48*252)</f>
        <v>9.2757936507936511E-2</v>
      </c>
      <c r="C37">
        <v>2.2200000000000002</v>
      </c>
      <c r="D37">
        <v>0.11</v>
      </c>
      <c r="E37">
        <f t="shared" si="0"/>
        <v>0.15410903092689671</v>
      </c>
      <c r="F37">
        <f t="shared" si="1"/>
        <v>0.56123811615119545</v>
      </c>
      <c r="G37">
        <f t="shared" si="4"/>
        <v>-4.0000000000000036E-3</v>
      </c>
      <c r="H37">
        <f>IF(MOD(COUNTA($C$7:C37)-1,$J$2),H36,ROUND(F37*P37,-2))</f>
        <v>5600</v>
      </c>
      <c r="I37">
        <f t="shared" si="5"/>
        <v>100</v>
      </c>
      <c r="J37">
        <f t="shared" si="6"/>
        <v>0</v>
      </c>
      <c r="K37">
        <f t="shared" si="7"/>
        <v>-11189.277308958064</v>
      </c>
      <c r="L37">
        <f t="shared" si="8"/>
        <v>1242.7226910419377</v>
      </c>
      <c r="M37">
        <f t="shared" si="9"/>
        <v>-22.009990000000471</v>
      </c>
      <c r="N37">
        <f t="shared" si="11"/>
        <v>1242.7226910419377</v>
      </c>
      <c r="O37" s="5">
        <f t="shared" si="2"/>
        <v>0.11484904527697992</v>
      </c>
      <c r="P37">
        <f t="shared" si="10"/>
        <v>10000</v>
      </c>
      <c r="Q37">
        <f t="shared" si="3"/>
        <v>1148.4904527697993</v>
      </c>
    </row>
    <row r="38" spans="1:17" x14ac:dyDescent="0.15">
      <c r="A38" s="10">
        <v>45865.569444444962</v>
      </c>
      <c r="B38">
        <f>COUNT(A38:$A$1158)/(48*252)</f>
        <v>9.2675264550264549E-2</v>
      </c>
      <c r="C38">
        <v>2.2200000000000002</v>
      </c>
      <c r="D38">
        <v>0.11</v>
      </c>
      <c r="E38">
        <f t="shared" si="0"/>
        <v>0.15409602152624013</v>
      </c>
      <c r="F38">
        <f t="shared" si="1"/>
        <v>0.56123298741180538</v>
      </c>
      <c r="G38">
        <f t="shared" si="4"/>
        <v>0</v>
      </c>
      <c r="H38">
        <f>IF(MOD(COUNTA($C$7:C38)-1,$J$2),H37,ROUND(F38*P38,-2))</f>
        <v>5600</v>
      </c>
      <c r="I38">
        <f t="shared" si="5"/>
        <v>0</v>
      </c>
      <c r="J38">
        <f t="shared" si="6"/>
        <v>0</v>
      </c>
      <c r="K38">
        <f t="shared" si="7"/>
        <v>-11189.277308958064</v>
      </c>
      <c r="L38">
        <f t="shared" si="8"/>
        <v>1242.7226910419377</v>
      </c>
      <c r="M38">
        <f t="shared" si="9"/>
        <v>0</v>
      </c>
      <c r="N38">
        <f t="shared" si="11"/>
        <v>1242.7226910419377</v>
      </c>
      <c r="O38" s="5">
        <f t="shared" si="2"/>
        <v>0.11479521218417343</v>
      </c>
      <c r="P38">
        <f t="shared" si="10"/>
        <v>10000</v>
      </c>
      <c r="Q38">
        <f t="shared" si="3"/>
        <v>1147.9521218417344</v>
      </c>
    </row>
    <row r="39" spans="1:17" x14ac:dyDescent="0.15">
      <c r="A39" s="10">
        <v>45865.572916666977</v>
      </c>
      <c r="B39">
        <f>COUNT(A39:$A$1158)/(48*252)</f>
        <v>9.2592592592592587E-2</v>
      </c>
      <c r="C39">
        <v>2.2210000000000001</v>
      </c>
      <c r="D39">
        <v>0.111</v>
      </c>
      <c r="E39">
        <f t="shared" si="0"/>
        <v>0.15719338366933866</v>
      </c>
      <c r="F39">
        <f t="shared" si="1"/>
        <v>0.56245377872723945</v>
      </c>
      <c r="G39">
        <f t="shared" si="4"/>
        <v>9.9999999999988987E-4</v>
      </c>
      <c r="H39">
        <f>IF(MOD(COUNTA($C$7:C39)-1,$J$2),H38,ROUND(F39*P39,-2))</f>
        <v>5600</v>
      </c>
      <c r="I39">
        <f t="shared" si="5"/>
        <v>0</v>
      </c>
      <c r="J39">
        <f t="shared" si="6"/>
        <v>0</v>
      </c>
      <c r="K39">
        <f t="shared" si="7"/>
        <v>-11189.277308958064</v>
      </c>
      <c r="L39">
        <f t="shared" si="8"/>
        <v>1248.3226910419362</v>
      </c>
      <c r="M39">
        <f t="shared" si="9"/>
        <v>5.5999999999985448</v>
      </c>
      <c r="N39">
        <f t="shared" si="11"/>
        <v>1248.3226910419362</v>
      </c>
      <c r="O39" s="5">
        <f t="shared" si="2"/>
        <v>0.11430319456928417</v>
      </c>
      <c r="P39">
        <f t="shared" si="10"/>
        <v>10000</v>
      </c>
      <c r="Q39">
        <f t="shared" si="3"/>
        <v>1143.0319456928416</v>
      </c>
    </row>
    <row r="40" spans="1:17" x14ac:dyDescent="0.15">
      <c r="A40" s="10">
        <v>45865.576388888992</v>
      </c>
      <c r="B40">
        <f>COUNT(A40:$A$1158)/(48*252)</f>
        <v>9.2509920634920639E-2</v>
      </c>
      <c r="C40">
        <v>2.218</v>
      </c>
      <c r="D40">
        <v>0.108</v>
      </c>
      <c r="E40">
        <f t="shared" si="0"/>
        <v>0.14784236876507664</v>
      </c>
      <c r="F40">
        <f t="shared" si="1"/>
        <v>0.55876641435642149</v>
      </c>
      <c r="G40">
        <f t="shared" si="4"/>
        <v>-3.0000000000001137E-3</v>
      </c>
      <c r="H40">
        <f>IF(MOD(COUNTA($C$7:C40)-1,$J$2),H39,ROUND(F40*P40,-2))</f>
        <v>5600</v>
      </c>
      <c r="I40">
        <f t="shared" si="5"/>
        <v>0</v>
      </c>
      <c r="J40">
        <f t="shared" si="6"/>
        <v>0</v>
      </c>
      <c r="K40">
        <f t="shared" si="7"/>
        <v>-11189.277308958064</v>
      </c>
      <c r="L40">
        <f>K40+H40*C40</f>
        <v>1231.5226910419351</v>
      </c>
      <c r="M40">
        <f t="shared" si="9"/>
        <v>-16.800000000001091</v>
      </c>
      <c r="N40">
        <f t="shared" si="11"/>
        <v>1231.5226910419351</v>
      </c>
      <c r="O40" s="5">
        <f t="shared" si="2"/>
        <v>0.11556747972407599</v>
      </c>
      <c r="P40">
        <f t="shared" si="10"/>
        <v>10000</v>
      </c>
      <c r="Q40">
        <f t="shared" si="3"/>
        <v>1155.67479724076</v>
      </c>
    </row>
    <row r="41" spans="1:17" x14ac:dyDescent="0.15">
      <c r="A41" s="10">
        <v>45865.579861111008</v>
      </c>
      <c r="B41">
        <f>COUNT(A41:$A$1158)/(48*252)</f>
        <v>9.2427248677248677E-2</v>
      </c>
      <c r="C41">
        <v>2.2160000000000002</v>
      </c>
      <c r="D41">
        <v>0.108</v>
      </c>
      <c r="E41">
        <f t="shared" si="0"/>
        <v>0.1415905357444357</v>
      </c>
      <c r="F41">
        <f t="shared" si="1"/>
        <v>0.55629827850266911</v>
      </c>
      <c r="G41">
        <f t="shared" si="4"/>
        <v>-1.9999999999997797E-3</v>
      </c>
      <c r="H41">
        <f>IF(MOD(COUNTA($C$7:C41)-1,$J$2),H40,ROUND(F41*P41,-2))</f>
        <v>5600</v>
      </c>
      <c r="I41">
        <f t="shared" si="5"/>
        <v>0</v>
      </c>
      <c r="J41">
        <f t="shared" si="6"/>
        <v>0</v>
      </c>
      <c r="K41">
        <f t="shared" si="7"/>
        <v>-11189.277308958064</v>
      </c>
      <c r="L41">
        <f t="shared" si="8"/>
        <v>1220.3226910419362</v>
      </c>
      <c r="M41">
        <f t="shared" si="9"/>
        <v>-11.199999999998909</v>
      </c>
      <c r="N41">
        <f t="shared" si="11"/>
        <v>1220.3226910419362</v>
      </c>
      <c r="O41" s="5">
        <f t="shared" si="2"/>
        <v>0.11639852230168735</v>
      </c>
      <c r="P41">
        <f t="shared" si="10"/>
        <v>10000</v>
      </c>
      <c r="Q41">
        <f t="shared" si="3"/>
        <v>1163.9852230168735</v>
      </c>
    </row>
    <row r="42" spans="1:17" x14ac:dyDescent="0.15">
      <c r="A42" s="10">
        <v>45865.583333333023</v>
      </c>
      <c r="B42">
        <f>COUNT(A42:$A$1158)/(48*252)</f>
        <v>9.2344576719576715E-2</v>
      </c>
      <c r="C42">
        <v>2.2069999999999999</v>
      </c>
      <c r="D42">
        <v>0.104</v>
      </c>
      <c r="E42">
        <f t="shared" si="0"/>
        <v>0.11342717183392771</v>
      </c>
      <c r="F42">
        <f t="shared" si="1"/>
        <v>0.54515405064550737</v>
      </c>
      <c r="G42">
        <f t="shared" si="4"/>
        <v>-9.0000000000003411E-3</v>
      </c>
      <c r="H42">
        <f>IF(MOD(COUNTA($C$7:C42)-1,$J$2),H41,ROUND(F42*P42,-2))</f>
        <v>5600</v>
      </c>
      <c r="I42">
        <f t="shared" si="5"/>
        <v>0</v>
      </c>
      <c r="J42">
        <f t="shared" si="6"/>
        <v>0</v>
      </c>
      <c r="K42">
        <f t="shared" si="7"/>
        <v>-11189.277308958064</v>
      </c>
      <c r="L42">
        <f t="shared" si="8"/>
        <v>1169.9226910419347</v>
      </c>
      <c r="M42">
        <f t="shared" si="9"/>
        <v>-50.400000000001455</v>
      </c>
      <c r="N42">
        <f t="shared" si="11"/>
        <v>1169.9226910419347</v>
      </c>
      <c r="O42" s="5">
        <f t="shared" si="2"/>
        <v>0.12038804551770288</v>
      </c>
      <c r="P42">
        <f t="shared" si="10"/>
        <v>10000</v>
      </c>
      <c r="Q42">
        <f t="shared" si="3"/>
        <v>1203.8804551770288</v>
      </c>
    </row>
    <row r="43" spans="1:17" x14ac:dyDescent="0.15">
      <c r="A43" s="10">
        <v>45865.586805555969</v>
      </c>
      <c r="B43">
        <f>COUNT(A43:$A$1158)/(48*252)</f>
        <v>9.2261904761904767E-2</v>
      </c>
      <c r="C43">
        <v>2.194</v>
      </c>
      <c r="D43">
        <v>9.7000000000000003E-2</v>
      </c>
      <c r="E43">
        <f t="shared" si="0"/>
        <v>7.2520804126867858E-2</v>
      </c>
      <c r="F43">
        <f t="shared" si="1"/>
        <v>0.5289062751203979</v>
      </c>
      <c r="G43">
        <f t="shared" si="4"/>
        <v>-1.2999999999999901E-2</v>
      </c>
      <c r="H43">
        <f>IF(MOD(COUNTA($C$7:C43)-1,$J$2),H42,ROUND(F43*P43,-2))</f>
        <v>5300</v>
      </c>
      <c r="I43">
        <f t="shared" si="5"/>
        <v>-300</v>
      </c>
      <c r="J43">
        <f t="shared" si="6"/>
        <v>0</v>
      </c>
      <c r="K43">
        <f t="shared" si="7"/>
        <v>-10531.106927958064</v>
      </c>
      <c r="L43">
        <f t="shared" si="8"/>
        <v>1097.0930720419346</v>
      </c>
      <c r="M43">
        <f t="shared" si="9"/>
        <v>-72.829619000000093</v>
      </c>
      <c r="N43">
        <f t="shared" si="11"/>
        <v>1097.0930720419346</v>
      </c>
      <c r="O43" s="5">
        <f t="shared" si="2"/>
        <v>0.12635271530126957</v>
      </c>
      <c r="P43">
        <f t="shared" si="10"/>
        <v>10000</v>
      </c>
      <c r="Q43">
        <f t="shared" si="3"/>
        <v>1263.5271530126956</v>
      </c>
    </row>
    <row r="44" spans="1:17" x14ac:dyDescent="0.15">
      <c r="A44" s="10">
        <v>45865.590277777985</v>
      </c>
      <c r="B44">
        <f>COUNT(A44:$A$1158)/(48*252)</f>
        <v>9.2179232804232805E-2</v>
      </c>
      <c r="C44">
        <v>2.198</v>
      </c>
      <c r="D44">
        <v>0.10100000000000001</v>
      </c>
      <c r="E44">
        <f t="shared" si="0"/>
        <v>8.5079759242193798E-2</v>
      </c>
      <c r="F44">
        <f t="shared" si="1"/>
        <v>0.53390100913111838</v>
      </c>
      <c r="G44">
        <f t="shared" si="4"/>
        <v>4.0000000000000036E-3</v>
      </c>
      <c r="H44">
        <f>IF(MOD(COUNTA($C$7:C44)-1,$J$2),H43,ROUND(F44*P44,-2))</f>
        <v>5300</v>
      </c>
      <c r="I44">
        <f t="shared" si="5"/>
        <v>0</v>
      </c>
      <c r="J44">
        <f t="shared" si="6"/>
        <v>0</v>
      </c>
      <c r="K44">
        <f t="shared" si="7"/>
        <v>-10531.106927958064</v>
      </c>
      <c r="L44">
        <f t="shared" si="8"/>
        <v>1118.2930720419354</v>
      </c>
      <c r="M44">
        <f t="shared" si="9"/>
        <v>21.200000000000728</v>
      </c>
      <c r="N44">
        <f t="shared" si="11"/>
        <v>1118.2930720419354</v>
      </c>
      <c r="O44" s="5">
        <f t="shared" si="2"/>
        <v>0.12442463002224291</v>
      </c>
      <c r="P44">
        <f t="shared" si="10"/>
        <v>10000</v>
      </c>
      <c r="Q44">
        <f t="shared" si="3"/>
        <v>1244.246300222429</v>
      </c>
    </row>
    <row r="45" spans="1:17" x14ac:dyDescent="0.15">
      <c r="A45" s="10">
        <v>45865.59375</v>
      </c>
      <c r="B45">
        <f>COUNT(A45:$A$1158)/(48*252)</f>
        <v>9.2096560846560843E-2</v>
      </c>
      <c r="C45">
        <v>2.2010000000000001</v>
      </c>
      <c r="D45">
        <v>0.104</v>
      </c>
      <c r="E45">
        <f t="shared" si="0"/>
        <v>9.4481432079843899E-2</v>
      </c>
      <c r="F45">
        <f t="shared" si="1"/>
        <v>0.53763663424367336</v>
      </c>
      <c r="G45">
        <f t="shared" si="4"/>
        <v>3.0000000000001137E-3</v>
      </c>
      <c r="H45">
        <f>IF(MOD(COUNTA($C$7:C45)-1,$J$2),H44,ROUND(F45*P45,-2))</f>
        <v>5300</v>
      </c>
      <c r="I45">
        <f t="shared" si="5"/>
        <v>0</v>
      </c>
      <c r="J45">
        <f t="shared" si="6"/>
        <v>0</v>
      </c>
      <c r="K45">
        <f t="shared" si="7"/>
        <v>-10531.106927958064</v>
      </c>
      <c r="L45">
        <f t="shared" si="8"/>
        <v>1134.1930720419368</v>
      </c>
      <c r="M45">
        <f t="shared" si="9"/>
        <v>15.900000000001455</v>
      </c>
      <c r="N45">
        <f t="shared" si="11"/>
        <v>1134.1930720419368</v>
      </c>
      <c r="O45" s="5">
        <f t="shared" si="2"/>
        <v>0.12297814744811664</v>
      </c>
      <c r="P45">
        <f t="shared" si="10"/>
        <v>10000</v>
      </c>
      <c r="Q45">
        <f t="shared" si="3"/>
        <v>1229.7814744811665</v>
      </c>
    </row>
    <row r="46" spans="1:17" x14ac:dyDescent="0.15">
      <c r="A46" s="10">
        <v>45865.597222222015</v>
      </c>
      <c r="B46">
        <f>COUNT(A46:$A$1158)/(48*252)</f>
        <v>9.2013888888888895E-2</v>
      </c>
      <c r="C46">
        <v>2.2029999999999998</v>
      </c>
      <c r="D46">
        <v>0.105</v>
      </c>
      <c r="E46">
        <f t="shared" si="0"/>
        <v>0.10073450610288619</v>
      </c>
      <c r="F46">
        <f t="shared" si="1"/>
        <v>0.54011939061197478</v>
      </c>
      <c r="G46">
        <f t="shared" si="4"/>
        <v>1.9999999999997797E-3</v>
      </c>
      <c r="H46">
        <f>IF(MOD(COUNTA($C$7:C46)-1,$J$2),H45,ROUND(F46*P46,-2))</f>
        <v>5300</v>
      </c>
      <c r="I46">
        <f t="shared" si="5"/>
        <v>0</v>
      </c>
      <c r="J46">
        <f t="shared" si="6"/>
        <v>0</v>
      </c>
      <c r="K46">
        <f t="shared" si="7"/>
        <v>-10531.106927958064</v>
      </c>
      <c r="L46">
        <f t="shared" si="8"/>
        <v>1144.7930720419354</v>
      </c>
      <c r="M46">
        <f t="shared" si="9"/>
        <v>10.599999999998545</v>
      </c>
      <c r="N46">
        <f t="shared" si="11"/>
        <v>1144.7930720419354</v>
      </c>
      <c r="O46" s="5">
        <f t="shared" si="2"/>
        <v>0.1220020480052999</v>
      </c>
      <c r="P46">
        <f t="shared" si="10"/>
        <v>10000</v>
      </c>
      <c r="Q46">
        <f t="shared" si="3"/>
        <v>1220.0204800529991</v>
      </c>
    </row>
    <row r="47" spans="1:17" x14ac:dyDescent="0.15">
      <c r="A47" s="10">
        <v>45865.600694444962</v>
      </c>
      <c r="B47">
        <f>COUNT(A47:$A$1158)/(48*252)</f>
        <v>9.1931216931216933E-2</v>
      </c>
      <c r="C47">
        <v>2.1960000000000002</v>
      </c>
      <c r="D47">
        <v>0.1</v>
      </c>
      <c r="E47">
        <f t="shared" si="0"/>
        <v>7.8638443493433366E-2</v>
      </c>
      <c r="F47">
        <f t="shared" si="1"/>
        <v>0.53133989563990158</v>
      </c>
      <c r="G47">
        <f t="shared" si="4"/>
        <v>-6.9999999999996732E-3</v>
      </c>
      <c r="H47">
        <f>IF(MOD(COUNTA($C$7:C47)-1,$J$2),H46,ROUND(F47*P47,-2))</f>
        <v>5300</v>
      </c>
      <c r="I47">
        <f t="shared" si="5"/>
        <v>0</v>
      </c>
      <c r="J47">
        <f t="shared" si="6"/>
        <v>0</v>
      </c>
      <c r="K47">
        <f t="shared" si="7"/>
        <v>-10531.106927958064</v>
      </c>
      <c r="L47">
        <f t="shared" si="8"/>
        <v>1107.6930720419368</v>
      </c>
      <c r="M47">
        <f t="shared" si="9"/>
        <v>-37.099999999998545</v>
      </c>
      <c r="N47">
        <f t="shared" si="11"/>
        <v>1107.6930720419368</v>
      </c>
      <c r="O47" s="5">
        <f t="shared" si="2"/>
        <v>0.12519806878149997</v>
      </c>
      <c r="P47">
        <f t="shared" si="10"/>
        <v>10000</v>
      </c>
      <c r="Q47">
        <f t="shared" si="3"/>
        <v>1251.9806878149998</v>
      </c>
    </row>
    <row r="48" spans="1:17" x14ac:dyDescent="0.15">
      <c r="A48" s="10">
        <v>45865.604166666977</v>
      </c>
      <c r="B48">
        <f>COUNT(A48:$A$1158)/(48*252)</f>
        <v>9.1848544973544971E-2</v>
      </c>
      <c r="C48">
        <v>2.2000000000000002</v>
      </c>
      <c r="D48">
        <v>0.10299999999999999</v>
      </c>
      <c r="E48">
        <f t="shared" si="0"/>
        <v>9.1211304580021205E-2</v>
      </c>
      <c r="F48">
        <f t="shared" si="1"/>
        <v>0.536337653678854</v>
      </c>
      <c r="G48">
        <f t="shared" si="4"/>
        <v>4.0000000000000036E-3</v>
      </c>
      <c r="H48">
        <f>IF(MOD(COUNTA($C$7:C48)-1,$J$2),H47,ROUND(F48*P48,-2))</f>
        <v>5300</v>
      </c>
      <c r="I48">
        <f t="shared" si="5"/>
        <v>0</v>
      </c>
      <c r="J48">
        <f t="shared" si="6"/>
        <v>0</v>
      </c>
      <c r="K48">
        <f t="shared" si="7"/>
        <v>-10531.106927958064</v>
      </c>
      <c r="L48">
        <f t="shared" si="8"/>
        <v>1128.8930720419376</v>
      </c>
      <c r="M48">
        <f t="shared" si="9"/>
        <v>21.200000000000728</v>
      </c>
      <c r="N48">
        <f t="shared" si="11"/>
        <v>1128.8930720419376</v>
      </c>
      <c r="O48" s="5">
        <f t="shared" si="2"/>
        <v>0.12327958548318518</v>
      </c>
      <c r="P48">
        <f t="shared" si="10"/>
        <v>10000</v>
      </c>
      <c r="Q48">
        <f t="shared" si="3"/>
        <v>1232.7958548318518</v>
      </c>
    </row>
    <row r="49" spans="1:17" x14ac:dyDescent="0.15">
      <c r="A49" s="10">
        <v>45865.607638888992</v>
      </c>
      <c r="B49">
        <f>COUNT(A49:$A$1158)/(48*252)</f>
        <v>9.1765873015873009E-2</v>
      </c>
      <c r="C49">
        <v>2.2000000000000002</v>
      </c>
      <c r="D49">
        <v>0.104</v>
      </c>
      <c r="E49">
        <f t="shared" si="0"/>
        <v>9.1170246146889719E-2</v>
      </c>
      <c r="F49">
        <f t="shared" si="1"/>
        <v>0.53632134169834522</v>
      </c>
      <c r="G49">
        <f t="shared" si="4"/>
        <v>0</v>
      </c>
      <c r="H49">
        <f>IF(MOD(COUNTA($C$7:C49)-1,$J$2),H48,ROUND(F49*P49,-2))</f>
        <v>5400</v>
      </c>
      <c r="I49">
        <f t="shared" si="5"/>
        <v>100</v>
      </c>
      <c r="J49">
        <f t="shared" si="6"/>
        <v>0</v>
      </c>
      <c r="K49">
        <f t="shared" si="7"/>
        <v>-10751.116827958063</v>
      </c>
      <c r="L49">
        <f t="shared" si="8"/>
        <v>1128.8831720419385</v>
      </c>
      <c r="M49">
        <f t="shared" si="9"/>
        <v>-9.8999999991065124E-3</v>
      </c>
      <c r="N49">
        <f t="shared" si="11"/>
        <v>1128.8831720419385</v>
      </c>
      <c r="O49" s="5">
        <f t="shared" si="2"/>
        <v>0.12322568385905375</v>
      </c>
      <c r="P49">
        <f t="shared" si="10"/>
        <v>10000</v>
      </c>
      <c r="Q49">
        <f t="shared" si="3"/>
        <v>1232.2568385905374</v>
      </c>
    </row>
    <row r="50" spans="1:17" x14ac:dyDescent="0.15">
      <c r="A50" s="10">
        <v>45865.611111111008</v>
      </c>
      <c r="B50">
        <f>COUNT(A50:$A$1158)/(48*252)</f>
        <v>9.1683201058201061E-2</v>
      </c>
      <c r="C50">
        <v>2.214</v>
      </c>
      <c r="D50">
        <v>0.109</v>
      </c>
      <c r="E50">
        <f t="shared" si="0"/>
        <v>0.13515735353833339</v>
      </c>
      <c r="F50">
        <f t="shared" si="1"/>
        <v>0.55375626771427888</v>
      </c>
      <c r="G50">
        <f t="shared" si="4"/>
        <v>1.399999999999979E-2</v>
      </c>
      <c r="H50">
        <f>IF(MOD(COUNTA($C$7:C50)-1,$J$2),H49,ROUND(F50*P50,-2))</f>
        <v>5400</v>
      </c>
      <c r="I50">
        <f t="shared" si="5"/>
        <v>0</v>
      </c>
      <c r="J50">
        <f t="shared" si="6"/>
        <v>0</v>
      </c>
      <c r="K50">
        <f t="shared" si="7"/>
        <v>-10751.116827958063</v>
      </c>
      <c r="L50">
        <f t="shared" si="8"/>
        <v>1204.483172041937</v>
      </c>
      <c r="M50">
        <f t="shared" si="9"/>
        <v>75.599999999998545</v>
      </c>
      <c r="N50">
        <f t="shared" si="11"/>
        <v>1204.483172041937</v>
      </c>
      <c r="O50" s="5">
        <f t="shared" si="2"/>
        <v>0.11680241601603047</v>
      </c>
      <c r="P50">
        <f t="shared" si="10"/>
        <v>10000</v>
      </c>
      <c r="Q50">
        <f t="shared" si="3"/>
        <v>1168.0241601603047</v>
      </c>
    </row>
    <row r="51" spans="1:17" x14ac:dyDescent="0.15">
      <c r="A51" s="10">
        <v>45865.614583333023</v>
      </c>
      <c r="B51">
        <f>COUNT(A51:$A$1158)/(48*252)</f>
        <v>9.1600529100529099E-2</v>
      </c>
      <c r="C51">
        <v>2.21</v>
      </c>
      <c r="D51">
        <v>0.105</v>
      </c>
      <c r="E51">
        <f t="shared" si="0"/>
        <v>0.12257945144463976</v>
      </c>
      <c r="F51">
        <f t="shared" si="1"/>
        <v>0.54877993645786827</v>
      </c>
      <c r="G51">
        <f t="shared" si="4"/>
        <v>-4.0000000000000036E-3</v>
      </c>
      <c r="H51">
        <f>IF(MOD(COUNTA($C$7:C51)-1,$J$2),H50,ROUND(F51*P51,-2))</f>
        <v>5400</v>
      </c>
      <c r="I51">
        <f t="shared" si="5"/>
        <v>0</v>
      </c>
      <c r="J51">
        <f t="shared" si="6"/>
        <v>0</v>
      </c>
      <c r="K51">
        <f t="shared" si="7"/>
        <v>-10751.116827958063</v>
      </c>
      <c r="L51">
        <f t="shared" si="8"/>
        <v>1182.8831720419366</v>
      </c>
      <c r="M51">
        <f t="shared" si="9"/>
        <v>-21.600000000000364</v>
      </c>
      <c r="N51">
        <f t="shared" si="11"/>
        <v>1182.8831720419366</v>
      </c>
      <c r="O51" s="5">
        <f t="shared" si="2"/>
        <v>0.11854322850319277</v>
      </c>
      <c r="P51">
        <f t="shared" si="10"/>
        <v>10000</v>
      </c>
      <c r="Q51">
        <f t="shared" si="3"/>
        <v>1185.4322850319277</v>
      </c>
    </row>
    <row r="52" spans="1:17" x14ac:dyDescent="0.15">
      <c r="A52" s="10">
        <v>45865.618055555969</v>
      </c>
      <c r="B52">
        <f>COUNT(A52:$A$1158)/(48*252)</f>
        <v>9.1517857142857137E-2</v>
      </c>
      <c r="C52">
        <v>2.1989999999999998</v>
      </c>
      <c r="D52">
        <v>9.8000000000000004E-2</v>
      </c>
      <c r="E52">
        <f t="shared" si="0"/>
        <v>8.7888527100276365E-2</v>
      </c>
      <c r="F52">
        <f t="shared" si="1"/>
        <v>0.53501736231794605</v>
      </c>
      <c r="G52">
        <f t="shared" si="4"/>
        <v>-1.1000000000000121E-2</v>
      </c>
      <c r="H52">
        <f>IF(MOD(COUNTA($C$7:C52)-1,$J$2),H51,ROUND(F52*P52,-2))</f>
        <v>5400</v>
      </c>
      <c r="I52">
        <f t="shared" si="5"/>
        <v>0</v>
      </c>
      <c r="J52">
        <f t="shared" si="6"/>
        <v>0</v>
      </c>
      <c r="K52">
        <f t="shared" si="7"/>
        <v>-10751.116827958063</v>
      </c>
      <c r="L52">
        <f t="shared" si="8"/>
        <v>1123.4831720419352</v>
      </c>
      <c r="M52">
        <f t="shared" si="9"/>
        <v>-59.400000000001455</v>
      </c>
      <c r="N52">
        <f t="shared" si="11"/>
        <v>1123.4831720419352</v>
      </c>
      <c r="O52" s="5">
        <f t="shared" si="2"/>
        <v>0.12352817898665691</v>
      </c>
      <c r="P52">
        <f t="shared" si="10"/>
        <v>10000</v>
      </c>
      <c r="Q52">
        <f t="shared" si="3"/>
        <v>1235.2817898665692</v>
      </c>
    </row>
    <row r="53" spans="1:17" x14ac:dyDescent="0.15">
      <c r="A53" s="10">
        <v>45865.621527777985</v>
      </c>
      <c r="B53">
        <f>COUNT(A53:$A$1158)/(48*252)</f>
        <v>9.1435185185185189E-2</v>
      </c>
      <c r="C53">
        <v>2.2010000000000001</v>
      </c>
      <c r="D53">
        <v>0.10100000000000001</v>
      </c>
      <c r="E53">
        <f t="shared" si="0"/>
        <v>9.4164251394000018E-2</v>
      </c>
      <c r="F53">
        <f t="shared" si="1"/>
        <v>0.53751065909411289</v>
      </c>
      <c r="G53">
        <f t="shared" si="4"/>
        <v>2.0000000000002238E-3</v>
      </c>
      <c r="H53">
        <f>IF(MOD(COUNTA($C$7:C53)-1,$J$2),H52,ROUND(F53*P53,-2))</f>
        <v>5400</v>
      </c>
      <c r="I53">
        <f t="shared" si="5"/>
        <v>0</v>
      </c>
      <c r="J53">
        <f t="shared" si="6"/>
        <v>0</v>
      </c>
      <c r="K53">
        <f t="shared" si="7"/>
        <v>-10751.116827958063</v>
      </c>
      <c r="L53">
        <f t="shared" si="8"/>
        <v>1134.2831720419363</v>
      </c>
      <c r="M53">
        <f t="shared" si="9"/>
        <v>10.800000000001091</v>
      </c>
      <c r="N53">
        <f t="shared" si="11"/>
        <v>1134.2831720419363</v>
      </c>
      <c r="O53" s="5">
        <f t="shared" si="2"/>
        <v>0.12254670222849451</v>
      </c>
      <c r="P53">
        <f t="shared" si="10"/>
        <v>10000</v>
      </c>
      <c r="Q53">
        <f t="shared" si="3"/>
        <v>1225.4670222849452</v>
      </c>
    </row>
    <row r="54" spans="1:17" x14ac:dyDescent="0.15">
      <c r="A54" s="10">
        <v>45865.625</v>
      </c>
      <c r="B54">
        <f>COUNT(A54:$A$1158)/(48*252)</f>
        <v>9.1352513227513227E-2</v>
      </c>
      <c r="C54">
        <v>2.198</v>
      </c>
      <c r="D54">
        <v>0.10100000000000001</v>
      </c>
      <c r="E54">
        <f t="shared" si="0"/>
        <v>8.4640658722736128E-2</v>
      </c>
      <c r="F54">
        <f t="shared" si="1"/>
        <v>0.53372646297845361</v>
      </c>
      <c r="G54">
        <f t="shared" si="4"/>
        <v>-3.0000000000001137E-3</v>
      </c>
      <c r="H54">
        <f>IF(MOD(COUNTA($C$7:C54)-1,$J$2),H53,ROUND(F54*P54,-2))</f>
        <v>5400</v>
      </c>
      <c r="I54">
        <f t="shared" si="5"/>
        <v>0</v>
      </c>
      <c r="J54">
        <f t="shared" si="6"/>
        <v>0</v>
      </c>
      <c r="K54">
        <f t="shared" si="7"/>
        <v>-10751.116827958063</v>
      </c>
      <c r="L54">
        <f t="shared" si="8"/>
        <v>1118.0831720419355</v>
      </c>
      <c r="M54">
        <f t="shared" si="9"/>
        <v>-16.200000000000728</v>
      </c>
      <c r="N54">
        <f t="shared" si="11"/>
        <v>1118.0831720419355</v>
      </c>
      <c r="O54" s="5">
        <f t="shared" si="2"/>
        <v>0.12388582098966605</v>
      </c>
      <c r="P54">
        <f t="shared" si="10"/>
        <v>10000</v>
      </c>
      <c r="Q54">
        <f t="shared" si="3"/>
        <v>1238.8582098966606</v>
      </c>
    </row>
    <row r="55" spans="1:17" x14ac:dyDescent="0.15">
      <c r="A55" s="10">
        <v>45868.399305555969</v>
      </c>
      <c r="B55">
        <f>COUNT(A55:$A$1158)/(48*252)</f>
        <v>9.1269841269841265E-2</v>
      </c>
      <c r="C55">
        <v>2.1850000000000001</v>
      </c>
      <c r="D55">
        <v>9.5000000000000001E-2</v>
      </c>
      <c r="E55">
        <f t="shared" si="0"/>
        <v>4.333104060834634E-2</v>
      </c>
      <c r="F55">
        <f t="shared" si="1"/>
        <v>0.51728117618750269</v>
      </c>
      <c r="G55">
        <f t="shared" si="4"/>
        <v>-1.2999999999999901E-2</v>
      </c>
      <c r="H55">
        <f>IF(MOD(COUNTA($C$7:C55)-1,$J$2),H54,ROUND(F55*P55,-2))</f>
        <v>5200</v>
      </c>
      <c r="I55">
        <f t="shared" si="5"/>
        <v>-200</v>
      </c>
      <c r="J55">
        <f t="shared" si="6"/>
        <v>0</v>
      </c>
      <c r="K55">
        <f t="shared" si="7"/>
        <v>-10314.136492958063</v>
      </c>
      <c r="L55">
        <f t="shared" si="8"/>
        <v>1047.8635070419368</v>
      </c>
      <c r="M55">
        <f t="shared" si="9"/>
        <v>-70.219664999998713</v>
      </c>
      <c r="N55">
        <f t="shared" si="11"/>
        <v>1047.8635070419368</v>
      </c>
      <c r="O55" s="5">
        <f t="shared" si="2"/>
        <v>0.13000020935582546</v>
      </c>
      <c r="P55">
        <f t="shared" si="10"/>
        <v>10000</v>
      </c>
      <c r="Q55">
        <f t="shared" si="3"/>
        <v>1300.0020935582545</v>
      </c>
    </row>
    <row r="56" spans="1:17" x14ac:dyDescent="0.15">
      <c r="A56" s="10">
        <v>45868.402777777985</v>
      </c>
      <c r="B56">
        <f>COUNT(A56:$A$1158)/(48*252)</f>
        <v>9.1187169312169317E-2</v>
      </c>
      <c r="C56">
        <v>2.19</v>
      </c>
      <c r="D56">
        <v>9.6000000000000002E-2</v>
      </c>
      <c r="E56">
        <f t="shared" si="0"/>
        <v>5.9175850111788594E-2</v>
      </c>
      <c r="F56">
        <f t="shared" si="1"/>
        <v>0.52359397762733462</v>
      </c>
      <c r="G56">
        <f t="shared" si="4"/>
        <v>4.9999999999998934E-3</v>
      </c>
      <c r="H56">
        <f>IF(MOD(COUNTA($C$7:C56)-1,$J$2),H55,ROUND(F56*P56,-2))</f>
        <v>5200</v>
      </c>
      <c r="I56">
        <f t="shared" si="5"/>
        <v>0</v>
      </c>
      <c r="J56">
        <f t="shared" si="6"/>
        <v>0</v>
      </c>
      <c r="K56">
        <f t="shared" si="7"/>
        <v>-10314.136492958063</v>
      </c>
      <c r="L56">
        <f>K56+H56*C56</f>
        <v>1073.8635070419368</v>
      </c>
      <c r="M56">
        <f t="shared" si="9"/>
        <v>26</v>
      </c>
      <c r="N56">
        <f t="shared" si="11"/>
        <v>1073.8635070419368</v>
      </c>
      <c r="O56" s="5">
        <f t="shared" si="2"/>
        <v>0.12754857004073128</v>
      </c>
      <c r="P56">
        <f t="shared" si="10"/>
        <v>10000</v>
      </c>
      <c r="Q56">
        <f t="shared" si="3"/>
        <v>1275.4857004073128</v>
      </c>
    </row>
    <row r="57" spans="1:17" x14ac:dyDescent="0.15">
      <c r="A57" s="10">
        <v>45868.40625</v>
      </c>
      <c r="B57">
        <f>COUNT(A57:$A$1158)/(48*252)</f>
        <v>9.1104497354497355E-2</v>
      </c>
      <c r="C57">
        <v>2.1909999999999998</v>
      </c>
      <c r="D57">
        <v>9.6000000000000002E-2</v>
      </c>
      <c r="E57">
        <f t="shared" si="0"/>
        <v>6.229885644707308E-2</v>
      </c>
      <c r="F57">
        <f t="shared" si="1"/>
        <v>0.52483758043359141</v>
      </c>
      <c r="G57">
        <f t="shared" si="4"/>
        <v>9.9999999999988987E-4</v>
      </c>
      <c r="H57">
        <f>IF(MOD(COUNTA($C$7:C57)-1,$J$2),H56,ROUND(F57*P57,-2))</f>
        <v>5200</v>
      </c>
      <c r="I57">
        <f t="shared" si="5"/>
        <v>0</v>
      </c>
      <c r="J57">
        <f t="shared" si="6"/>
        <v>0</v>
      </c>
      <c r="K57">
        <f t="shared" si="7"/>
        <v>-10314.136492958063</v>
      </c>
      <c r="L57">
        <f>K57+H57*C57</f>
        <v>1079.0635070419357</v>
      </c>
      <c r="M57">
        <f t="shared" si="9"/>
        <v>5.1999999999989086</v>
      </c>
      <c r="N57">
        <f t="shared" si="11"/>
        <v>1079.0635070419357</v>
      </c>
      <c r="O57" s="5">
        <f t="shared" si="2"/>
        <v>0.12701885817460479</v>
      </c>
      <c r="P57">
        <f t="shared" si="10"/>
        <v>10000</v>
      </c>
      <c r="Q57">
        <f t="shared" si="3"/>
        <v>1270.1885817460479</v>
      </c>
    </row>
    <row r="58" spans="1:17" x14ac:dyDescent="0.15">
      <c r="A58" s="10">
        <v>45868.409722222015</v>
      </c>
      <c r="B58">
        <f>COUNT(A58:$A$1158)/(48*252)</f>
        <v>9.1021825396825393E-2</v>
      </c>
      <c r="C58">
        <v>2.1869999999999998</v>
      </c>
      <c r="D58">
        <v>9.2999999999999999E-2</v>
      </c>
      <c r="E58">
        <f t="shared" si="0"/>
        <v>4.9515794841879533E-2</v>
      </c>
      <c r="F58">
        <f t="shared" si="1"/>
        <v>0.51974587491204061</v>
      </c>
      <c r="G58">
        <f t="shared" si="4"/>
        <v>-4.0000000000000036E-3</v>
      </c>
      <c r="H58">
        <f>IF(MOD(COUNTA($C$7:C58)-1,$J$2),H57,ROUND(F58*P58,-2))</f>
        <v>5200</v>
      </c>
      <c r="I58">
        <f t="shared" si="5"/>
        <v>0</v>
      </c>
      <c r="J58">
        <f t="shared" si="6"/>
        <v>0</v>
      </c>
      <c r="K58">
        <f t="shared" si="7"/>
        <v>-10314.136492958063</v>
      </c>
      <c r="L58">
        <f t="shared" si="8"/>
        <v>1058.2635070419365</v>
      </c>
      <c r="M58">
        <f t="shared" si="9"/>
        <v>-20.799999999999272</v>
      </c>
      <c r="N58">
        <f t="shared" si="11"/>
        <v>1058.2635070419365</v>
      </c>
      <c r="O58" s="5">
        <f t="shared" si="2"/>
        <v>0.12887576562750058</v>
      </c>
      <c r="P58">
        <f t="shared" si="10"/>
        <v>10000</v>
      </c>
      <c r="Q58">
        <f t="shared" si="3"/>
        <v>1288.7576562750057</v>
      </c>
    </row>
    <row r="59" spans="1:17" x14ac:dyDescent="0.15">
      <c r="A59" s="10">
        <v>45868.413194444962</v>
      </c>
      <c r="B59">
        <f>COUNT(A59:$A$1158)/(48*252)</f>
        <v>9.0939153439153445E-2</v>
      </c>
      <c r="C59">
        <v>2.1949999999999998</v>
      </c>
      <c r="D59">
        <v>9.8000000000000004E-2</v>
      </c>
      <c r="E59">
        <f t="shared" si="0"/>
        <v>7.4901883780410503E-2</v>
      </c>
      <c r="F59">
        <f t="shared" si="1"/>
        <v>0.52985361113515395</v>
      </c>
      <c r="G59">
        <f t="shared" si="4"/>
        <v>8.0000000000000071E-3</v>
      </c>
      <c r="H59">
        <f>IF(MOD(COUNTA($C$7:C59)-1,$J$2),H58,ROUND(F59*P59,-2))</f>
        <v>5200</v>
      </c>
      <c r="I59">
        <f t="shared" si="5"/>
        <v>0</v>
      </c>
      <c r="J59">
        <f t="shared" si="6"/>
        <v>0</v>
      </c>
      <c r="K59">
        <f t="shared" si="7"/>
        <v>-10314.136492958063</v>
      </c>
      <c r="L59">
        <f t="shared" si="8"/>
        <v>1099.8635070419368</v>
      </c>
      <c r="M59">
        <f t="shared" si="9"/>
        <v>41.600000000000364</v>
      </c>
      <c r="N59">
        <f t="shared" si="11"/>
        <v>1099.8635070419368</v>
      </c>
      <c r="O59" s="5">
        <f t="shared" si="2"/>
        <v>0.12502020374673051</v>
      </c>
      <c r="P59">
        <f t="shared" si="10"/>
        <v>10000</v>
      </c>
      <c r="Q59">
        <f t="shared" si="3"/>
        <v>1250.202037467305</v>
      </c>
    </row>
    <row r="60" spans="1:17" x14ac:dyDescent="0.15">
      <c r="A60" s="10">
        <v>45868.416666666977</v>
      </c>
      <c r="B60">
        <f>COUNT(A60:$A$1158)/(48*252)</f>
        <v>9.0856481481481483E-2</v>
      </c>
      <c r="C60">
        <v>2.1949999999999998</v>
      </c>
      <c r="D60">
        <v>9.5000000000000001E-2</v>
      </c>
      <c r="E60">
        <f t="shared" si="0"/>
        <v>7.4853407938303362E-2</v>
      </c>
      <c r="F60">
        <f t="shared" si="1"/>
        <v>0.52983432621003601</v>
      </c>
      <c r="G60">
        <f t="shared" si="4"/>
        <v>0</v>
      </c>
      <c r="H60">
        <f>IF(MOD(COUNTA($C$7:C60)-1,$J$2),H59,ROUND(F60*P60,-2))</f>
        <v>5200</v>
      </c>
      <c r="I60">
        <f t="shared" si="5"/>
        <v>0</v>
      </c>
      <c r="J60">
        <f t="shared" si="6"/>
        <v>0</v>
      </c>
      <c r="K60">
        <f t="shared" si="7"/>
        <v>-10314.136492958063</v>
      </c>
      <c r="L60">
        <f t="shared" si="8"/>
        <v>1099.8635070419368</v>
      </c>
      <c r="M60">
        <f t="shared" si="9"/>
        <v>0</v>
      </c>
      <c r="N60">
        <f t="shared" si="11"/>
        <v>1099.8635070419368</v>
      </c>
      <c r="O60" s="5">
        <f t="shared" si="2"/>
        <v>0.12496610536562613</v>
      </c>
      <c r="P60">
        <f t="shared" si="10"/>
        <v>10000</v>
      </c>
      <c r="Q60">
        <f t="shared" si="3"/>
        <v>1249.6610536562614</v>
      </c>
    </row>
    <row r="61" spans="1:17" x14ac:dyDescent="0.15">
      <c r="A61" s="10">
        <v>45868.420138888992</v>
      </c>
      <c r="B61">
        <f>COUNT(A61:$A$1158)/(48*252)</f>
        <v>9.0773809523809521E-2</v>
      </c>
      <c r="C61">
        <v>2.2000000000000002</v>
      </c>
      <c r="D61">
        <v>9.7000000000000003E-2</v>
      </c>
      <c r="E61">
        <f t="shared" si="0"/>
        <v>9.0676094832238804E-2</v>
      </c>
      <c r="F61">
        <f t="shared" si="1"/>
        <v>0.53612501703774651</v>
      </c>
      <c r="G61">
        <f t="shared" si="4"/>
        <v>5.0000000000003375E-3</v>
      </c>
      <c r="H61">
        <f>IF(MOD(COUNTA($C$7:C61)-1,$J$2),H60,ROUND(F61*P61,-2))</f>
        <v>5400</v>
      </c>
      <c r="I61">
        <f t="shared" si="5"/>
        <v>200</v>
      </c>
      <c r="J61">
        <f t="shared" si="6"/>
        <v>0</v>
      </c>
      <c r="K61">
        <f t="shared" si="7"/>
        <v>-10754.156292958063</v>
      </c>
      <c r="L61">
        <f t="shared" si="8"/>
        <v>1125.8437070419386</v>
      </c>
      <c r="M61">
        <f t="shared" si="9"/>
        <v>25.980200000001787</v>
      </c>
      <c r="N61">
        <f t="shared" si="11"/>
        <v>1125.8437070419386</v>
      </c>
      <c r="O61" s="5">
        <f t="shared" si="2"/>
        <v>0.12257684037641847</v>
      </c>
      <c r="P61">
        <f t="shared" si="10"/>
        <v>10000</v>
      </c>
      <c r="Q61">
        <f t="shared" si="3"/>
        <v>1225.7684037641848</v>
      </c>
    </row>
    <row r="62" spans="1:17" x14ac:dyDescent="0.15">
      <c r="A62" s="10">
        <v>45868.423611111008</v>
      </c>
      <c r="B62">
        <f>COUNT(A62:$A$1158)/(48*252)</f>
        <v>9.0691137566137572E-2</v>
      </c>
      <c r="C62">
        <v>2.1970000000000001</v>
      </c>
      <c r="D62">
        <v>9.5000000000000001E-2</v>
      </c>
      <c r="E62">
        <f t="shared" si="0"/>
        <v>8.1112075834735273E-2</v>
      </c>
      <c r="F62">
        <f t="shared" si="1"/>
        <v>0.53232358889695019</v>
      </c>
      <c r="G62">
        <f t="shared" si="4"/>
        <v>-3.0000000000001137E-3</v>
      </c>
      <c r="H62">
        <f>IF(MOD(COUNTA($C$7:C62)-1,$J$2),H61,ROUND(F62*P62,-2))</f>
        <v>5400</v>
      </c>
      <c r="I62">
        <f t="shared" si="5"/>
        <v>0</v>
      </c>
      <c r="J62">
        <f t="shared" si="6"/>
        <v>0</v>
      </c>
      <c r="K62">
        <f t="shared" si="7"/>
        <v>-10754.156292958063</v>
      </c>
      <c r="L62">
        <f t="shared" si="8"/>
        <v>1109.6437070419379</v>
      </c>
      <c r="M62">
        <f t="shared" si="9"/>
        <v>-16.200000000000728</v>
      </c>
      <c r="N62">
        <f t="shared" si="11"/>
        <v>1109.6437070419379</v>
      </c>
      <c r="O62" s="5">
        <f t="shared" si="2"/>
        <v>0.12391994999102751</v>
      </c>
      <c r="P62">
        <f t="shared" si="10"/>
        <v>10000</v>
      </c>
      <c r="Q62">
        <f t="shared" si="3"/>
        <v>1239.1994999102751</v>
      </c>
    </row>
    <row r="63" spans="1:17" x14ac:dyDescent="0.15">
      <c r="A63" s="10">
        <v>45868.427083333023</v>
      </c>
      <c r="B63">
        <f>COUNT(A63:$A$1158)/(48*252)</f>
        <v>9.060846560846561E-2</v>
      </c>
      <c r="C63">
        <v>2.1930000000000001</v>
      </c>
      <c r="D63">
        <v>9.4E-2</v>
      </c>
      <c r="E63">
        <f t="shared" si="0"/>
        <v>6.8343407737587986E-2</v>
      </c>
      <c r="F63">
        <f t="shared" si="1"/>
        <v>0.52724386474657559</v>
      </c>
      <c r="G63">
        <f t="shared" si="4"/>
        <v>-4.0000000000000036E-3</v>
      </c>
      <c r="H63">
        <f>IF(MOD(COUNTA($C$7:C63)-1,$J$2),H62,ROUND(F63*P63,-2))</f>
        <v>5400</v>
      </c>
      <c r="I63">
        <f t="shared" si="5"/>
        <v>0</v>
      </c>
      <c r="J63">
        <f t="shared" si="6"/>
        <v>0</v>
      </c>
      <c r="K63">
        <f t="shared" si="7"/>
        <v>-10754.156292958063</v>
      </c>
      <c r="L63">
        <f t="shared" si="8"/>
        <v>1088.0437070419375</v>
      </c>
      <c r="M63">
        <f t="shared" si="9"/>
        <v>-21.600000000000364</v>
      </c>
      <c r="N63">
        <f>L63-$F$1</f>
        <v>1088.0437070419375</v>
      </c>
      <c r="O63" s="5">
        <f t="shared" si="2"/>
        <v>0.12574663227547678</v>
      </c>
      <c r="P63">
        <f t="shared" si="10"/>
        <v>10000</v>
      </c>
      <c r="Q63">
        <f t="shared" si="3"/>
        <v>1257.4663227547678</v>
      </c>
    </row>
    <row r="64" spans="1:17" x14ac:dyDescent="0.15">
      <c r="A64" s="10">
        <v>45868.430555555969</v>
      </c>
      <c r="B64">
        <f>COUNT(A64:$A$1158)/(48*252)</f>
        <v>9.0525793650793648E-2</v>
      </c>
      <c r="C64">
        <v>2.19</v>
      </c>
      <c r="D64">
        <v>9.1999999999999998E-2</v>
      </c>
      <c r="E64">
        <f t="shared" si="0"/>
        <v>5.8730056095670009E-2</v>
      </c>
      <c r="F64">
        <f t="shared" si="1"/>
        <v>0.52341644032669765</v>
      </c>
      <c r="G64">
        <f t="shared" si="4"/>
        <v>-3.0000000000001137E-3</v>
      </c>
      <c r="H64">
        <f>IF(MOD(COUNTA($C$7:C64)-1,$J$2),H63,ROUND(F64*P64,-2))</f>
        <v>5400</v>
      </c>
      <c r="I64">
        <f t="shared" si="5"/>
        <v>0</v>
      </c>
      <c r="J64">
        <f t="shared" si="6"/>
        <v>0</v>
      </c>
      <c r="K64">
        <f t="shared" si="7"/>
        <v>-10754.156292958063</v>
      </c>
      <c r="L64">
        <f t="shared" si="8"/>
        <v>1071.8437070419368</v>
      </c>
      <c r="M64">
        <f t="shared" si="9"/>
        <v>-16.200000000000728</v>
      </c>
      <c r="N64">
        <f t="shared" si="11"/>
        <v>1071.8437070419368</v>
      </c>
      <c r="O64" s="5">
        <f t="shared" si="2"/>
        <v>0.12711650727281398</v>
      </c>
      <c r="P64">
        <f t="shared" si="10"/>
        <v>10000</v>
      </c>
      <c r="Q64">
        <f t="shared" si="3"/>
        <v>1271.1650727281399</v>
      </c>
    </row>
    <row r="65" spans="1:17" x14ac:dyDescent="0.15">
      <c r="A65" s="10">
        <v>45868.434027777985</v>
      </c>
      <c r="B65">
        <f>COUNT(A65:$A$1158)/(48*252)</f>
        <v>9.0443121693121686E-2</v>
      </c>
      <c r="C65">
        <v>2.1960000000000002</v>
      </c>
      <c r="D65">
        <v>9.5000000000000001E-2</v>
      </c>
      <c r="E65">
        <f t="shared" si="0"/>
        <v>7.7793529860936031E-2</v>
      </c>
      <c r="F65">
        <f t="shared" si="1"/>
        <v>0.53100385336203981</v>
      </c>
      <c r="G65">
        <f t="shared" si="4"/>
        <v>6.0000000000002274E-3</v>
      </c>
      <c r="H65">
        <f>IF(MOD(COUNTA($C$7:C65)-1,$J$2),H64,ROUND(F65*P65,-2))</f>
        <v>5400</v>
      </c>
      <c r="I65">
        <f t="shared" si="5"/>
        <v>0</v>
      </c>
      <c r="J65">
        <f t="shared" si="6"/>
        <v>0</v>
      </c>
      <c r="K65">
        <f t="shared" si="7"/>
        <v>-10754.156292958063</v>
      </c>
      <c r="L65">
        <f>K65+H65*C65</f>
        <v>1104.2437070419383</v>
      </c>
      <c r="M65">
        <f t="shared" si="9"/>
        <v>32.400000000001455</v>
      </c>
      <c r="N65">
        <f t="shared" si="11"/>
        <v>1104.2437070419383</v>
      </c>
      <c r="O65" s="5">
        <f t="shared" si="2"/>
        <v>0.12422559121160237</v>
      </c>
      <c r="P65">
        <f t="shared" si="10"/>
        <v>10000</v>
      </c>
      <c r="Q65">
        <f t="shared" si="3"/>
        <v>1242.2559121160236</v>
      </c>
    </row>
    <row r="66" spans="1:17" x14ac:dyDescent="0.15">
      <c r="A66" s="10">
        <v>45868.4375</v>
      </c>
      <c r="B66">
        <f>COUNT(A66:$A$1158)/(48*252)</f>
        <v>9.0360449735449738E-2</v>
      </c>
      <c r="C66">
        <v>2.1970000000000001</v>
      </c>
      <c r="D66">
        <v>9.5000000000000001E-2</v>
      </c>
      <c r="E66">
        <f t="shared" si="0"/>
        <v>8.0929274731577808E-2</v>
      </c>
      <c r="F66">
        <f t="shared" si="1"/>
        <v>0.53225090077517856</v>
      </c>
      <c r="G66">
        <f t="shared" si="4"/>
        <v>9.9999999999988987E-4</v>
      </c>
      <c r="H66">
        <f>IF(MOD(COUNTA($C$7:C66)-1,$J$2),H65,ROUND(F66*P66,-2))</f>
        <v>5400</v>
      </c>
      <c r="I66">
        <f t="shared" si="5"/>
        <v>0</v>
      </c>
      <c r="J66">
        <f t="shared" si="6"/>
        <v>0</v>
      </c>
      <c r="K66">
        <f t="shared" si="7"/>
        <v>-10754.156292958063</v>
      </c>
      <c r="L66">
        <f t="shared" si="8"/>
        <v>1109.6437070419379</v>
      </c>
      <c r="M66">
        <f t="shared" si="9"/>
        <v>5.3999999999996362</v>
      </c>
      <c r="N66">
        <f t="shared" si="11"/>
        <v>1109.6437070419379</v>
      </c>
      <c r="O66" s="5">
        <f t="shared" si="2"/>
        <v>0.1237029343392364</v>
      </c>
      <c r="P66">
        <f t="shared" si="10"/>
        <v>10000</v>
      </c>
      <c r="Q66">
        <f t="shared" si="3"/>
        <v>1237.0293433923641</v>
      </c>
    </row>
    <row r="67" spans="1:17" x14ac:dyDescent="0.15">
      <c r="A67" s="10">
        <v>45868.440972222015</v>
      </c>
      <c r="B67">
        <f>COUNT(A67:$A$1158)/(48*252)</f>
        <v>9.0277777777777776E-2</v>
      </c>
      <c r="C67">
        <v>2.1920000000000002</v>
      </c>
      <c r="D67">
        <v>9.2999999999999999E-2</v>
      </c>
      <c r="E67">
        <f t="shared" si="0"/>
        <v>6.494702212232055E-2</v>
      </c>
      <c r="F67">
        <f t="shared" si="1"/>
        <v>0.52589190932104302</v>
      </c>
      <c r="G67">
        <f t="shared" si="4"/>
        <v>-4.9999999999998934E-3</v>
      </c>
      <c r="H67">
        <f>IF(MOD(COUNTA($C$7:C67)-1,$J$2),H66,ROUND(F67*P67,-2))</f>
        <v>5300</v>
      </c>
      <c r="I67">
        <f t="shared" si="5"/>
        <v>-100</v>
      </c>
      <c r="J67">
        <f t="shared" si="6"/>
        <v>0</v>
      </c>
      <c r="K67">
        <f t="shared" si="7"/>
        <v>-10534.966156958062</v>
      </c>
      <c r="L67">
        <f t="shared" si="8"/>
        <v>1082.6338430419382</v>
      </c>
      <c r="M67">
        <f t="shared" si="9"/>
        <v>-27.009863999999652</v>
      </c>
      <c r="N67">
        <f t="shared" si="11"/>
        <v>1082.6338430419382</v>
      </c>
      <c r="O67" s="5">
        <f t="shared" si="2"/>
        <v>0.12600329390275378</v>
      </c>
      <c r="P67">
        <f t="shared" si="10"/>
        <v>10000</v>
      </c>
      <c r="Q67">
        <f t="shared" si="3"/>
        <v>1260.0329390275379</v>
      </c>
    </row>
    <row r="68" spans="1:17" x14ac:dyDescent="0.15">
      <c r="A68" s="10">
        <v>45868.444444444962</v>
      </c>
      <c r="B68">
        <f>COUNT(A68:$A$1158)/(48*252)</f>
        <v>9.0195105820105814E-2</v>
      </c>
      <c r="C68">
        <v>2.19</v>
      </c>
      <c r="D68">
        <v>9.1999999999999998E-2</v>
      </c>
      <c r="E68">
        <f t="shared" si="0"/>
        <v>5.8506230501788388E-2</v>
      </c>
      <c r="F68">
        <f t="shared" si="1"/>
        <v>0.52332730011243311</v>
      </c>
      <c r="G68">
        <f t="shared" si="4"/>
        <v>-2.0000000000002238E-3</v>
      </c>
      <c r="H68">
        <f>IF(MOD(COUNTA($C$7:C68)-1,$J$2),H67,ROUND(F68*P68,-2))</f>
        <v>5300</v>
      </c>
      <c r="I68">
        <f t="shared" si="5"/>
        <v>0</v>
      </c>
      <c r="J68">
        <f t="shared" si="6"/>
        <v>0</v>
      </c>
      <c r="K68">
        <f t="shared" si="7"/>
        <v>-10534.966156958062</v>
      </c>
      <c r="L68">
        <f t="shared" si="8"/>
        <v>1072.0338430419379</v>
      </c>
      <c r="M68">
        <f t="shared" si="9"/>
        <v>-10.600000000000364</v>
      </c>
      <c r="N68">
        <f t="shared" si="11"/>
        <v>1072.0338430419379</v>
      </c>
      <c r="O68" s="5">
        <f t="shared" si="2"/>
        <v>0.1268998473791525</v>
      </c>
      <c r="P68">
        <f t="shared" si="10"/>
        <v>10000</v>
      </c>
      <c r="Q68">
        <f t="shared" si="3"/>
        <v>1268.9984737915249</v>
      </c>
    </row>
    <row r="69" spans="1:17" x14ac:dyDescent="0.15">
      <c r="A69" s="10">
        <v>45868.447916666977</v>
      </c>
      <c r="B69">
        <f>COUNT(A69:$A$1158)/(48*252)</f>
        <v>9.0112433862433866E-2</v>
      </c>
      <c r="C69">
        <v>2.1890000000000001</v>
      </c>
      <c r="D69">
        <v>9.2999999999999999E-2</v>
      </c>
      <c r="E69">
        <f t="shared" si="0"/>
        <v>5.52526718454961E-2</v>
      </c>
      <c r="F69">
        <f t="shared" si="1"/>
        <v>0.52203141653763274</v>
      </c>
      <c r="G69">
        <f t="shared" si="4"/>
        <v>-9.9999999999988987E-4</v>
      </c>
      <c r="H69">
        <f>IF(MOD(COUNTA($C$7:C69)-1,$J$2),H68,ROUND(F69*P69,-2))</f>
        <v>5300</v>
      </c>
      <c r="I69">
        <f t="shared" si="5"/>
        <v>0</v>
      </c>
      <c r="J69">
        <f t="shared" si="6"/>
        <v>0</v>
      </c>
      <c r="K69">
        <f t="shared" si="7"/>
        <v>-10534.966156958062</v>
      </c>
      <c r="L69">
        <f t="shared" si="8"/>
        <v>1066.7338430419386</v>
      </c>
      <c r="M69">
        <f t="shared" si="9"/>
        <v>-5.2999999999992724</v>
      </c>
      <c r="N69">
        <f t="shared" si="11"/>
        <v>1066.7338430419386</v>
      </c>
      <c r="O69" s="5">
        <f t="shared" si="2"/>
        <v>0.12732294828420265</v>
      </c>
      <c r="P69">
        <f t="shared" si="10"/>
        <v>10000</v>
      </c>
      <c r="Q69">
        <f t="shared" si="3"/>
        <v>1273.2294828420265</v>
      </c>
    </row>
    <row r="70" spans="1:17" x14ac:dyDescent="0.15">
      <c r="A70" s="10">
        <v>45868.451388888992</v>
      </c>
      <c r="B70">
        <f>COUNT(A70:$A$1158)/(48*252)</f>
        <v>9.0029761904761904E-2</v>
      </c>
      <c r="C70">
        <v>2.198</v>
      </c>
      <c r="D70">
        <v>9.5000000000000001E-2</v>
      </c>
      <c r="E70">
        <f t="shared" si="0"/>
        <v>8.3933401532901644E-2</v>
      </c>
      <c r="F70">
        <f t="shared" si="1"/>
        <v>0.53344530866679651</v>
      </c>
      <c r="G70">
        <f t="shared" si="4"/>
        <v>8.999999999999897E-3</v>
      </c>
      <c r="H70">
        <f>IF(MOD(COUNTA($C$7:C70)-1,$J$2),H69,ROUND(F70*P70,-2))</f>
        <v>5300</v>
      </c>
      <c r="I70">
        <f t="shared" si="5"/>
        <v>0</v>
      </c>
      <c r="J70">
        <f t="shared" si="6"/>
        <v>0</v>
      </c>
      <c r="K70">
        <f t="shared" si="7"/>
        <v>-10534.966156958062</v>
      </c>
      <c r="L70">
        <f t="shared" si="8"/>
        <v>1114.4338430419375</v>
      </c>
      <c r="M70">
        <f t="shared" si="9"/>
        <v>47.699999999998909</v>
      </c>
      <c r="N70">
        <f t="shared" si="11"/>
        <v>1114.4338430419375</v>
      </c>
      <c r="O70" s="5">
        <f t="shared" si="2"/>
        <v>0.12301830809991809</v>
      </c>
      <c r="P70">
        <f t="shared" si="10"/>
        <v>10000</v>
      </c>
      <c r="Q70">
        <f t="shared" si="3"/>
        <v>1230.1830809991809</v>
      </c>
    </row>
    <row r="71" spans="1:17" x14ac:dyDescent="0.15">
      <c r="A71" s="10">
        <v>45868.454861111008</v>
      </c>
      <c r="B71">
        <f>COUNT(A71:$A$1158)/(48*252)</f>
        <v>8.9947089947089942E-2</v>
      </c>
      <c r="C71">
        <v>2.1960000000000002</v>
      </c>
      <c r="D71">
        <v>9.4E-2</v>
      </c>
      <c r="E71">
        <f t="shared" si="0"/>
        <v>7.7509969478664453E-2</v>
      </c>
      <c r="F71">
        <f t="shared" si="1"/>
        <v>0.5308910696811705</v>
      </c>
      <c r="G71">
        <f t="shared" si="4"/>
        <v>-1.9999999999997797E-3</v>
      </c>
      <c r="H71">
        <f>IF(MOD(COUNTA($C$7:C71)-1,$J$2),H70,ROUND(F71*P71,-2))</f>
        <v>5300</v>
      </c>
      <c r="I71">
        <f t="shared" si="5"/>
        <v>0</v>
      </c>
      <c r="J71">
        <f t="shared" si="6"/>
        <v>0</v>
      </c>
      <c r="K71">
        <f t="shared" si="7"/>
        <v>-10534.966156958062</v>
      </c>
      <c r="L71">
        <f t="shared" si="8"/>
        <v>1103.833843041939</v>
      </c>
      <c r="M71">
        <f t="shared" si="9"/>
        <v>-10.599999999998545</v>
      </c>
      <c r="N71">
        <f t="shared" si="11"/>
        <v>1103.833843041939</v>
      </c>
      <c r="O71" s="5">
        <f t="shared" si="2"/>
        <v>0.12389954506394663</v>
      </c>
      <c r="P71">
        <f t="shared" si="10"/>
        <v>10000</v>
      </c>
      <c r="Q71">
        <f t="shared" si="3"/>
        <v>1238.9954506394663</v>
      </c>
    </row>
    <row r="72" spans="1:17" x14ac:dyDescent="0.15">
      <c r="A72" s="10">
        <v>45868.458333333023</v>
      </c>
      <c r="B72">
        <f>COUNT(A72:$A$1158)/(48*252)</f>
        <v>8.9864417989417994E-2</v>
      </c>
      <c r="C72">
        <v>2.1909999999999998</v>
      </c>
      <c r="D72">
        <v>9.1999999999999998E-2</v>
      </c>
      <c r="E72">
        <f t="shared" ref="E72:E135" si="12">(LN(C72/$B$2)+($B$1+0.5*$D$1*$D$1)*B72)/($D$1*SQRT(B72))</f>
        <v>6.1482232117316932E-2</v>
      </c>
      <c r="F72">
        <f t="shared" ref="F72:F135" si="13">NORMSDIST(E72)</f>
        <v>0.52451241782485059</v>
      </c>
      <c r="G72">
        <f t="shared" si="4"/>
        <v>-5.0000000000003375E-3</v>
      </c>
      <c r="H72">
        <f>IF(MOD(COUNTA($C$7:C72)-1,$J$2),H71,ROUND(F72*P72,-2))</f>
        <v>5300</v>
      </c>
      <c r="I72">
        <f t="shared" si="5"/>
        <v>0</v>
      </c>
      <c r="J72">
        <f t="shared" si="6"/>
        <v>0</v>
      </c>
      <c r="K72">
        <f t="shared" si="7"/>
        <v>-10534.966156958062</v>
      </c>
      <c r="L72">
        <f t="shared" si="8"/>
        <v>1077.3338430419371</v>
      </c>
      <c r="M72">
        <f t="shared" si="9"/>
        <v>-26.500000000001819</v>
      </c>
      <c r="N72">
        <f t="shared" si="11"/>
        <v>1077.3338430419371</v>
      </c>
      <c r="O72" s="5">
        <f t="shared" ref="O72:O135" si="14">put_bs($B$1,$J$1,C72,$B$2,B72)</f>
        <v>0.12620664065238274</v>
      </c>
      <c r="P72">
        <f t="shared" si="10"/>
        <v>10000</v>
      </c>
      <c r="Q72">
        <f t="shared" ref="Q72:Q135" si="15">P72*O72</f>
        <v>1262.0664065238275</v>
      </c>
    </row>
    <row r="73" spans="1:17" x14ac:dyDescent="0.15">
      <c r="A73" s="10">
        <v>45868.461805555969</v>
      </c>
      <c r="B73">
        <f>COUNT(A73:$A$1158)/(48*252)</f>
        <v>8.9781746031746032E-2</v>
      </c>
      <c r="C73">
        <v>2.1930000000000001</v>
      </c>
      <c r="D73">
        <v>9.2999999999999999E-2</v>
      </c>
      <c r="E73">
        <f t="shared" si="12"/>
        <v>6.782696357598475E-2</v>
      </c>
      <c r="F73">
        <f t="shared" si="13"/>
        <v>0.5270383103231614</v>
      </c>
      <c r="G73">
        <f t="shared" ref="G73:G136" si="16">C73-C72</f>
        <v>2.0000000000002238E-3</v>
      </c>
      <c r="H73">
        <f>IF(MOD(COUNTA($C$7:C73)-1,$J$2),H72,ROUND(F73*P73,-2))</f>
        <v>5300</v>
      </c>
      <c r="I73">
        <f t="shared" ref="I73:I136" si="17">H73-H72</f>
        <v>0</v>
      </c>
      <c r="J73">
        <f t="shared" ref="J73:J136" si="18">J72</f>
        <v>0</v>
      </c>
      <c r="K73">
        <f t="shared" ref="K73:K136" si="19">K72-I73*C73-ABS(I73*C73*$F$2)</f>
        <v>-10534.966156958062</v>
      </c>
      <c r="L73">
        <f t="shared" ref="L73:L136" si="20">K73+H73*C73</f>
        <v>1087.9338430419375</v>
      </c>
      <c r="M73">
        <f t="shared" ref="M73:M136" si="21">L73-L72</f>
        <v>10.600000000000364</v>
      </c>
      <c r="N73">
        <f t="shared" si="11"/>
        <v>1087.9338430419375</v>
      </c>
      <c r="O73" s="5">
        <f t="shared" si="14"/>
        <v>0.12520381134701286</v>
      </c>
      <c r="P73">
        <f t="shared" ref="P73:P136" si="22">P72</f>
        <v>10000</v>
      </c>
      <c r="Q73">
        <f t="shared" si="15"/>
        <v>1252.0381134701286</v>
      </c>
    </row>
    <row r="74" spans="1:17" x14ac:dyDescent="0.15">
      <c r="A74" s="10">
        <v>45868.465277777985</v>
      </c>
      <c r="B74">
        <f>COUNT(A74:$A$1158)/(48*252)</f>
        <v>8.969907407407407E-2</v>
      </c>
      <c r="C74">
        <v>2.2000000000000002</v>
      </c>
      <c r="D74">
        <v>9.5000000000000001E-2</v>
      </c>
      <c r="E74">
        <f t="shared" si="12"/>
        <v>9.0137707230997025E-2</v>
      </c>
      <c r="F74">
        <f t="shared" si="13"/>
        <v>0.53591110743683934</v>
      </c>
      <c r="G74">
        <f t="shared" si="16"/>
        <v>7.0000000000001172E-3</v>
      </c>
      <c r="H74">
        <f>IF(MOD(COUNTA($C$7:C74)-1,$J$2),H73,ROUND(F74*P74,-2))</f>
        <v>5300</v>
      </c>
      <c r="I74">
        <f t="shared" si="17"/>
        <v>0</v>
      </c>
      <c r="J74">
        <f t="shared" si="18"/>
        <v>0</v>
      </c>
      <c r="K74">
        <f t="shared" si="19"/>
        <v>-10534.966156958062</v>
      </c>
      <c r="L74">
        <f t="shared" si="20"/>
        <v>1125.0338430419397</v>
      </c>
      <c r="M74">
        <f t="shared" si="21"/>
        <v>37.100000000002183</v>
      </c>
      <c r="N74">
        <f t="shared" ref="N74:N137" si="23">L74-$F$1</f>
        <v>1125.0338430419397</v>
      </c>
      <c r="O74" s="5">
        <f t="shared" si="14"/>
        <v>0.12186965998709964</v>
      </c>
      <c r="P74">
        <f t="shared" si="22"/>
        <v>10000</v>
      </c>
      <c r="Q74">
        <f t="shared" si="15"/>
        <v>1218.6965998709964</v>
      </c>
    </row>
    <row r="75" spans="1:17" x14ac:dyDescent="0.15">
      <c r="A75" s="10">
        <v>45868.46875</v>
      </c>
      <c r="B75">
        <f>COUNT(A75:$A$1158)/(48*252)</f>
        <v>8.9616402116402122E-2</v>
      </c>
      <c r="C75">
        <v>2.1989999999999998</v>
      </c>
      <c r="D75">
        <v>9.5000000000000001E-2</v>
      </c>
      <c r="E75">
        <f t="shared" si="12"/>
        <v>8.6904395407288698E-2</v>
      </c>
      <c r="F75">
        <f t="shared" si="13"/>
        <v>0.53462624714426166</v>
      </c>
      <c r="G75">
        <f t="shared" si="16"/>
        <v>-1.000000000000334E-3</v>
      </c>
      <c r="H75">
        <f>IF(MOD(COUNTA($C$7:C75)-1,$J$2),H74,ROUND(F75*P75,-2))</f>
        <v>5300</v>
      </c>
      <c r="I75">
        <f t="shared" si="17"/>
        <v>0</v>
      </c>
      <c r="J75">
        <f t="shared" si="18"/>
        <v>0</v>
      </c>
      <c r="K75">
        <f t="shared" si="19"/>
        <v>-10534.966156958062</v>
      </c>
      <c r="L75">
        <f t="shared" si="20"/>
        <v>1119.7338430419368</v>
      </c>
      <c r="M75">
        <f t="shared" si="21"/>
        <v>-5.3000000000029104</v>
      </c>
      <c r="N75">
        <f t="shared" si="23"/>
        <v>1119.7338430419368</v>
      </c>
      <c r="O75" s="5">
        <f t="shared" si="14"/>
        <v>0.12227981501605645</v>
      </c>
      <c r="P75">
        <f t="shared" si="22"/>
        <v>10000</v>
      </c>
      <c r="Q75">
        <f t="shared" si="15"/>
        <v>1222.7981501605645</v>
      </c>
    </row>
    <row r="76" spans="1:17" x14ac:dyDescent="0.15">
      <c r="A76" s="10">
        <v>45868.472222222015</v>
      </c>
      <c r="B76">
        <f>COUNT(A76:$A$1158)/(48*252)</f>
        <v>8.953373015873016E-2</v>
      </c>
      <c r="C76">
        <v>2.202</v>
      </c>
      <c r="D76">
        <v>9.7000000000000003E-2</v>
      </c>
      <c r="E76">
        <f t="shared" si="12"/>
        <v>9.6436715316185265E-2</v>
      </c>
      <c r="F76">
        <f t="shared" si="13"/>
        <v>0.53841313330320428</v>
      </c>
      <c r="G76">
        <f t="shared" si="16"/>
        <v>3.0000000000001137E-3</v>
      </c>
      <c r="H76">
        <f>IF(MOD(COUNTA($C$7:C76)-1,$J$2),H75,ROUND(F76*P76,-2))</f>
        <v>5300</v>
      </c>
      <c r="I76">
        <f t="shared" si="17"/>
        <v>0</v>
      </c>
      <c r="J76">
        <f t="shared" si="18"/>
        <v>0</v>
      </c>
      <c r="K76">
        <f t="shared" si="19"/>
        <v>-10534.966156958062</v>
      </c>
      <c r="L76">
        <f t="shared" si="20"/>
        <v>1135.6338430419382</v>
      </c>
      <c r="M76">
        <f t="shared" si="21"/>
        <v>15.900000000001455</v>
      </c>
      <c r="N76">
        <f t="shared" si="23"/>
        <v>1135.6338430419382</v>
      </c>
      <c r="O76" s="5">
        <f t="shared" si="14"/>
        <v>0.12083475614868666</v>
      </c>
      <c r="P76">
        <f t="shared" si="22"/>
        <v>10000</v>
      </c>
      <c r="Q76">
        <f t="shared" si="15"/>
        <v>1208.3475614868667</v>
      </c>
    </row>
    <row r="77" spans="1:17" x14ac:dyDescent="0.15">
      <c r="A77" s="10">
        <v>45868.475694444962</v>
      </c>
      <c r="B77">
        <f>COUNT(A77:$A$1158)/(48*252)</f>
        <v>8.9451058201058198E-2</v>
      </c>
      <c r="C77">
        <v>2.198</v>
      </c>
      <c r="D77">
        <v>9.7000000000000003E-2</v>
      </c>
      <c r="E77">
        <f t="shared" si="12"/>
        <v>8.3622128204229512E-2</v>
      </c>
      <c r="F77">
        <f t="shared" si="13"/>
        <v>0.5333215636042089</v>
      </c>
      <c r="G77">
        <f t="shared" si="16"/>
        <v>-4.0000000000000036E-3</v>
      </c>
      <c r="H77">
        <f>IF(MOD(COUNTA($C$7:C77)-1,$J$2),H76,ROUND(F77*P77,-2))</f>
        <v>5300</v>
      </c>
      <c r="I77">
        <f t="shared" si="17"/>
        <v>0</v>
      </c>
      <c r="J77">
        <f t="shared" si="18"/>
        <v>0</v>
      </c>
      <c r="K77">
        <f t="shared" si="19"/>
        <v>-10534.966156958062</v>
      </c>
      <c r="L77">
        <f t="shared" si="20"/>
        <v>1114.4338430419375</v>
      </c>
      <c r="M77">
        <f t="shared" si="21"/>
        <v>-21.200000000000728</v>
      </c>
      <c r="N77">
        <f t="shared" si="23"/>
        <v>1114.4338430419375</v>
      </c>
      <c r="O77" s="5">
        <f t="shared" si="14"/>
        <v>0.12263664254290041</v>
      </c>
      <c r="P77">
        <f t="shared" si="22"/>
        <v>10000</v>
      </c>
      <c r="Q77">
        <f t="shared" si="15"/>
        <v>1226.366425429004</v>
      </c>
    </row>
    <row r="78" spans="1:17" x14ac:dyDescent="0.15">
      <c r="A78" s="10">
        <v>45868.479166666977</v>
      </c>
      <c r="B78">
        <f>COUNT(A78:$A$1158)/(48*252)</f>
        <v>8.936838624338625E-2</v>
      </c>
      <c r="C78">
        <v>2.198</v>
      </c>
      <c r="D78">
        <v>9.6000000000000002E-2</v>
      </c>
      <c r="E78">
        <f t="shared" si="12"/>
        <v>8.3577567610040607E-2</v>
      </c>
      <c r="F78">
        <f t="shared" si="13"/>
        <v>0.53330384851224621</v>
      </c>
      <c r="G78">
        <f t="shared" si="16"/>
        <v>0</v>
      </c>
      <c r="H78">
        <f>IF(MOD(COUNTA($C$7:C78)-1,$J$2),H77,ROUND(F78*P78,-2))</f>
        <v>5300</v>
      </c>
      <c r="I78">
        <f t="shared" si="17"/>
        <v>0</v>
      </c>
      <c r="J78">
        <f t="shared" si="18"/>
        <v>0</v>
      </c>
      <c r="K78">
        <f t="shared" si="19"/>
        <v>-10534.966156958062</v>
      </c>
      <c r="L78">
        <f t="shared" si="20"/>
        <v>1114.4338430419375</v>
      </c>
      <c r="M78">
        <f t="shared" si="21"/>
        <v>0</v>
      </c>
      <c r="N78">
        <f t="shared" si="23"/>
        <v>1114.4338430419375</v>
      </c>
      <c r="O78" s="5">
        <f t="shared" si="14"/>
        <v>0.1225820119542691</v>
      </c>
      <c r="P78">
        <f t="shared" si="22"/>
        <v>10000</v>
      </c>
      <c r="Q78">
        <f t="shared" si="15"/>
        <v>1225.8201195426909</v>
      </c>
    </row>
    <row r="79" spans="1:17" x14ac:dyDescent="0.15">
      <c r="A79" s="10">
        <v>45868.545138888992</v>
      </c>
      <c r="B79">
        <f>COUNT(A79:$A$1158)/(48*252)</f>
        <v>8.9285714285714288E-2</v>
      </c>
      <c r="C79">
        <v>2.2000000000000002</v>
      </c>
      <c r="D79">
        <v>9.7000000000000003E-2</v>
      </c>
      <c r="E79">
        <f t="shared" si="12"/>
        <v>8.9929776833572936E-2</v>
      </c>
      <c r="F79">
        <f t="shared" si="13"/>
        <v>0.53582849073813477</v>
      </c>
      <c r="G79">
        <f t="shared" si="16"/>
        <v>2.0000000000002238E-3</v>
      </c>
      <c r="H79">
        <f>IF(MOD(COUNTA($C$7:C79)-1,$J$2),H78,ROUND(F79*P79,-2))</f>
        <v>5400</v>
      </c>
      <c r="I79">
        <f t="shared" si="17"/>
        <v>100</v>
      </c>
      <c r="J79">
        <f t="shared" si="18"/>
        <v>0</v>
      </c>
      <c r="K79">
        <f t="shared" si="19"/>
        <v>-10754.976056958061</v>
      </c>
      <c r="L79">
        <f t="shared" si="20"/>
        <v>1125.0239430419406</v>
      </c>
      <c r="M79">
        <f t="shared" si="21"/>
        <v>10.590100000003076</v>
      </c>
      <c r="N79">
        <f t="shared" si="23"/>
        <v>1125.0239430419406</v>
      </c>
      <c r="O79" s="5">
        <f t="shared" si="14"/>
        <v>0.12159646975568283</v>
      </c>
      <c r="P79">
        <f t="shared" si="22"/>
        <v>10000</v>
      </c>
      <c r="Q79">
        <f t="shared" si="15"/>
        <v>1215.9646975568282</v>
      </c>
    </row>
    <row r="80" spans="1:17" x14ac:dyDescent="0.15">
      <c r="A80" s="10">
        <v>45868.548611111008</v>
      </c>
      <c r="B80">
        <f>COUNT(A80:$A$1158)/(48*252)</f>
        <v>8.9203042328042326E-2</v>
      </c>
      <c r="C80">
        <v>2.202</v>
      </c>
      <c r="D80">
        <v>9.8000000000000004E-2</v>
      </c>
      <c r="E80">
        <f t="shared" si="12"/>
        <v>9.628207442372208E-2</v>
      </c>
      <c r="F80">
        <f t="shared" si="13"/>
        <v>0.53835172626204542</v>
      </c>
      <c r="G80">
        <f t="shared" si="16"/>
        <v>1.9999999999997797E-3</v>
      </c>
      <c r="H80">
        <f>IF(MOD(COUNTA($C$7:C80)-1,$J$2),H79,ROUND(F80*P80,-2))</f>
        <v>5400</v>
      </c>
      <c r="I80">
        <f t="shared" si="17"/>
        <v>0</v>
      </c>
      <c r="J80">
        <f t="shared" si="18"/>
        <v>0</v>
      </c>
      <c r="K80">
        <f t="shared" si="19"/>
        <v>-10754.976056958061</v>
      </c>
      <c r="L80">
        <f t="shared" si="20"/>
        <v>1135.823943041938</v>
      </c>
      <c r="M80">
        <f t="shared" si="21"/>
        <v>10.799999999997453</v>
      </c>
      <c r="N80">
        <f t="shared" si="23"/>
        <v>1135.823943041938</v>
      </c>
      <c r="O80" s="5">
        <f t="shared" si="14"/>
        <v>0.12061591546657269</v>
      </c>
      <c r="P80">
        <f t="shared" si="22"/>
        <v>10000</v>
      </c>
      <c r="Q80">
        <f t="shared" si="15"/>
        <v>1206.1591546657269</v>
      </c>
    </row>
    <row r="81" spans="1:17" x14ac:dyDescent="0.15">
      <c r="A81" s="10">
        <v>45868.552083333023</v>
      </c>
      <c r="B81">
        <f>COUNT(A81:$A$1158)/(48*252)</f>
        <v>8.9120370370370364E-2</v>
      </c>
      <c r="C81">
        <v>2.2050000000000001</v>
      </c>
      <c r="D81">
        <v>9.8000000000000004E-2</v>
      </c>
      <c r="E81">
        <f t="shared" si="12"/>
        <v>0.10582785013518736</v>
      </c>
      <c r="F81">
        <f t="shared" si="13"/>
        <v>0.54214053017443309</v>
      </c>
      <c r="G81">
        <f t="shared" si="16"/>
        <v>3.0000000000001137E-3</v>
      </c>
      <c r="H81">
        <f>IF(MOD(COUNTA($C$7:C81)-1,$J$2),H80,ROUND(F81*P81,-2))</f>
        <v>5400</v>
      </c>
      <c r="I81">
        <f t="shared" si="17"/>
        <v>0</v>
      </c>
      <c r="J81">
        <f t="shared" si="18"/>
        <v>0</v>
      </c>
      <c r="K81">
        <f t="shared" si="19"/>
        <v>-10754.976056958061</v>
      </c>
      <c r="L81">
        <f t="shared" si="20"/>
        <v>1152.0239430419388</v>
      </c>
      <c r="M81">
        <f t="shared" si="21"/>
        <v>16.200000000000728</v>
      </c>
      <c r="N81">
        <f t="shared" si="23"/>
        <v>1152.0239430419388</v>
      </c>
      <c r="O81" s="5">
        <f t="shared" si="14"/>
        <v>0.11918185556275929</v>
      </c>
      <c r="P81">
        <f t="shared" si="22"/>
        <v>10000</v>
      </c>
      <c r="Q81">
        <f t="shared" si="15"/>
        <v>1191.8185556275928</v>
      </c>
    </row>
    <row r="82" spans="1:17" x14ac:dyDescent="0.15">
      <c r="A82" s="10">
        <v>45868.555555555969</v>
      </c>
      <c r="B82">
        <f>COUNT(A82:$A$1158)/(48*252)</f>
        <v>8.9037698412698416E-2</v>
      </c>
      <c r="C82">
        <v>2.214</v>
      </c>
      <c r="D82">
        <v>0.10199999999999999</v>
      </c>
      <c r="E82">
        <f t="shared" si="12"/>
        <v>0.13448227042112662</v>
      </c>
      <c r="F82">
        <f t="shared" si="13"/>
        <v>0.55348938505666812</v>
      </c>
      <c r="G82">
        <f t="shared" si="16"/>
        <v>8.999999999999897E-3</v>
      </c>
      <c r="H82">
        <f>IF(MOD(COUNTA($C$7:C82)-1,$J$2),H81,ROUND(F82*P82,-2))</f>
        <v>5400</v>
      </c>
      <c r="I82">
        <f t="shared" si="17"/>
        <v>0</v>
      </c>
      <c r="J82">
        <f t="shared" si="18"/>
        <v>0</v>
      </c>
      <c r="K82">
        <f t="shared" si="19"/>
        <v>-10754.976056958061</v>
      </c>
      <c r="L82">
        <f t="shared" si="20"/>
        <v>1200.6239430419391</v>
      </c>
      <c r="M82">
        <f t="shared" si="21"/>
        <v>48.600000000000364</v>
      </c>
      <c r="N82">
        <f t="shared" si="23"/>
        <v>1200.6239430419391</v>
      </c>
      <c r="O82" s="5">
        <f t="shared" si="14"/>
        <v>0.11505734520422117</v>
      </c>
      <c r="P82">
        <f t="shared" si="22"/>
        <v>10000</v>
      </c>
      <c r="Q82">
        <f t="shared" si="15"/>
        <v>1150.5734520422118</v>
      </c>
    </row>
    <row r="83" spans="1:17" x14ac:dyDescent="0.15">
      <c r="A83" s="10">
        <v>45868.559027777985</v>
      </c>
      <c r="B83">
        <f>COUNT(A83:$A$1158)/(48*252)</f>
        <v>8.8955026455026454E-2</v>
      </c>
      <c r="C83">
        <v>2.2130000000000001</v>
      </c>
      <c r="D83">
        <v>0.10199999999999999</v>
      </c>
      <c r="E83">
        <f t="shared" si="12"/>
        <v>0.13127797952894665</v>
      </c>
      <c r="F83">
        <f t="shared" si="13"/>
        <v>0.5522222945936992</v>
      </c>
      <c r="G83">
        <f t="shared" si="16"/>
        <v>-9.9999999999988987E-4</v>
      </c>
      <c r="H83">
        <f>IF(MOD(COUNTA($C$7:C83)-1,$J$2),H82,ROUND(F83*P83,-2))</f>
        <v>5400</v>
      </c>
      <c r="I83">
        <f t="shared" si="17"/>
        <v>0</v>
      </c>
      <c r="J83">
        <f t="shared" si="18"/>
        <v>0</v>
      </c>
      <c r="K83">
        <f t="shared" si="19"/>
        <v>-10754.976056958061</v>
      </c>
      <c r="L83">
        <f t="shared" si="20"/>
        <v>1195.2239430419395</v>
      </c>
      <c r="M83">
        <f t="shared" si="21"/>
        <v>-5.3999999999996362</v>
      </c>
      <c r="N83">
        <f t="shared" si="23"/>
        <v>1195.2239430419395</v>
      </c>
      <c r="O83" s="5">
        <f t="shared" si="14"/>
        <v>0.11544952006928855</v>
      </c>
      <c r="P83">
        <f t="shared" si="22"/>
        <v>10000</v>
      </c>
      <c r="Q83">
        <f t="shared" si="15"/>
        <v>1154.4952006928854</v>
      </c>
    </row>
    <row r="84" spans="1:17" x14ac:dyDescent="0.15">
      <c r="A84" s="10">
        <v>45868.5625</v>
      </c>
      <c r="B84">
        <f>COUNT(A84:$A$1158)/(48*252)</f>
        <v>8.8872354497354492E-2</v>
      </c>
      <c r="C84">
        <v>2.2050000000000001</v>
      </c>
      <c r="D84">
        <v>9.8000000000000004E-2</v>
      </c>
      <c r="E84">
        <f t="shared" si="12"/>
        <v>0.10572502881958243</v>
      </c>
      <c r="F84">
        <f t="shared" si="13"/>
        <v>0.54209973924166821</v>
      </c>
      <c r="G84">
        <f t="shared" si="16"/>
        <v>-8.0000000000000071E-3</v>
      </c>
      <c r="H84">
        <f>IF(MOD(COUNTA($C$7:C84)-1,$J$2),H83,ROUND(F84*P84,-2))</f>
        <v>5400</v>
      </c>
      <c r="I84">
        <f t="shared" si="17"/>
        <v>0</v>
      </c>
      <c r="J84">
        <f t="shared" si="18"/>
        <v>0</v>
      </c>
      <c r="K84">
        <f t="shared" si="19"/>
        <v>-10754.976056958061</v>
      </c>
      <c r="L84">
        <f t="shared" si="20"/>
        <v>1152.0239430419388</v>
      </c>
      <c r="M84">
        <f t="shared" si="21"/>
        <v>-43.200000000000728</v>
      </c>
      <c r="N84">
        <f t="shared" si="23"/>
        <v>1152.0239430419388</v>
      </c>
      <c r="O84" s="5">
        <f t="shared" si="14"/>
        <v>0.11901723073467974</v>
      </c>
      <c r="P84">
        <f t="shared" si="22"/>
        <v>10000</v>
      </c>
      <c r="Q84">
        <f t="shared" si="15"/>
        <v>1190.1723073467974</v>
      </c>
    </row>
    <row r="85" spans="1:17" x14ac:dyDescent="0.15">
      <c r="A85" s="10">
        <v>45868.565972222015</v>
      </c>
      <c r="B85">
        <f>COUNT(A85:$A$1158)/(48*252)</f>
        <v>8.8789682539682543E-2</v>
      </c>
      <c r="C85">
        <v>2.2050000000000001</v>
      </c>
      <c r="D85">
        <v>9.9000000000000005E-2</v>
      </c>
      <c r="E85">
        <f t="shared" si="12"/>
        <v>0.10569073700496509</v>
      </c>
      <c r="F85">
        <f t="shared" si="13"/>
        <v>0.54208613500759384</v>
      </c>
      <c r="G85">
        <f t="shared" si="16"/>
        <v>0</v>
      </c>
      <c r="H85">
        <f>IF(MOD(COUNTA($C$7:C85)-1,$J$2),H84,ROUND(F85*P85,-2))</f>
        <v>5400</v>
      </c>
      <c r="I85">
        <f t="shared" si="17"/>
        <v>0</v>
      </c>
      <c r="J85">
        <f t="shared" si="18"/>
        <v>0</v>
      </c>
      <c r="K85">
        <f t="shared" si="19"/>
        <v>-10754.976056958061</v>
      </c>
      <c r="L85">
        <f t="shared" si="20"/>
        <v>1152.0239430419388</v>
      </c>
      <c r="M85">
        <f t="shared" si="21"/>
        <v>0</v>
      </c>
      <c r="N85">
        <f t="shared" si="23"/>
        <v>1152.0239430419388</v>
      </c>
      <c r="O85" s="5">
        <f t="shared" si="14"/>
        <v>0.11896230161181265</v>
      </c>
      <c r="P85">
        <f t="shared" si="22"/>
        <v>10000</v>
      </c>
      <c r="Q85">
        <f t="shared" si="15"/>
        <v>1189.6230161181265</v>
      </c>
    </row>
    <row r="86" spans="1:17" x14ac:dyDescent="0.15">
      <c r="A86" s="10">
        <v>45868.569444444962</v>
      </c>
      <c r="B86">
        <f>COUNT(A86:$A$1158)/(48*252)</f>
        <v>8.8707010582010581E-2</v>
      </c>
      <c r="C86">
        <v>2.2050000000000001</v>
      </c>
      <c r="D86">
        <v>9.9000000000000005E-2</v>
      </c>
      <c r="E86">
        <f t="shared" si="12"/>
        <v>0.10565643616409173</v>
      </c>
      <c r="F86">
        <f t="shared" si="13"/>
        <v>0.54207252714330123</v>
      </c>
      <c r="G86">
        <f t="shared" si="16"/>
        <v>0</v>
      </c>
      <c r="H86">
        <f>IF(MOD(COUNTA($C$7:C86)-1,$J$2),H85,ROUND(F86*P86,-2))</f>
        <v>5400</v>
      </c>
      <c r="I86">
        <f t="shared" si="17"/>
        <v>0</v>
      </c>
      <c r="J86">
        <f t="shared" si="18"/>
        <v>0</v>
      </c>
      <c r="K86">
        <f t="shared" si="19"/>
        <v>-10754.976056958061</v>
      </c>
      <c r="L86">
        <f t="shared" si="20"/>
        <v>1152.0239430419388</v>
      </c>
      <c r="M86">
        <f t="shared" si="21"/>
        <v>0</v>
      </c>
      <c r="N86">
        <f t="shared" si="23"/>
        <v>1152.0239430419388</v>
      </c>
      <c r="O86" s="5">
        <f t="shared" si="14"/>
        <v>0.11890734533604719</v>
      </c>
      <c r="P86">
        <f t="shared" si="22"/>
        <v>10000</v>
      </c>
      <c r="Q86">
        <f t="shared" si="15"/>
        <v>1189.0734533604718</v>
      </c>
    </row>
    <row r="87" spans="1:17" x14ac:dyDescent="0.15">
      <c r="A87" s="10">
        <v>45868.572916666977</v>
      </c>
      <c r="B87">
        <f>COUNT(A87:$A$1158)/(48*252)</f>
        <v>8.8624338624338619E-2</v>
      </c>
      <c r="C87">
        <v>2.2040000000000002</v>
      </c>
      <c r="D87">
        <v>9.8000000000000004E-2</v>
      </c>
      <c r="E87">
        <f t="shared" si="12"/>
        <v>0.10241982713118807</v>
      </c>
      <c r="F87">
        <f t="shared" si="13"/>
        <v>0.5407882766742802</v>
      </c>
      <c r="G87">
        <f t="shared" si="16"/>
        <v>-9.9999999999988987E-4</v>
      </c>
      <c r="H87">
        <f>IF(MOD(COUNTA($C$7:C87)-1,$J$2),H86,ROUND(F87*P87,-2))</f>
        <v>5400</v>
      </c>
      <c r="I87">
        <f t="shared" si="17"/>
        <v>0</v>
      </c>
      <c r="J87">
        <f t="shared" si="18"/>
        <v>0</v>
      </c>
      <c r="K87">
        <f t="shared" si="19"/>
        <v>-10754.976056958061</v>
      </c>
      <c r="L87">
        <f t="shared" si="20"/>
        <v>1146.6239430419391</v>
      </c>
      <c r="M87">
        <f t="shared" si="21"/>
        <v>-5.3999999999996362</v>
      </c>
      <c r="N87">
        <f t="shared" si="23"/>
        <v>1146.6239430419391</v>
      </c>
      <c r="O87" s="5">
        <f t="shared" si="14"/>
        <v>0.11931093819010008</v>
      </c>
      <c r="P87">
        <f t="shared" si="22"/>
        <v>10000</v>
      </c>
      <c r="Q87">
        <f t="shared" si="15"/>
        <v>1193.1093819010007</v>
      </c>
    </row>
    <row r="88" spans="1:17" x14ac:dyDescent="0.15">
      <c r="A88" s="10">
        <v>45868.576388888992</v>
      </c>
      <c r="B88">
        <f>COUNT(A88:$A$1158)/(48*252)</f>
        <v>8.8541666666666671E-2</v>
      </c>
      <c r="C88">
        <v>2.2069999999999999</v>
      </c>
      <c r="D88">
        <v>0.1</v>
      </c>
      <c r="E88">
        <f t="shared" si="12"/>
        <v>0.11199103843021703</v>
      </c>
      <c r="F88">
        <f t="shared" si="13"/>
        <v>0.54458474391655987</v>
      </c>
      <c r="G88">
        <f t="shared" si="16"/>
        <v>2.9999999999996696E-3</v>
      </c>
      <c r="H88">
        <f>IF(MOD(COUNTA($C$7:C88)-1,$J$2),H87,ROUND(F88*P88,-2))</f>
        <v>5400</v>
      </c>
      <c r="I88">
        <f t="shared" si="17"/>
        <v>0</v>
      </c>
      <c r="J88">
        <f t="shared" si="18"/>
        <v>0</v>
      </c>
      <c r="K88">
        <f t="shared" si="19"/>
        <v>-10754.976056958061</v>
      </c>
      <c r="L88">
        <f t="shared" si="20"/>
        <v>1162.823943041938</v>
      </c>
      <c r="M88">
        <f t="shared" si="21"/>
        <v>16.199999999998909</v>
      </c>
      <c r="N88">
        <f t="shared" si="23"/>
        <v>1162.823943041938</v>
      </c>
      <c r="O88" s="5">
        <f t="shared" si="14"/>
        <v>0.11788398189744265</v>
      </c>
      <c r="P88">
        <f t="shared" si="22"/>
        <v>10000</v>
      </c>
      <c r="Q88">
        <f t="shared" si="15"/>
        <v>1178.8398189744264</v>
      </c>
    </row>
    <row r="89" spans="1:17" x14ac:dyDescent="0.15">
      <c r="A89" s="10">
        <v>45868.579861111008</v>
      </c>
      <c r="B89">
        <f>COUNT(A89:$A$1158)/(48*252)</f>
        <v>8.8458994708994709E-2</v>
      </c>
      <c r="C89">
        <v>2.206</v>
      </c>
      <c r="D89">
        <v>0.1</v>
      </c>
      <c r="E89">
        <f t="shared" si="12"/>
        <v>0.10875731670657035</v>
      </c>
      <c r="F89">
        <f t="shared" si="13"/>
        <v>0.54330251036783017</v>
      </c>
      <c r="G89">
        <f t="shared" si="16"/>
        <v>-9.9999999999988987E-4</v>
      </c>
      <c r="H89">
        <f>IF(MOD(COUNTA($C$7:C89)-1,$J$2),H88,ROUND(F89*P89,-2))</f>
        <v>5400</v>
      </c>
      <c r="I89">
        <f t="shared" si="17"/>
        <v>0</v>
      </c>
      <c r="J89">
        <f t="shared" si="18"/>
        <v>0</v>
      </c>
      <c r="K89">
        <f t="shared" si="19"/>
        <v>-10754.976056958061</v>
      </c>
      <c r="L89">
        <f t="shared" si="20"/>
        <v>1157.4239430419384</v>
      </c>
      <c r="M89">
        <f t="shared" si="21"/>
        <v>-5.3999999999996362</v>
      </c>
      <c r="N89">
        <f t="shared" si="23"/>
        <v>1157.4239430419384</v>
      </c>
      <c r="O89" s="5">
        <f t="shared" si="14"/>
        <v>0.11828498039316959</v>
      </c>
      <c r="P89">
        <f t="shared" si="22"/>
        <v>10000</v>
      </c>
      <c r="Q89">
        <f t="shared" si="15"/>
        <v>1182.849803931696</v>
      </c>
    </row>
    <row r="90" spans="1:17" x14ac:dyDescent="0.15">
      <c r="A90" s="10">
        <v>45868.583333333023</v>
      </c>
      <c r="B90">
        <f>COUNT(A90:$A$1158)/(48*252)</f>
        <v>8.8376322751322747E-2</v>
      </c>
      <c r="C90">
        <v>2.2109999999999999</v>
      </c>
      <c r="D90">
        <v>0.10199999999999999</v>
      </c>
      <c r="E90">
        <f t="shared" si="12"/>
        <v>0.12472939112773557</v>
      </c>
      <c r="F90">
        <f t="shared" si="13"/>
        <v>0.54963110582965713</v>
      </c>
      <c r="G90">
        <f t="shared" si="16"/>
        <v>4.9999999999998934E-3</v>
      </c>
      <c r="H90">
        <f>IF(MOD(COUNTA($C$7:C90)-1,$J$2),H89,ROUND(F90*P90,-2))</f>
        <v>5400</v>
      </c>
      <c r="I90">
        <f t="shared" si="17"/>
        <v>0</v>
      </c>
      <c r="J90">
        <f t="shared" si="18"/>
        <v>0</v>
      </c>
      <c r="K90">
        <f t="shared" si="19"/>
        <v>-10754.976056958061</v>
      </c>
      <c r="L90">
        <f t="shared" si="20"/>
        <v>1184.4239430419384</v>
      </c>
      <c r="M90">
        <f t="shared" si="21"/>
        <v>27</v>
      </c>
      <c r="N90">
        <f t="shared" si="23"/>
        <v>1184.4239430419384</v>
      </c>
      <c r="O90" s="5">
        <f t="shared" si="14"/>
        <v>0.11596221420402653</v>
      </c>
      <c r="P90">
        <f t="shared" si="22"/>
        <v>10000</v>
      </c>
      <c r="Q90">
        <f t="shared" si="15"/>
        <v>1159.6221420402653</v>
      </c>
    </row>
    <row r="91" spans="1:17" x14ac:dyDescent="0.15">
      <c r="A91" s="10">
        <v>45868.586805555969</v>
      </c>
      <c r="B91">
        <f>COUNT(A91:$A$1158)/(48*252)</f>
        <v>8.8293650793650799E-2</v>
      </c>
      <c r="C91">
        <v>2.2080000000000002</v>
      </c>
      <c r="D91">
        <v>0.10199999999999999</v>
      </c>
      <c r="E91">
        <f t="shared" si="12"/>
        <v>0.11510094479396732</v>
      </c>
      <c r="F91">
        <f t="shared" si="13"/>
        <v>0.54581744447737568</v>
      </c>
      <c r="G91">
        <f t="shared" si="16"/>
        <v>-2.9999999999996696E-3</v>
      </c>
      <c r="H91">
        <f>IF(MOD(COUNTA($C$7:C91)-1,$J$2),H90,ROUND(F91*P91,-2))</f>
        <v>5500</v>
      </c>
      <c r="I91">
        <f t="shared" si="17"/>
        <v>100</v>
      </c>
      <c r="J91">
        <f t="shared" si="18"/>
        <v>0</v>
      </c>
      <c r="K91">
        <f t="shared" si="19"/>
        <v>-10975.785992958061</v>
      </c>
      <c r="L91">
        <f t="shared" si="20"/>
        <v>1168.2140070419409</v>
      </c>
      <c r="M91">
        <f t="shared" si="21"/>
        <v>-16.209935999997469</v>
      </c>
      <c r="N91">
        <f t="shared" si="23"/>
        <v>1168.2140070419409</v>
      </c>
      <c r="O91" s="5">
        <f t="shared" si="14"/>
        <v>0.1172638904607799</v>
      </c>
      <c r="P91">
        <f t="shared" si="22"/>
        <v>10000</v>
      </c>
      <c r="Q91">
        <f t="shared" si="15"/>
        <v>1172.6389046077988</v>
      </c>
    </row>
    <row r="92" spans="1:17" x14ac:dyDescent="0.15">
      <c r="A92" s="10">
        <v>45868.590277777985</v>
      </c>
      <c r="B92">
        <f>COUNT(A92:$A$1158)/(48*252)</f>
        <v>8.8210978835978837E-2</v>
      </c>
      <c r="C92">
        <v>2.2029999999999998</v>
      </c>
      <c r="D92">
        <v>9.8000000000000004E-2</v>
      </c>
      <c r="E92">
        <f t="shared" si="12"/>
        <v>9.9029397851310014E-2</v>
      </c>
      <c r="F92">
        <f t="shared" si="13"/>
        <v>0.53944253564358791</v>
      </c>
      <c r="G92">
        <f t="shared" si="16"/>
        <v>-5.0000000000003375E-3</v>
      </c>
      <c r="H92">
        <f>IF(MOD(COUNTA($C$7:C92)-1,$J$2),H91,ROUND(F92*P92,-2))</f>
        <v>5500</v>
      </c>
      <c r="I92">
        <f t="shared" si="17"/>
        <v>0</v>
      </c>
      <c r="J92">
        <f t="shared" si="18"/>
        <v>0</v>
      </c>
      <c r="K92">
        <f t="shared" si="19"/>
        <v>-10975.785992958061</v>
      </c>
      <c r="L92">
        <f t="shared" si="20"/>
        <v>1140.7140070419391</v>
      </c>
      <c r="M92">
        <f t="shared" si="21"/>
        <v>-27.500000000001819</v>
      </c>
      <c r="N92">
        <f t="shared" si="23"/>
        <v>1140.7140070419391</v>
      </c>
      <c r="O92" s="5">
        <f t="shared" si="14"/>
        <v>0.11949560134303883</v>
      </c>
      <c r="P92">
        <f t="shared" si="22"/>
        <v>10000</v>
      </c>
      <c r="Q92">
        <f t="shared" si="15"/>
        <v>1194.9560134303883</v>
      </c>
    </row>
    <row r="93" spans="1:17" x14ac:dyDescent="0.15">
      <c r="A93" s="10">
        <v>45868.59375</v>
      </c>
      <c r="B93">
        <f>COUNT(A93:$A$1158)/(48*252)</f>
        <v>8.8128306878306875E-2</v>
      </c>
      <c r="C93">
        <v>2.2029999999999998</v>
      </c>
      <c r="D93">
        <v>0.1</v>
      </c>
      <c r="E93">
        <f t="shared" si="12"/>
        <v>9.8992022705675795E-2</v>
      </c>
      <c r="F93">
        <f t="shared" si="13"/>
        <v>0.5394276980237791</v>
      </c>
      <c r="G93">
        <f t="shared" si="16"/>
        <v>0</v>
      </c>
      <c r="H93">
        <f>IF(MOD(COUNTA($C$7:C93)-1,$J$2),H92,ROUND(F93*P93,-2))</f>
        <v>5500</v>
      </c>
      <c r="I93">
        <f t="shared" si="17"/>
        <v>0</v>
      </c>
      <c r="J93">
        <f t="shared" si="18"/>
        <v>0</v>
      </c>
      <c r="K93">
        <f t="shared" si="19"/>
        <v>-10975.785992958061</v>
      </c>
      <c r="L93">
        <f t="shared" si="20"/>
        <v>1140.7140070419391</v>
      </c>
      <c r="M93">
        <f t="shared" si="21"/>
        <v>0</v>
      </c>
      <c r="N93">
        <f t="shared" si="23"/>
        <v>1140.7140070419391</v>
      </c>
      <c r="O93" s="5">
        <f t="shared" si="14"/>
        <v>0.11944048240368854</v>
      </c>
      <c r="P93">
        <f t="shared" si="22"/>
        <v>10000</v>
      </c>
      <c r="Q93">
        <f t="shared" si="15"/>
        <v>1194.4048240368854</v>
      </c>
    </row>
    <row r="94" spans="1:17" x14ac:dyDescent="0.15">
      <c r="A94" s="10">
        <v>45868.597222222015</v>
      </c>
      <c r="B94">
        <f>COUNT(A94:$A$1158)/(48*252)</f>
        <v>8.8045634920634927E-2</v>
      </c>
      <c r="C94">
        <v>2.1989999999999998</v>
      </c>
      <c r="D94">
        <v>9.6000000000000002E-2</v>
      </c>
      <c r="E94">
        <f t="shared" si="12"/>
        <v>8.6082971452027757E-2</v>
      </c>
      <c r="F94">
        <f t="shared" si="13"/>
        <v>0.53429976990816586</v>
      </c>
      <c r="G94">
        <f t="shared" si="16"/>
        <v>-4.0000000000000036E-3</v>
      </c>
      <c r="H94">
        <f>IF(MOD(COUNTA($C$7:C94)-1,$J$2),H93,ROUND(F94*P94,-2))</f>
        <v>5500</v>
      </c>
      <c r="I94">
        <f t="shared" si="17"/>
        <v>0</v>
      </c>
      <c r="J94">
        <f t="shared" si="18"/>
        <v>0</v>
      </c>
      <c r="K94">
        <f t="shared" si="19"/>
        <v>-10975.785992958061</v>
      </c>
      <c r="L94">
        <f t="shared" si="20"/>
        <v>1118.7140070419391</v>
      </c>
      <c r="M94">
        <f t="shared" si="21"/>
        <v>-22</v>
      </c>
      <c r="N94">
        <f t="shared" si="23"/>
        <v>1118.7140070419391</v>
      </c>
      <c r="O94" s="5">
        <f t="shared" si="14"/>
        <v>0.12123790563830994</v>
      </c>
      <c r="P94">
        <f t="shared" si="22"/>
        <v>10000</v>
      </c>
      <c r="Q94">
        <f t="shared" si="15"/>
        <v>1212.3790563830994</v>
      </c>
    </row>
    <row r="95" spans="1:17" x14ac:dyDescent="0.15">
      <c r="A95" s="10">
        <v>45868.600694444962</v>
      </c>
      <c r="B95">
        <f>COUNT(A95:$A$1158)/(48*252)</f>
        <v>8.7962962962962965E-2</v>
      </c>
      <c r="C95">
        <v>2.1989999999999998</v>
      </c>
      <c r="D95">
        <v>9.7000000000000003E-2</v>
      </c>
      <c r="E95">
        <f t="shared" si="12"/>
        <v>8.6039522422574677E-2</v>
      </c>
      <c r="F95">
        <f t="shared" si="13"/>
        <v>0.53428250032575275</v>
      </c>
      <c r="G95">
        <f t="shared" si="16"/>
        <v>0</v>
      </c>
      <c r="H95">
        <f>IF(MOD(COUNTA($C$7:C95)-1,$J$2),H94,ROUND(F95*P95,-2))</f>
        <v>5500</v>
      </c>
      <c r="I95">
        <f t="shared" si="17"/>
        <v>0</v>
      </c>
      <c r="J95">
        <f t="shared" si="18"/>
        <v>0</v>
      </c>
      <c r="K95">
        <f t="shared" si="19"/>
        <v>-10975.785992958061</v>
      </c>
      <c r="L95">
        <f t="shared" si="20"/>
        <v>1118.7140070419391</v>
      </c>
      <c r="M95">
        <f t="shared" si="21"/>
        <v>0</v>
      </c>
      <c r="N95">
        <f t="shared" si="23"/>
        <v>1118.7140070419391</v>
      </c>
      <c r="O95" s="5">
        <f t="shared" si="14"/>
        <v>0.12118279599575321</v>
      </c>
      <c r="P95">
        <f t="shared" si="22"/>
        <v>10000</v>
      </c>
      <c r="Q95">
        <f t="shared" si="15"/>
        <v>1211.8279599575321</v>
      </c>
    </row>
    <row r="96" spans="1:17" x14ac:dyDescent="0.15">
      <c r="A96" s="10">
        <v>45868.604166666977</v>
      </c>
      <c r="B96">
        <f>COUNT(A96:$A$1158)/(48*252)</f>
        <v>8.7880291005291003E-2</v>
      </c>
      <c r="C96">
        <v>2.206</v>
      </c>
      <c r="D96">
        <v>0.1</v>
      </c>
      <c r="E96">
        <f t="shared" si="12"/>
        <v>0.10852729947488934</v>
      </c>
      <c r="F96">
        <f t="shared" si="13"/>
        <v>0.54321128672404306</v>
      </c>
      <c r="G96">
        <f t="shared" si="16"/>
        <v>7.0000000000001172E-3</v>
      </c>
      <c r="H96">
        <f>IF(MOD(COUNTA($C$7:C96)-1,$J$2),H95,ROUND(F96*P96,-2))</f>
        <v>5500</v>
      </c>
      <c r="I96">
        <f t="shared" si="17"/>
        <v>0</v>
      </c>
      <c r="J96">
        <f t="shared" si="18"/>
        <v>0</v>
      </c>
      <c r="K96">
        <f t="shared" si="19"/>
        <v>-10975.785992958061</v>
      </c>
      <c r="L96">
        <f t="shared" si="20"/>
        <v>1157.2140070419391</v>
      </c>
      <c r="M96">
        <f t="shared" si="21"/>
        <v>38.5</v>
      </c>
      <c r="N96">
        <f t="shared" si="23"/>
        <v>1157.2140070419391</v>
      </c>
      <c r="O96" s="5">
        <f t="shared" si="14"/>
        <v>0.11789885465737537</v>
      </c>
      <c r="P96">
        <f t="shared" si="22"/>
        <v>10000</v>
      </c>
      <c r="Q96">
        <f t="shared" si="15"/>
        <v>1178.9885465737536</v>
      </c>
    </row>
    <row r="97" spans="1:17" x14ac:dyDescent="0.15">
      <c r="A97" s="10">
        <v>45868.607638888992</v>
      </c>
      <c r="B97">
        <f>COUNT(A97:$A$1158)/(48*252)</f>
        <v>8.7797619047619041E-2</v>
      </c>
      <c r="C97">
        <v>2.2069999999999999</v>
      </c>
      <c r="D97">
        <v>9.9000000000000005E-2</v>
      </c>
      <c r="E97">
        <f t="shared" si="12"/>
        <v>0.11170883649388821</v>
      </c>
      <c r="F97">
        <f t="shared" si="13"/>
        <v>0.5444728636601448</v>
      </c>
      <c r="G97">
        <f t="shared" si="16"/>
        <v>9.9999999999988987E-4</v>
      </c>
      <c r="H97">
        <f>IF(MOD(COUNTA($C$7:C97)-1,$J$2),H96,ROUND(F97*P97,-2))</f>
        <v>5400</v>
      </c>
      <c r="I97">
        <f t="shared" si="17"/>
        <v>-100</v>
      </c>
      <c r="J97">
        <f t="shared" si="18"/>
        <v>0</v>
      </c>
      <c r="K97">
        <f t="shared" si="19"/>
        <v>-10755.095924458061</v>
      </c>
      <c r="L97">
        <f t="shared" si="20"/>
        <v>1162.7040755419384</v>
      </c>
      <c r="M97">
        <f t="shared" si="21"/>
        <v>5.4900684999993246</v>
      </c>
      <c r="N97">
        <f t="shared" si="23"/>
        <v>1162.7040755419384</v>
      </c>
      <c r="O97" s="5">
        <f t="shared" si="14"/>
        <v>0.11738741947807374</v>
      </c>
      <c r="P97">
        <f t="shared" si="22"/>
        <v>10000</v>
      </c>
      <c r="Q97">
        <f t="shared" si="15"/>
        <v>1173.8741947807373</v>
      </c>
    </row>
    <row r="98" spans="1:17" x14ac:dyDescent="0.15">
      <c r="A98" s="10">
        <v>45868.611111111008</v>
      </c>
      <c r="B98">
        <f>COUNT(A98:$A$1158)/(48*252)</f>
        <v>8.7714947089947093E-2</v>
      </c>
      <c r="C98">
        <v>2.2170000000000001</v>
      </c>
      <c r="D98">
        <v>0.10199999999999999</v>
      </c>
      <c r="E98">
        <f t="shared" si="12"/>
        <v>0.14375693636896783</v>
      </c>
      <c r="F98">
        <f t="shared" si="13"/>
        <v>0.55715379531803655</v>
      </c>
      <c r="G98">
        <f t="shared" si="16"/>
        <v>1.0000000000000231E-2</v>
      </c>
      <c r="H98">
        <f>IF(MOD(COUNTA($C$7:C98)-1,$J$2),H97,ROUND(F98*P98,-2))</f>
        <v>5400</v>
      </c>
      <c r="I98">
        <f t="shared" si="17"/>
        <v>0</v>
      </c>
      <c r="J98">
        <f t="shared" si="18"/>
        <v>0</v>
      </c>
      <c r="K98">
        <f t="shared" si="19"/>
        <v>-10755.095924458061</v>
      </c>
      <c r="L98">
        <f t="shared" si="20"/>
        <v>1216.7040755419403</v>
      </c>
      <c r="M98">
        <f t="shared" si="21"/>
        <v>54.000000000001819</v>
      </c>
      <c r="N98">
        <f t="shared" si="23"/>
        <v>1216.7040755419403</v>
      </c>
      <c r="O98" s="5">
        <f t="shared" si="14"/>
        <v>0.11284027054857471</v>
      </c>
      <c r="P98">
        <f t="shared" si="22"/>
        <v>10000</v>
      </c>
      <c r="Q98">
        <f t="shared" si="15"/>
        <v>1128.402705485747</v>
      </c>
    </row>
    <row r="99" spans="1:17" x14ac:dyDescent="0.15">
      <c r="A99" s="10">
        <v>45868.614583333023</v>
      </c>
      <c r="B99">
        <f>COUNT(A99:$A$1158)/(48*252)</f>
        <v>8.7632275132275131E-2</v>
      </c>
      <c r="C99">
        <v>2.214</v>
      </c>
      <c r="D99">
        <v>0.10199999999999999</v>
      </c>
      <c r="E99">
        <f t="shared" si="12"/>
        <v>0.13412752330893102</v>
      </c>
      <c r="F99">
        <f t="shared" si="13"/>
        <v>0.55334913208471148</v>
      </c>
      <c r="G99">
        <f t="shared" si="16"/>
        <v>-3.0000000000001137E-3</v>
      </c>
      <c r="H99">
        <f>IF(MOD(COUNTA($C$7:C99)-1,$J$2),H98,ROUND(F99*P99,-2))</f>
        <v>5400</v>
      </c>
      <c r="I99">
        <f t="shared" si="17"/>
        <v>0</v>
      </c>
      <c r="J99">
        <f t="shared" si="18"/>
        <v>0</v>
      </c>
      <c r="K99">
        <f t="shared" si="19"/>
        <v>-10755.095924458061</v>
      </c>
      <c r="L99">
        <f t="shared" si="20"/>
        <v>1200.5040755419395</v>
      </c>
      <c r="M99">
        <f t="shared" si="21"/>
        <v>-16.200000000000728</v>
      </c>
      <c r="N99">
        <f t="shared" si="23"/>
        <v>1200.5040755419395</v>
      </c>
      <c r="O99" s="5">
        <f t="shared" si="14"/>
        <v>0.11411909014474275</v>
      </c>
      <c r="P99">
        <f t="shared" si="22"/>
        <v>10000</v>
      </c>
      <c r="Q99">
        <f t="shared" si="15"/>
        <v>1141.1909014474274</v>
      </c>
    </row>
    <row r="100" spans="1:17" x14ac:dyDescent="0.15">
      <c r="A100" s="10">
        <v>45868.618055555969</v>
      </c>
      <c r="B100">
        <f>COUNT(A100:$A$1158)/(48*252)</f>
        <v>8.7549603174603169E-2</v>
      </c>
      <c r="C100">
        <v>2.2120000000000002</v>
      </c>
      <c r="D100">
        <v>9.9000000000000005E-2</v>
      </c>
      <c r="E100">
        <f t="shared" si="12"/>
        <v>0.12768770683775266</v>
      </c>
      <c r="F100">
        <f t="shared" si="13"/>
        <v>0.55080194051242448</v>
      </c>
      <c r="G100">
        <f t="shared" si="16"/>
        <v>-1.9999999999997797E-3</v>
      </c>
      <c r="H100">
        <f>IF(MOD(COUNTA($C$7:C100)-1,$J$2),H99,ROUND(F100*P100,-2))</f>
        <v>5400</v>
      </c>
      <c r="I100">
        <f t="shared" si="17"/>
        <v>0</v>
      </c>
      <c r="J100">
        <f t="shared" si="18"/>
        <v>0</v>
      </c>
      <c r="K100">
        <f t="shared" si="19"/>
        <v>-10755.095924458061</v>
      </c>
      <c r="L100">
        <f t="shared" si="20"/>
        <v>1189.7040755419403</v>
      </c>
      <c r="M100">
        <f t="shared" si="21"/>
        <v>-10.799999999999272</v>
      </c>
      <c r="N100">
        <f t="shared" si="23"/>
        <v>1189.7040755419403</v>
      </c>
      <c r="O100" s="5">
        <f t="shared" si="14"/>
        <v>0.11495950772802155</v>
      </c>
      <c r="P100">
        <f t="shared" si="22"/>
        <v>10000</v>
      </c>
      <c r="Q100">
        <f t="shared" si="15"/>
        <v>1149.5950772802155</v>
      </c>
    </row>
    <row r="101" spans="1:17" x14ac:dyDescent="0.15">
      <c r="A101" s="10">
        <v>45868.621527777985</v>
      </c>
      <c r="B101">
        <f>COUNT(A101:$A$1158)/(48*252)</f>
        <v>8.7466931216931221E-2</v>
      </c>
      <c r="C101">
        <v>2.2130000000000001</v>
      </c>
      <c r="D101">
        <v>9.9000000000000005E-2</v>
      </c>
      <c r="E101">
        <f t="shared" si="12"/>
        <v>0.13087566837079817</v>
      </c>
      <c r="F101">
        <f t="shared" si="13"/>
        <v>0.55206316853537718</v>
      </c>
      <c r="G101">
        <f t="shared" si="16"/>
        <v>9.9999999999988987E-4</v>
      </c>
      <c r="H101">
        <f>IF(MOD(COUNTA($C$7:C101)-1,$J$2),H100,ROUND(F101*P101,-2))</f>
        <v>5400</v>
      </c>
      <c r="I101">
        <f t="shared" si="17"/>
        <v>0</v>
      </c>
      <c r="J101">
        <f t="shared" si="18"/>
        <v>0</v>
      </c>
      <c r="K101">
        <f t="shared" si="19"/>
        <v>-10755.095924458061</v>
      </c>
      <c r="L101">
        <f t="shared" si="20"/>
        <v>1195.1040755419399</v>
      </c>
      <c r="M101">
        <f t="shared" si="21"/>
        <v>5.3999999999996362</v>
      </c>
      <c r="N101">
        <f t="shared" si="23"/>
        <v>1195.1040755419399</v>
      </c>
      <c r="O101" s="5">
        <f t="shared" si="14"/>
        <v>0.11445548674487271</v>
      </c>
      <c r="P101">
        <f t="shared" si="22"/>
        <v>10000</v>
      </c>
      <c r="Q101">
        <f t="shared" si="15"/>
        <v>1144.5548674487272</v>
      </c>
    </row>
    <row r="102" spans="1:17" x14ac:dyDescent="0.15">
      <c r="A102" s="10">
        <v>45868.625</v>
      </c>
      <c r="B102">
        <f>COUNT(A102:$A$1158)/(48*252)</f>
        <v>8.7384259259259259E-2</v>
      </c>
      <c r="C102">
        <v>2.2120000000000002</v>
      </c>
      <c r="D102">
        <v>9.8000000000000004E-2</v>
      </c>
      <c r="E102">
        <f t="shared" si="12"/>
        <v>0.1276401129749124</v>
      </c>
      <c r="F102">
        <f t="shared" si="13"/>
        <v>0.55078310740694914</v>
      </c>
      <c r="G102">
        <f t="shared" si="16"/>
        <v>-9.9999999999988987E-4</v>
      </c>
      <c r="H102">
        <f>IF(MOD(COUNTA($C$7:C102)-1,$J$2),H101,ROUND(F102*P102,-2))</f>
        <v>5400</v>
      </c>
      <c r="I102">
        <f t="shared" si="17"/>
        <v>0</v>
      </c>
      <c r="J102">
        <f t="shared" si="18"/>
        <v>0</v>
      </c>
      <c r="K102">
        <f t="shared" si="19"/>
        <v>-10755.095924458061</v>
      </c>
      <c r="L102">
        <f t="shared" si="20"/>
        <v>1189.7040755419403</v>
      </c>
      <c r="M102">
        <f t="shared" si="21"/>
        <v>-5.3999999999996362</v>
      </c>
      <c r="N102">
        <f t="shared" si="23"/>
        <v>1189.7040755419403</v>
      </c>
      <c r="O102" s="5">
        <f t="shared" si="14"/>
        <v>0.114848582113526</v>
      </c>
      <c r="P102">
        <f t="shared" si="22"/>
        <v>10000</v>
      </c>
      <c r="Q102">
        <f t="shared" si="15"/>
        <v>1148.48582113526</v>
      </c>
    </row>
    <row r="103" spans="1:17" x14ac:dyDescent="0.15">
      <c r="A103" s="10">
        <v>45869.399305555969</v>
      </c>
      <c r="B103">
        <f>COUNT(A103:$A$1158)/(48*252)</f>
        <v>8.7301587301587297E-2</v>
      </c>
      <c r="C103">
        <v>2.2160000000000002</v>
      </c>
      <c r="D103">
        <v>0.10100000000000001</v>
      </c>
      <c r="E103">
        <f t="shared" si="12"/>
        <v>0.14046682209112013</v>
      </c>
      <c r="F103">
        <f t="shared" si="13"/>
        <v>0.55585441765274046</v>
      </c>
      <c r="G103">
        <f t="shared" si="16"/>
        <v>4.0000000000000036E-3</v>
      </c>
      <c r="H103">
        <f>IF(MOD(COUNTA($C$7:C103)-1,$J$2),H102,ROUND(F103*P103,-2))</f>
        <v>5600</v>
      </c>
      <c r="I103">
        <f t="shared" si="17"/>
        <v>200</v>
      </c>
      <c r="J103">
        <f t="shared" si="18"/>
        <v>0</v>
      </c>
      <c r="K103">
        <f t="shared" si="19"/>
        <v>-11198.315868458061</v>
      </c>
      <c r="L103">
        <f t="shared" si="20"/>
        <v>1211.2841315419391</v>
      </c>
      <c r="M103">
        <f t="shared" si="21"/>
        <v>21.580055999998876</v>
      </c>
      <c r="N103">
        <f t="shared" si="23"/>
        <v>1211.2841315419391</v>
      </c>
      <c r="O103" s="5">
        <f t="shared" si="14"/>
        <v>0.11300633980823371</v>
      </c>
      <c r="P103">
        <f t="shared" si="22"/>
        <v>10000</v>
      </c>
      <c r="Q103">
        <f t="shared" si="15"/>
        <v>1130.0633980823372</v>
      </c>
    </row>
    <row r="104" spans="1:17" x14ac:dyDescent="0.15">
      <c r="A104" s="10">
        <v>45869.402777777985</v>
      </c>
      <c r="B104">
        <f>COUNT(A104:$A$1158)/(48*252)</f>
        <v>8.7218915343915349E-2</v>
      </c>
      <c r="C104">
        <v>2.222</v>
      </c>
      <c r="D104">
        <v>0.10199999999999999</v>
      </c>
      <c r="E104">
        <f t="shared" si="12"/>
        <v>0.15969056039087401</v>
      </c>
      <c r="F104">
        <f t="shared" si="13"/>
        <v>0.56343758140435518</v>
      </c>
      <c r="G104">
        <f t="shared" si="16"/>
        <v>5.9999999999997833E-3</v>
      </c>
      <c r="H104">
        <f>IF(MOD(COUNTA($C$7:C104)-1,$J$2),H103,ROUND(F104*P104,-2))</f>
        <v>5600</v>
      </c>
      <c r="I104">
        <f t="shared" si="17"/>
        <v>0</v>
      </c>
      <c r="J104">
        <f t="shared" si="18"/>
        <v>0</v>
      </c>
      <c r="K104">
        <f t="shared" si="19"/>
        <v>-11198.315868458061</v>
      </c>
      <c r="L104">
        <f t="shared" si="20"/>
        <v>1244.8841315419395</v>
      </c>
      <c r="M104">
        <f t="shared" si="21"/>
        <v>33.600000000000364</v>
      </c>
      <c r="N104">
        <f t="shared" si="23"/>
        <v>1244.8841315419395</v>
      </c>
      <c r="O104" s="5">
        <f t="shared" si="14"/>
        <v>0.11030865090395814</v>
      </c>
      <c r="P104">
        <f t="shared" si="22"/>
        <v>10000</v>
      </c>
      <c r="Q104">
        <f t="shared" si="15"/>
        <v>1103.0865090395814</v>
      </c>
    </row>
    <row r="105" spans="1:17" x14ac:dyDescent="0.15">
      <c r="A105" s="10">
        <v>45869.40625</v>
      </c>
      <c r="B105">
        <f>COUNT(A105:$A$1158)/(48*252)</f>
        <v>8.7136243386243387E-2</v>
      </c>
      <c r="C105">
        <v>2.218</v>
      </c>
      <c r="D105">
        <v>0.10199999999999999</v>
      </c>
      <c r="E105">
        <f t="shared" si="12"/>
        <v>0.14685408858218951</v>
      </c>
      <c r="F105">
        <f t="shared" si="13"/>
        <v>0.55837640453567827</v>
      </c>
      <c r="G105">
        <f t="shared" si="16"/>
        <v>-4.0000000000000036E-3</v>
      </c>
      <c r="H105">
        <f>IF(MOD(COUNTA($C$7:C105)-1,$J$2),H104,ROUND(F105*P105,-2))</f>
        <v>5600</v>
      </c>
      <c r="I105">
        <f t="shared" si="17"/>
        <v>0</v>
      </c>
      <c r="J105">
        <f t="shared" si="18"/>
        <v>0</v>
      </c>
      <c r="K105">
        <f t="shared" si="19"/>
        <v>-11198.315868458061</v>
      </c>
      <c r="L105">
        <f t="shared" si="20"/>
        <v>1222.484131541938</v>
      </c>
      <c r="M105">
        <f t="shared" si="21"/>
        <v>-22.400000000001455</v>
      </c>
      <c r="N105">
        <f t="shared" si="23"/>
        <v>1222.484131541938</v>
      </c>
      <c r="O105" s="5">
        <f t="shared" si="14"/>
        <v>0.11200939924650288</v>
      </c>
      <c r="P105">
        <f t="shared" si="22"/>
        <v>10000</v>
      </c>
      <c r="Q105">
        <f t="shared" si="15"/>
        <v>1120.0939924650288</v>
      </c>
    </row>
    <row r="106" spans="1:17" x14ac:dyDescent="0.15">
      <c r="A106" s="10">
        <v>45869.409722222015</v>
      </c>
      <c r="B106">
        <f>COUNT(A106:$A$1158)/(48*252)</f>
        <v>8.7053571428571425E-2</v>
      </c>
      <c r="C106">
        <v>2.218</v>
      </c>
      <c r="D106">
        <v>0.10100000000000001</v>
      </c>
      <c r="E106">
        <f t="shared" si="12"/>
        <v>0.14683947422331178</v>
      </c>
      <c r="F106">
        <f t="shared" si="13"/>
        <v>0.55837063677442011</v>
      </c>
      <c r="G106">
        <f t="shared" si="16"/>
        <v>0</v>
      </c>
      <c r="H106">
        <f>IF(MOD(COUNTA($C$7:C106)-1,$J$2),H105,ROUND(F106*P106,-2))</f>
        <v>5600</v>
      </c>
      <c r="I106">
        <f t="shared" si="17"/>
        <v>0</v>
      </c>
      <c r="J106">
        <f t="shared" si="18"/>
        <v>0</v>
      </c>
      <c r="K106">
        <f t="shared" si="19"/>
        <v>-11198.315868458061</v>
      </c>
      <c r="L106">
        <f t="shared" si="20"/>
        <v>1222.484131541938</v>
      </c>
      <c r="M106">
        <f t="shared" si="21"/>
        <v>0</v>
      </c>
      <c r="N106">
        <f t="shared" si="23"/>
        <v>1222.484131541938</v>
      </c>
      <c r="O106" s="5">
        <f t="shared" si="14"/>
        <v>0.11195376555889136</v>
      </c>
      <c r="P106">
        <f t="shared" si="22"/>
        <v>10000</v>
      </c>
      <c r="Q106">
        <f t="shared" si="15"/>
        <v>1119.5376555889136</v>
      </c>
    </row>
    <row r="107" spans="1:17" x14ac:dyDescent="0.15">
      <c r="A107" s="10">
        <v>45869.413194444962</v>
      </c>
      <c r="B107">
        <f>COUNT(A107:$A$1158)/(48*252)</f>
        <v>8.6970899470899476E-2</v>
      </c>
      <c r="C107">
        <v>2.2170000000000001</v>
      </c>
      <c r="D107">
        <v>0.1</v>
      </c>
      <c r="E107">
        <f t="shared" si="12"/>
        <v>0.14361123410921028</v>
      </c>
      <c r="F107">
        <f t="shared" si="13"/>
        <v>0.55709626545728086</v>
      </c>
      <c r="G107">
        <f t="shared" si="16"/>
        <v>-9.9999999999988987E-4</v>
      </c>
      <c r="H107">
        <f>IF(MOD(COUNTA($C$7:C107)-1,$J$2),H106,ROUND(F107*P107,-2))</f>
        <v>5600</v>
      </c>
      <c r="I107">
        <f t="shared" si="17"/>
        <v>0</v>
      </c>
      <c r="J107">
        <f t="shared" si="18"/>
        <v>0</v>
      </c>
      <c r="K107">
        <f t="shared" si="19"/>
        <v>-11198.315868458061</v>
      </c>
      <c r="L107">
        <f t="shared" si="20"/>
        <v>1216.8841315419395</v>
      </c>
      <c r="M107">
        <f t="shared" si="21"/>
        <v>-5.5999999999985448</v>
      </c>
      <c r="N107">
        <f t="shared" si="23"/>
        <v>1216.8841315419395</v>
      </c>
      <c r="O107" s="5">
        <f t="shared" si="14"/>
        <v>0.11234037326299351</v>
      </c>
      <c r="P107">
        <f t="shared" si="22"/>
        <v>10000</v>
      </c>
      <c r="Q107">
        <f t="shared" si="15"/>
        <v>1123.4037326299351</v>
      </c>
    </row>
    <row r="108" spans="1:17" x14ac:dyDescent="0.15">
      <c r="A108" s="10">
        <v>45869.416666666977</v>
      </c>
      <c r="B108">
        <f>COUNT(A108:$A$1158)/(48*252)</f>
        <v>8.6888227513227514E-2</v>
      </c>
      <c r="C108">
        <v>2.2280000000000002</v>
      </c>
      <c r="D108">
        <v>0.10199999999999999</v>
      </c>
      <c r="E108">
        <f t="shared" si="12"/>
        <v>0.17888254392911779</v>
      </c>
      <c r="F108">
        <f t="shared" si="13"/>
        <v>0.57098503518626864</v>
      </c>
      <c r="G108">
        <f t="shared" si="16"/>
        <v>1.1000000000000121E-2</v>
      </c>
      <c r="H108">
        <f>IF(MOD(COUNTA($C$7:C108)-1,$J$2),H107,ROUND(F108*P108,-2))</f>
        <v>5600</v>
      </c>
      <c r="I108">
        <f t="shared" si="17"/>
        <v>0</v>
      </c>
      <c r="J108">
        <f t="shared" si="18"/>
        <v>0</v>
      </c>
      <c r="K108">
        <f t="shared" si="19"/>
        <v>-11198.315868458061</v>
      </c>
      <c r="L108">
        <f t="shared" si="20"/>
        <v>1278.4841315419399</v>
      </c>
      <c r="M108">
        <f t="shared" si="21"/>
        <v>61.600000000000364</v>
      </c>
      <c r="N108">
        <f t="shared" si="23"/>
        <v>1278.4841315419399</v>
      </c>
      <c r="O108" s="5">
        <f t="shared" si="14"/>
        <v>0.10748923740158978</v>
      </c>
      <c r="P108">
        <f t="shared" si="22"/>
        <v>10000</v>
      </c>
      <c r="Q108">
        <f t="shared" si="15"/>
        <v>1074.8923740158978</v>
      </c>
    </row>
    <row r="109" spans="1:17" x14ac:dyDescent="0.15">
      <c r="A109" s="10">
        <v>45869.420138888992</v>
      </c>
      <c r="B109">
        <f>COUNT(A109:$A$1158)/(48*252)</f>
        <v>8.6805555555555552E-2</v>
      </c>
      <c r="C109">
        <v>2.2309999999999999</v>
      </c>
      <c r="D109">
        <v>0.10199999999999999</v>
      </c>
      <c r="E109">
        <f t="shared" si="12"/>
        <v>0.18848142957672229</v>
      </c>
      <c r="F109">
        <f t="shared" si="13"/>
        <v>0.57475036416074299</v>
      </c>
      <c r="G109">
        <f t="shared" si="16"/>
        <v>2.9999999999996696E-3</v>
      </c>
      <c r="H109">
        <f>IF(MOD(COUNTA($C$7:C109)-1,$J$2),H108,ROUND(F109*P109,-2))</f>
        <v>5700</v>
      </c>
      <c r="I109">
        <f t="shared" si="17"/>
        <v>100</v>
      </c>
      <c r="J109">
        <f t="shared" si="18"/>
        <v>0</v>
      </c>
      <c r="K109">
        <f t="shared" si="19"/>
        <v>-11421.425907958062</v>
      </c>
      <c r="L109">
        <f t="shared" si="20"/>
        <v>1295.2740920419365</v>
      </c>
      <c r="M109">
        <f t="shared" si="21"/>
        <v>16.789960499996596</v>
      </c>
      <c r="N109">
        <f t="shared" si="23"/>
        <v>1295.2740920419365</v>
      </c>
      <c r="O109" s="5">
        <f t="shared" si="14"/>
        <v>0.10615209896541966</v>
      </c>
      <c r="P109">
        <f t="shared" si="22"/>
        <v>10000</v>
      </c>
      <c r="Q109">
        <f t="shared" si="15"/>
        <v>1061.5209896541967</v>
      </c>
    </row>
    <row r="110" spans="1:17" x14ac:dyDescent="0.15">
      <c r="A110" s="10">
        <v>45869.423611111008</v>
      </c>
      <c r="B110">
        <f>COUNT(A110:$A$1158)/(48*252)</f>
        <v>8.6722883597883604E-2</v>
      </c>
      <c r="C110">
        <v>2.2469999999999999</v>
      </c>
      <c r="D110">
        <v>0.105</v>
      </c>
      <c r="E110">
        <f t="shared" si="12"/>
        <v>0.23948431540159548</v>
      </c>
      <c r="F110">
        <f t="shared" si="13"/>
        <v>0.59463497141814559</v>
      </c>
      <c r="G110">
        <f t="shared" si="16"/>
        <v>1.6000000000000014E-2</v>
      </c>
      <c r="H110">
        <f>IF(MOD(COUNTA($C$7:C110)-1,$J$2),H109,ROUND(F110*P110,-2))</f>
        <v>5700</v>
      </c>
      <c r="I110">
        <f t="shared" si="17"/>
        <v>0</v>
      </c>
      <c r="J110">
        <f t="shared" si="18"/>
        <v>0</v>
      </c>
      <c r="K110">
        <f t="shared" si="19"/>
        <v>-11421.425907958062</v>
      </c>
      <c r="L110">
        <f t="shared" si="20"/>
        <v>1386.4740920419372</v>
      </c>
      <c r="M110">
        <f t="shared" si="21"/>
        <v>91.200000000000728</v>
      </c>
      <c r="N110">
        <f t="shared" si="23"/>
        <v>1386.4740920419372</v>
      </c>
      <c r="O110" s="5">
        <f t="shared" si="14"/>
        <v>9.9451907832499353E-2</v>
      </c>
      <c r="P110">
        <f t="shared" si="22"/>
        <v>10000</v>
      </c>
      <c r="Q110">
        <f t="shared" si="15"/>
        <v>994.51907832499353</v>
      </c>
    </row>
    <row r="111" spans="1:17" x14ac:dyDescent="0.15">
      <c r="A111" s="10">
        <v>45869.427083333023</v>
      </c>
      <c r="B111">
        <f>COUNT(A111:$A$1158)/(48*252)</f>
        <v>8.6640211640211642E-2</v>
      </c>
      <c r="C111">
        <v>2.2450000000000001</v>
      </c>
      <c r="D111">
        <v>0.105</v>
      </c>
      <c r="E111">
        <f t="shared" si="12"/>
        <v>0.23315618430649332</v>
      </c>
      <c r="F111">
        <f t="shared" si="13"/>
        <v>0.59217993595084906</v>
      </c>
      <c r="G111">
        <f t="shared" si="16"/>
        <v>-1.9999999999997797E-3</v>
      </c>
      <c r="H111">
        <f>IF(MOD(COUNTA($C$7:C111)-1,$J$2),H110,ROUND(F111*P111,-2))</f>
        <v>5700</v>
      </c>
      <c r="I111">
        <f t="shared" si="17"/>
        <v>0</v>
      </c>
      <c r="J111">
        <f t="shared" si="18"/>
        <v>0</v>
      </c>
      <c r="K111">
        <f t="shared" si="19"/>
        <v>-11421.425907958062</v>
      </c>
      <c r="L111">
        <f t="shared" si="20"/>
        <v>1375.0740920419375</v>
      </c>
      <c r="M111">
        <f t="shared" si="21"/>
        <v>-11.399999999999636</v>
      </c>
      <c r="N111">
        <f t="shared" si="23"/>
        <v>1375.0740920419375</v>
      </c>
      <c r="O111" s="5">
        <f t="shared" si="14"/>
        <v>0.10020939261061723</v>
      </c>
      <c r="P111">
        <f t="shared" si="22"/>
        <v>10000</v>
      </c>
      <c r="Q111">
        <f t="shared" si="15"/>
        <v>1002.0939261061723</v>
      </c>
    </row>
    <row r="112" spans="1:17" x14ac:dyDescent="0.15">
      <c r="A112" s="10">
        <v>45869.430555555969</v>
      </c>
      <c r="B112">
        <f>COUNT(A112:$A$1158)/(48*252)</f>
        <v>8.655753968253968E-2</v>
      </c>
      <c r="C112">
        <v>2.2389999999999999</v>
      </c>
      <c r="D112">
        <v>0.10100000000000001</v>
      </c>
      <c r="E112">
        <f t="shared" si="12"/>
        <v>0.21406627510936055</v>
      </c>
      <c r="F112">
        <f t="shared" si="13"/>
        <v>0.58475231262699201</v>
      </c>
      <c r="G112">
        <f t="shared" si="16"/>
        <v>-6.0000000000002274E-3</v>
      </c>
      <c r="H112">
        <f>IF(MOD(COUNTA($C$7:C112)-1,$J$2),H111,ROUND(F112*P112,-2))</f>
        <v>5700</v>
      </c>
      <c r="I112">
        <f t="shared" si="17"/>
        <v>0</v>
      </c>
      <c r="J112">
        <f t="shared" si="18"/>
        <v>0</v>
      </c>
      <c r="K112">
        <f t="shared" si="19"/>
        <v>-11421.425907958062</v>
      </c>
      <c r="L112">
        <f t="shared" si="20"/>
        <v>1340.8740920419368</v>
      </c>
      <c r="M112">
        <f t="shared" si="21"/>
        <v>-34.200000000000728</v>
      </c>
      <c r="N112">
        <f t="shared" si="23"/>
        <v>1340.8740920419368</v>
      </c>
      <c r="O112" s="5">
        <f t="shared" si="14"/>
        <v>0.10262280155291159</v>
      </c>
      <c r="P112">
        <f t="shared" si="22"/>
        <v>10000</v>
      </c>
      <c r="Q112">
        <f t="shared" si="15"/>
        <v>1026.228015529116</v>
      </c>
    </row>
    <row r="113" spans="1:17" x14ac:dyDescent="0.15">
      <c r="A113" s="10">
        <v>45869.434027777985</v>
      </c>
      <c r="B113">
        <f>COUNT(A113:$A$1158)/(48*252)</f>
        <v>8.6474867724867718E-2</v>
      </c>
      <c r="C113">
        <v>2.238</v>
      </c>
      <c r="D113">
        <v>0.10100000000000001</v>
      </c>
      <c r="E113">
        <f t="shared" si="12"/>
        <v>0.2108913516869943</v>
      </c>
      <c r="F113">
        <f t="shared" si="13"/>
        <v>0.58351397363905333</v>
      </c>
      <c r="G113">
        <f t="shared" si="16"/>
        <v>-9.9999999999988987E-4</v>
      </c>
      <c r="H113">
        <f>IF(MOD(COUNTA($C$7:C113)-1,$J$2),H112,ROUND(F113*P113,-2))</f>
        <v>5700</v>
      </c>
      <c r="I113">
        <f t="shared" si="17"/>
        <v>0</v>
      </c>
      <c r="J113">
        <f t="shared" si="18"/>
        <v>0</v>
      </c>
      <c r="K113">
        <f t="shared" si="19"/>
        <v>-11421.425907958062</v>
      </c>
      <c r="L113">
        <f t="shared" si="20"/>
        <v>1335.1740920419379</v>
      </c>
      <c r="M113">
        <f t="shared" si="21"/>
        <v>-5.6999999999989086</v>
      </c>
      <c r="N113">
        <f t="shared" si="23"/>
        <v>1335.1740920419379</v>
      </c>
      <c r="O113" s="5">
        <f t="shared" si="14"/>
        <v>0.10298284791766443</v>
      </c>
      <c r="P113">
        <f t="shared" si="22"/>
        <v>10000</v>
      </c>
      <c r="Q113">
        <f t="shared" si="15"/>
        <v>1029.8284791766444</v>
      </c>
    </row>
    <row r="114" spans="1:17" x14ac:dyDescent="0.15">
      <c r="A114" s="10">
        <v>45869.4375</v>
      </c>
      <c r="B114">
        <f>COUNT(A114:$A$1158)/(48*252)</f>
        <v>8.639219576719577E-2</v>
      </c>
      <c r="C114">
        <v>2.242</v>
      </c>
      <c r="D114">
        <v>0.10199999999999999</v>
      </c>
      <c r="E114">
        <f t="shared" si="12"/>
        <v>0.2236755947443754</v>
      </c>
      <c r="F114">
        <f t="shared" si="13"/>
        <v>0.58849513129996223</v>
      </c>
      <c r="G114">
        <f t="shared" si="16"/>
        <v>4.0000000000000036E-3</v>
      </c>
      <c r="H114">
        <f>IF(MOD(COUNTA($C$7:C114)-1,$J$2),H113,ROUND(F114*P114,-2))</f>
        <v>5700</v>
      </c>
      <c r="I114">
        <f t="shared" si="17"/>
        <v>0</v>
      </c>
      <c r="J114">
        <f t="shared" si="18"/>
        <v>0</v>
      </c>
      <c r="K114">
        <f t="shared" si="19"/>
        <v>-11421.425907958062</v>
      </c>
      <c r="L114">
        <f t="shared" si="20"/>
        <v>1357.9740920419372</v>
      </c>
      <c r="M114">
        <f t="shared" si="21"/>
        <v>22.799999999999272</v>
      </c>
      <c r="N114">
        <f t="shared" si="23"/>
        <v>1357.9740920419372</v>
      </c>
      <c r="O114" s="5">
        <f t="shared" si="14"/>
        <v>0.1012710349326057</v>
      </c>
      <c r="P114">
        <f t="shared" si="22"/>
        <v>10000</v>
      </c>
      <c r="Q114">
        <f t="shared" si="15"/>
        <v>1012.710349326057</v>
      </c>
    </row>
    <row r="115" spans="1:17" x14ac:dyDescent="0.15">
      <c r="A115" s="10">
        <v>45869.440972222015</v>
      </c>
      <c r="B115">
        <f>COUNT(A115:$A$1158)/(48*252)</f>
        <v>8.6309523809523808E-2</v>
      </c>
      <c r="C115">
        <v>2.2429999999999999</v>
      </c>
      <c r="D115">
        <v>0.104</v>
      </c>
      <c r="E115">
        <f t="shared" si="12"/>
        <v>0.22688797234320465</v>
      </c>
      <c r="F115">
        <f t="shared" si="13"/>
        <v>0.5897445725677406</v>
      </c>
      <c r="G115">
        <f t="shared" si="16"/>
        <v>9.9999999999988987E-4</v>
      </c>
      <c r="H115">
        <f>IF(MOD(COUNTA($C$7:C115)-1,$J$2),H114,ROUND(F115*P115,-2))</f>
        <v>5900</v>
      </c>
      <c r="I115">
        <f t="shared" si="17"/>
        <v>200</v>
      </c>
      <c r="J115">
        <f t="shared" si="18"/>
        <v>0</v>
      </c>
      <c r="K115">
        <f t="shared" si="19"/>
        <v>-11870.046094958063</v>
      </c>
      <c r="L115">
        <f t="shared" si="20"/>
        <v>1363.653905041936</v>
      </c>
      <c r="M115">
        <f t="shared" si="21"/>
        <v>5.6798129999988305</v>
      </c>
      <c r="N115">
        <f t="shared" si="23"/>
        <v>1363.653905041936</v>
      </c>
      <c r="O115" s="5">
        <f t="shared" si="14"/>
        <v>0.10080431006814905</v>
      </c>
      <c r="P115">
        <f t="shared" si="22"/>
        <v>10000</v>
      </c>
      <c r="Q115">
        <f t="shared" si="15"/>
        <v>1008.0431006814905</v>
      </c>
    </row>
    <row r="116" spans="1:17" x14ac:dyDescent="0.15">
      <c r="A116" s="10">
        <v>45869.444444444962</v>
      </c>
      <c r="B116">
        <f>COUNT(A116:$A$1158)/(48*252)</f>
        <v>8.6226851851851846E-2</v>
      </c>
      <c r="C116">
        <v>2.2450000000000001</v>
      </c>
      <c r="D116">
        <v>0.106</v>
      </c>
      <c r="E116">
        <f t="shared" si="12"/>
        <v>0.23329071365860704</v>
      </c>
      <c r="F116">
        <f t="shared" si="13"/>
        <v>0.5922321654411713</v>
      </c>
      <c r="G116">
        <f t="shared" si="16"/>
        <v>2.0000000000002238E-3</v>
      </c>
      <c r="H116">
        <f>IF(MOD(COUNTA($C$7:C116)-1,$J$2),H115,ROUND(F116*P116,-2))</f>
        <v>5900</v>
      </c>
      <c r="I116">
        <f t="shared" si="17"/>
        <v>0</v>
      </c>
      <c r="J116">
        <f t="shared" si="18"/>
        <v>0</v>
      </c>
      <c r="K116">
        <f t="shared" si="19"/>
        <v>-11870.046094958063</v>
      </c>
      <c r="L116">
        <f t="shared" si="20"/>
        <v>1375.4539050419371</v>
      </c>
      <c r="M116">
        <f t="shared" si="21"/>
        <v>11.800000000001091</v>
      </c>
      <c r="N116">
        <f t="shared" si="23"/>
        <v>1375.4539050419371</v>
      </c>
      <c r="O116" s="5">
        <f t="shared" si="14"/>
        <v>9.9930429095553275E-2</v>
      </c>
      <c r="P116">
        <f t="shared" si="22"/>
        <v>10000</v>
      </c>
      <c r="Q116">
        <f t="shared" si="15"/>
        <v>999.30429095553279</v>
      </c>
    </row>
    <row r="117" spans="1:17" x14ac:dyDescent="0.15">
      <c r="A117" s="10">
        <v>45869.447916666977</v>
      </c>
      <c r="B117">
        <f>COUNT(A117:$A$1158)/(48*252)</f>
        <v>8.6144179894179898E-2</v>
      </c>
      <c r="C117">
        <v>2.2519999999999998</v>
      </c>
      <c r="D117">
        <v>0.108</v>
      </c>
      <c r="E117">
        <f t="shared" si="12"/>
        <v>0.25560944661485191</v>
      </c>
      <c r="F117">
        <f t="shared" si="13"/>
        <v>0.60087378833247995</v>
      </c>
      <c r="G117">
        <f t="shared" si="16"/>
        <v>6.9999999999996732E-3</v>
      </c>
      <c r="H117">
        <f>IF(MOD(COUNTA($C$7:C117)-1,$J$2),H116,ROUND(F117*P117,-2))</f>
        <v>5900</v>
      </c>
      <c r="I117">
        <f t="shared" si="17"/>
        <v>0</v>
      </c>
      <c r="J117">
        <f t="shared" si="18"/>
        <v>0</v>
      </c>
      <c r="K117">
        <f t="shared" si="19"/>
        <v>-11870.046094958063</v>
      </c>
      <c r="L117">
        <f t="shared" si="20"/>
        <v>1416.7539050419364</v>
      </c>
      <c r="M117">
        <f t="shared" si="21"/>
        <v>41.299999999999272</v>
      </c>
      <c r="N117">
        <f t="shared" si="23"/>
        <v>1416.7539050419364</v>
      </c>
      <c r="O117" s="5">
        <f t="shared" si="14"/>
        <v>9.7050503936384036E-2</v>
      </c>
      <c r="P117">
        <f t="shared" si="22"/>
        <v>10000</v>
      </c>
      <c r="Q117">
        <f t="shared" si="15"/>
        <v>970.50503936384041</v>
      </c>
    </row>
    <row r="118" spans="1:17" x14ac:dyDescent="0.15">
      <c r="A118" s="10">
        <v>45869.451388888992</v>
      </c>
      <c r="B118">
        <f>COUNT(A118:$A$1158)/(48*252)</f>
        <v>8.6061507936507936E-2</v>
      </c>
      <c r="C118">
        <v>2.2450000000000001</v>
      </c>
      <c r="D118">
        <v>0.104</v>
      </c>
      <c r="E118">
        <f t="shared" si="12"/>
        <v>0.23334508113160643</v>
      </c>
      <c r="F118">
        <f t="shared" si="13"/>
        <v>0.59225327252896109</v>
      </c>
      <c r="G118">
        <f t="shared" si="16"/>
        <v>-6.9999999999996732E-3</v>
      </c>
      <c r="H118">
        <f>IF(MOD(COUNTA($C$7:C118)-1,$J$2),H117,ROUND(F118*P118,-2))</f>
        <v>5900</v>
      </c>
      <c r="I118">
        <f t="shared" si="17"/>
        <v>0</v>
      </c>
      <c r="J118">
        <f t="shared" si="18"/>
        <v>0</v>
      </c>
      <c r="K118">
        <f t="shared" si="19"/>
        <v>-11870.046094958063</v>
      </c>
      <c r="L118">
        <f t="shared" si="20"/>
        <v>1375.4539050419371</v>
      </c>
      <c r="M118">
        <f t="shared" si="21"/>
        <v>-41.299999999999272</v>
      </c>
      <c r="N118">
        <f t="shared" si="23"/>
        <v>1375.4539050419371</v>
      </c>
      <c r="O118" s="5">
        <f t="shared" si="14"/>
        <v>9.9818649258430092E-2</v>
      </c>
      <c r="P118">
        <f t="shared" si="22"/>
        <v>10000</v>
      </c>
      <c r="Q118">
        <f t="shared" si="15"/>
        <v>998.18649258430094</v>
      </c>
    </row>
    <row r="119" spans="1:17" x14ac:dyDescent="0.15">
      <c r="A119" s="10">
        <v>45869.454861111008</v>
      </c>
      <c r="B119">
        <f>COUNT(A119:$A$1158)/(48*252)</f>
        <v>8.5978835978835974E-2</v>
      </c>
      <c r="C119">
        <v>2.2370000000000001</v>
      </c>
      <c r="D119">
        <v>0.10199999999999999</v>
      </c>
      <c r="E119">
        <f t="shared" si="12"/>
        <v>0.20778644861696469</v>
      </c>
      <c r="F119">
        <f t="shared" si="13"/>
        <v>0.5823021429375379</v>
      </c>
      <c r="G119">
        <f t="shared" si="16"/>
        <v>-8.0000000000000071E-3</v>
      </c>
      <c r="H119">
        <f>IF(MOD(COUNTA($C$7:C119)-1,$J$2),H118,ROUND(F119*P119,-2))</f>
        <v>5900</v>
      </c>
      <c r="I119">
        <f t="shared" si="17"/>
        <v>0</v>
      </c>
      <c r="J119">
        <f t="shared" si="18"/>
        <v>0</v>
      </c>
      <c r="K119">
        <f t="shared" si="19"/>
        <v>-11870.046094958063</v>
      </c>
      <c r="L119">
        <f t="shared" si="20"/>
        <v>1328.2539050419382</v>
      </c>
      <c r="M119">
        <f t="shared" si="21"/>
        <v>-47.199999999998909</v>
      </c>
      <c r="N119">
        <f t="shared" si="23"/>
        <v>1328.2539050419382</v>
      </c>
      <c r="O119" s="5">
        <f t="shared" si="14"/>
        <v>0.10306439227001996</v>
      </c>
      <c r="P119">
        <f t="shared" si="22"/>
        <v>10000</v>
      </c>
      <c r="Q119">
        <f t="shared" si="15"/>
        <v>1030.6439227001995</v>
      </c>
    </row>
    <row r="120" spans="1:17" x14ac:dyDescent="0.15">
      <c r="A120" s="10">
        <v>45869.458333333023</v>
      </c>
      <c r="B120">
        <f>COUNT(A120:$A$1158)/(48*252)</f>
        <v>8.5896164021164026E-2</v>
      </c>
      <c r="C120">
        <v>2.2389999999999999</v>
      </c>
      <c r="D120">
        <v>0.10199999999999999</v>
      </c>
      <c r="E120">
        <f t="shared" si="12"/>
        <v>0.21420965632323266</v>
      </c>
      <c r="F120">
        <f t="shared" si="13"/>
        <v>0.58480821690161289</v>
      </c>
      <c r="G120">
        <f t="shared" si="16"/>
        <v>1.9999999999997797E-3</v>
      </c>
      <c r="H120">
        <f>IF(MOD(COUNTA($C$7:C120)-1,$J$2),H119,ROUND(F120*P120,-2))</f>
        <v>5900</v>
      </c>
      <c r="I120">
        <f t="shared" si="17"/>
        <v>0</v>
      </c>
      <c r="J120">
        <f t="shared" si="18"/>
        <v>0</v>
      </c>
      <c r="K120">
        <f t="shared" si="19"/>
        <v>-11870.046094958063</v>
      </c>
      <c r="L120">
        <f t="shared" si="20"/>
        <v>1340.0539050419356</v>
      </c>
      <c r="M120">
        <f t="shared" si="21"/>
        <v>11.799999999997453</v>
      </c>
      <c r="N120">
        <f t="shared" si="23"/>
        <v>1340.0539050419356</v>
      </c>
      <c r="O120" s="5">
        <f t="shared" si="14"/>
        <v>0.10217548366418561</v>
      </c>
      <c r="P120">
        <f t="shared" si="22"/>
        <v>10000</v>
      </c>
      <c r="Q120">
        <f t="shared" si="15"/>
        <v>1021.7548366418561</v>
      </c>
    </row>
    <row r="121" spans="1:17" x14ac:dyDescent="0.15">
      <c r="A121" s="10">
        <v>45869.461805555969</v>
      </c>
      <c r="B121">
        <f>COUNT(A121:$A$1158)/(48*252)</f>
        <v>8.5813492063492064E-2</v>
      </c>
      <c r="C121">
        <v>2.238</v>
      </c>
      <c r="D121">
        <v>0.10100000000000001</v>
      </c>
      <c r="E121">
        <f t="shared" si="12"/>
        <v>0.21102298545441178</v>
      </c>
      <c r="F121">
        <f t="shared" si="13"/>
        <v>0.58356533229962948</v>
      </c>
      <c r="G121">
        <f t="shared" si="16"/>
        <v>-9.9999999999988987E-4</v>
      </c>
      <c r="H121">
        <f>IF(MOD(COUNTA($C$7:C121)-1,$J$2),H120,ROUND(F121*P121,-2))</f>
        <v>5800</v>
      </c>
      <c r="I121">
        <f t="shared" si="17"/>
        <v>-100</v>
      </c>
      <c r="J121">
        <f t="shared" si="18"/>
        <v>0</v>
      </c>
      <c r="K121">
        <f t="shared" si="19"/>
        <v>-11646.256165958064</v>
      </c>
      <c r="L121">
        <f t="shared" si="20"/>
        <v>1334.1438340419354</v>
      </c>
      <c r="M121">
        <f t="shared" si="21"/>
        <v>-5.9100710000002437</v>
      </c>
      <c r="N121">
        <f t="shared" si="23"/>
        <v>1334.1438340419354</v>
      </c>
      <c r="O121" s="5">
        <f t="shared" si="14"/>
        <v>0.10253525225417948</v>
      </c>
      <c r="P121">
        <f t="shared" si="22"/>
        <v>10000</v>
      </c>
      <c r="Q121">
        <f t="shared" si="15"/>
        <v>1025.3525225417948</v>
      </c>
    </row>
    <row r="122" spans="1:17" x14ac:dyDescent="0.15">
      <c r="A122" s="10">
        <v>45869.465277777985</v>
      </c>
      <c r="B122">
        <f>COUNT(A122:$A$1158)/(48*252)</f>
        <v>8.5730820105820102E-2</v>
      </c>
      <c r="C122">
        <v>2.2389999999999999</v>
      </c>
      <c r="D122">
        <v>0.10199999999999999</v>
      </c>
      <c r="E122">
        <f t="shared" si="12"/>
        <v>0.21424616917131756</v>
      </c>
      <c r="F122">
        <f t="shared" si="13"/>
        <v>0.58482245297138036</v>
      </c>
      <c r="G122">
        <f t="shared" si="16"/>
        <v>9.9999999999988987E-4</v>
      </c>
      <c r="H122">
        <f>IF(MOD(COUNTA($C$7:C122)-1,$J$2),H121,ROUND(F122*P122,-2))</f>
        <v>5800</v>
      </c>
      <c r="I122">
        <f t="shared" si="17"/>
        <v>0</v>
      </c>
      <c r="J122">
        <f t="shared" si="18"/>
        <v>0</v>
      </c>
      <c r="K122">
        <f t="shared" si="19"/>
        <v>-11646.256165958064</v>
      </c>
      <c r="L122">
        <f t="shared" si="20"/>
        <v>1339.9438340419347</v>
      </c>
      <c r="M122">
        <f t="shared" si="21"/>
        <v>5.7999999999992724</v>
      </c>
      <c r="N122">
        <f t="shared" si="23"/>
        <v>1339.9438340419347</v>
      </c>
      <c r="O122" s="5">
        <f t="shared" si="14"/>
        <v>0.10206337354997463</v>
      </c>
      <c r="P122">
        <f t="shared" si="22"/>
        <v>10000</v>
      </c>
      <c r="Q122">
        <f t="shared" si="15"/>
        <v>1020.6337354997463</v>
      </c>
    </row>
    <row r="123" spans="1:17" x14ac:dyDescent="0.15">
      <c r="A123" s="10">
        <v>45869.46875</v>
      </c>
      <c r="B123">
        <f>COUNT(A123:$A$1158)/(48*252)</f>
        <v>8.5648148148148154E-2</v>
      </c>
      <c r="C123">
        <v>2.2410000000000001</v>
      </c>
      <c r="D123">
        <v>0.10299999999999999</v>
      </c>
      <c r="E123">
        <f t="shared" si="12"/>
        <v>0.22067620199110169</v>
      </c>
      <c r="F123">
        <f t="shared" si="13"/>
        <v>0.58732771864018873</v>
      </c>
      <c r="G123">
        <f t="shared" si="16"/>
        <v>2.0000000000002238E-3</v>
      </c>
      <c r="H123">
        <f>IF(MOD(COUNTA($C$7:C123)-1,$J$2),H122,ROUND(F123*P123,-2))</f>
        <v>5800</v>
      </c>
      <c r="I123">
        <f t="shared" si="17"/>
        <v>0</v>
      </c>
      <c r="J123">
        <f t="shared" si="18"/>
        <v>0</v>
      </c>
      <c r="K123">
        <f t="shared" si="19"/>
        <v>-11646.256165958064</v>
      </c>
      <c r="L123">
        <f t="shared" si="20"/>
        <v>1351.5438340419369</v>
      </c>
      <c r="M123">
        <f t="shared" si="21"/>
        <v>11.600000000002183</v>
      </c>
      <c r="N123">
        <f t="shared" si="23"/>
        <v>1351.5438340419369</v>
      </c>
      <c r="O123" s="5">
        <f t="shared" si="14"/>
        <v>0.10117943445915834</v>
      </c>
      <c r="P123">
        <f t="shared" si="22"/>
        <v>10000</v>
      </c>
      <c r="Q123">
        <f t="shared" si="15"/>
        <v>1011.7943445915834</v>
      </c>
    </row>
    <row r="124" spans="1:17" x14ac:dyDescent="0.15">
      <c r="A124" s="10">
        <v>45869.472222222015</v>
      </c>
      <c r="B124">
        <f>COUNT(A124:$A$1158)/(48*252)</f>
        <v>8.5565476190476192E-2</v>
      </c>
      <c r="C124">
        <v>2.2410000000000001</v>
      </c>
      <c r="D124">
        <v>0.10100000000000001</v>
      </c>
      <c r="E124">
        <f t="shared" si="12"/>
        <v>0.22069772388079506</v>
      </c>
      <c r="F124">
        <f t="shared" si="13"/>
        <v>0.58733609807645948</v>
      </c>
      <c r="G124">
        <f t="shared" si="16"/>
        <v>0</v>
      </c>
      <c r="H124">
        <f>IF(MOD(COUNTA($C$7:C124)-1,$J$2),H123,ROUND(F124*P124,-2))</f>
        <v>5800</v>
      </c>
      <c r="I124">
        <f t="shared" si="17"/>
        <v>0</v>
      </c>
      <c r="J124">
        <f t="shared" si="18"/>
        <v>0</v>
      </c>
      <c r="K124">
        <f t="shared" si="19"/>
        <v>-11646.256165958064</v>
      </c>
      <c r="L124">
        <f t="shared" si="20"/>
        <v>1351.5438340419369</v>
      </c>
      <c r="M124">
        <f t="shared" si="21"/>
        <v>0</v>
      </c>
      <c r="N124">
        <f t="shared" si="23"/>
        <v>1351.5438340419369</v>
      </c>
      <c r="O124" s="5">
        <f t="shared" si="14"/>
        <v>0.10112332438761151</v>
      </c>
      <c r="P124">
        <f t="shared" si="22"/>
        <v>10000</v>
      </c>
      <c r="Q124">
        <f t="shared" si="15"/>
        <v>1011.2332438761151</v>
      </c>
    </row>
    <row r="125" spans="1:17" x14ac:dyDescent="0.15">
      <c r="A125" s="10">
        <v>45869.475694444962</v>
      </c>
      <c r="B125">
        <f>COUNT(A125:$A$1158)/(48*252)</f>
        <v>8.548280423280423E-2</v>
      </c>
      <c r="C125">
        <v>2.238</v>
      </c>
      <c r="D125">
        <v>0.10199999999999999</v>
      </c>
      <c r="E125">
        <f t="shared" si="12"/>
        <v>0.211090358302154</v>
      </c>
      <c r="F125">
        <f t="shared" si="13"/>
        <v>0.58359161815803884</v>
      </c>
      <c r="G125">
        <f t="shared" si="16"/>
        <v>-3.0000000000001137E-3</v>
      </c>
      <c r="H125">
        <f>IF(MOD(COUNTA($C$7:C125)-1,$J$2),H124,ROUND(F125*P125,-2))</f>
        <v>5800</v>
      </c>
      <c r="I125">
        <f t="shared" si="17"/>
        <v>0</v>
      </c>
      <c r="J125">
        <f t="shared" si="18"/>
        <v>0</v>
      </c>
      <c r="K125">
        <f t="shared" si="19"/>
        <v>-11646.256165958064</v>
      </c>
      <c r="L125">
        <f t="shared" si="20"/>
        <v>1334.1438340419354</v>
      </c>
      <c r="M125">
        <f t="shared" si="21"/>
        <v>-17.400000000001455</v>
      </c>
      <c r="N125">
        <f t="shared" si="23"/>
        <v>1334.1438340419354</v>
      </c>
      <c r="O125" s="5">
        <f t="shared" si="14"/>
        <v>0.10231077867400684</v>
      </c>
      <c r="P125">
        <f t="shared" si="22"/>
        <v>10000</v>
      </c>
      <c r="Q125">
        <f t="shared" si="15"/>
        <v>1023.1077867400684</v>
      </c>
    </row>
    <row r="126" spans="1:17" x14ac:dyDescent="0.15">
      <c r="A126" s="10">
        <v>45869.479166666977</v>
      </c>
      <c r="B126">
        <f>COUNT(A126:$A$1158)/(48*252)</f>
        <v>8.5400132275132282E-2</v>
      </c>
      <c r="C126">
        <v>2.242</v>
      </c>
      <c r="D126">
        <v>0.10100000000000001</v>
      </c>
      <c r="E126">
        <f t="shared" si="12"/>
        <v>0.22394932565471851</v>
      </c>
      <c r="F126">
        <f t="shared" si="13"/>
        <v>0.58860163300555235</v>
      </c>
      <c r="G126">
        <f t="shared" si="16"/>
        <v>4.0000000000000036E-3</v>
      </c>
      <c r="H126">
        <f>IF(MOD(COUNTA($C$7:C126)-1,$J$2),H125,ROUND(F126*P126,-2))</f>
        <v>5800</v>
      </c>
      <c r="I126">
        <f t="shared" si="17"/>
        <v>0</v>
      </c>
      <c r="J126">
        <f t="shared" si="18"/>
        <v>0</v>
      </c>
      <c r="K126">
        <f t="shared" si="19"/>
        <v>-11646.256165958064</v>
      </c>
      <c r="L126">
        <f t="shared" si="20"/>
        <v>1357.3438340419361</v>
      </c>
      <c r="M126">
        <f t="shared" si="21"/>
        <v>23.200000000000728</v>
      </c>
      <c r="N126">
        <f t="shared" si="23"/>
        <v>1357.3438340419361</v>
      </c>
      <c r="O126" s="5">
        <f t="shared" si="14"/>
        <v>0.10059899686514162</v>
      </c>
      <c r="P126">
        <f t="shared" si="22"/>
        <v>10000</v>
      </c>
      <c r="Q126">
        <f t="shared" si="15"/>
        <v>1005.9899686514162</v>
      </c>
    </row>
    <row r="127" spans="1:17" x14ac:dyDescent="0.15">
      <c r="A127" s="10">
        <v>45869.545138888992</v>
      </c>
      <c r="B127">
        <f>COUNT(A127:$A$1158)/(48*252)</f>
        <v>8.531746031746032E-2</v>
      </c>
      <c r="C127">
        <v>2.2400000000000002</v>
      </c>
      <c r="D127">
        <v>0.10100000000000001</v>
      </c>
      <c r="E127">
        <f t="shared" si="12"/>
        <v>0.21755139682417979</v>
      </c>
      <c r="F127">
        <f t="shared" si="13"/>
        <v>0.58611067145425233</v>
      </c>
      <c r="G127">
        <f t="shared" si="16"/>
        <v>-1.9999999999997797E-3</v>
      </c>
      <c r="H127">
        <f>IF(MOD(COUNTA($C$7:C127)-1,$J$2),H126,ROUND(F127*P127,-2))</f>
        <v>5900</v>
      </c>
      <c r="I127">
        <f t="shared" si="17"/>
        <v>100</v>
      </c>
      <c r="J127">
        <f t="shared" si="18"/>
        <v>0</v>
      </c>
      <c r="K127">
        <f t="shared" si="19"/>
        <v>-11870.266245958064</v>
      </c>
      <c r="L127">
        <f t="shared" si="20"/>
        <v>1345.7337540419376</v>
      </c>
      <c r="M127">
        <f t="shared" si="21"/>
        <v>-11.610079999998561</v>
      </c>
      <c r="N127">
        <f t="shared" si="23"/>
        <v>1345.7337540419376</v>
      </c>
      <c r="O127" s="5">
        <f t="shared" si="14"/>
        <v>0.1013680883598671</v>
      </c>
      <c r="P127">
        <f t="shared" si="22"/>
        <v>10000</v>
      </c>
      <c r="Q127">
        <f t="shared" si="15"/>
        <v>1013.680883598671</v>
      </c>
    </row>
    <row r="128" spans="1:17" x14ac:dyDescent="0.15">
      <c r="A128" s="10">
        <v>45869.548611111008</v>
      </c>
      <c r="B128">
        <f>COUNT(A128:$A$1158)/(48*252)</f>
        <v>8.5234788359788358E-2</v>
      </c>
      <c r="C128">
        <v>2.2400000000000002</v>
      </c>
      <c r="D128">
        <v>0.1</v>
      </c>
      <c r="E128">
        <f t="shared" si="12"/>
        <v>0.21757165221871969</v>
      </c>
      <c r="F128">
        <f t="shared" si="13"/>
        <v>0.58611856319007405</v>
      </c>
      <c r="G128">
        <f t="shared" si="16"/>
        <v>0</v>
      </c>
      <c r="H128">
        <f>IF(MOD(COUNTA($C$7:C128)-1,$J$2),H127,ROUND(F128*P128,-2))</f>
        <v>5900</v>
      </c>
      <c r="I128">
        <f t="shared" si="17"/>
        <v>0</v>
      </c>
      <c r="J128">
        <f t="shared" si="18"/>
        <v>0</v>
      </c>
      <c r="K128">
        <f t="shared" si="19"/>
        <v>-11870.266245958064</v>
      </c>
      <c r="L128">
        <f t="shared" si="20"/>
        <v>1345.7337540419376</v>
      </c>
      <c r="M128">
        <f t="shared" si="21"/>
        <v>0</v>
      </c>
      <c r="N128">
        <f t="shared" si="23"/>
        <v>1345.7337540419376</v>
      </c>
      <c r="O128" s="5">
        <f t="shared" si="14"/>
        <v>0.10131185685892463</v>
      </c>
      <c r="P128">
        <f t="shared" si="22"/>
        <v>10000</v>
      </c>
      <c r="Q128">
        <f t="shared" si="15"/>
        <v>1013.1185685892464</v>
      </c>
    </row>
    <row r="129" spans="1:17" x14ac:dyDescent="0.15">
      <c r="A129" s="10">
        <v>45869.552083333023</v>
      </c>
      <c r="B129">
        <f>COUNT(A129:$A$1158)/(48*252)</f>
        <v>8.5152116402116396E-2</v>
      </c>
      <c r="C129">
        <v>2.2400000000000002</v>
      </c>
      <c r="D129">
        <v>0.10199999999999999</v>
      </c>
      <c r="E129">
        <f t="shared" si="12"/>
        <v>0.21759197846513118</v>
      </c>
      <c r="F129">
        <f t="shared" si="13"/>
        <v>0.58612648249564225</v>
      </c>
      <c r="G129">
        <f t="shared" si="16"/>
        <v>0</v>
      </c>
      <c r="H129">
        <f>IF(MOD(COUNTA($C$7:C129)-1,$J$2),H128,ROUND(F129*P129,-2))</f>
        <v>5900</v>
      </c>
      <c r="I129">
        <f t="shared" si="17"/>
        <v>0</v>
      </c>
      <c r="J129">
        <f t="shared" si="18"/>
        <v>0</v>
      </c>
      <c r="K129">
        <f t="shared" si="19"/>
        <v>-11870.266245958064</v>
      </c>
      <c r="L129">
        <f t="shared" si="20"/>
        <v>1345.7337540419376</v>
      </c>
      <c r="M129">
        <f t="shared" si="21"/>
        <v>0</v>
      </c>
      <c r="N129">
        <f t="shared" si="23"/>
        <v>1345.7337540419376</v>
      </c>
      <c r="O129" s="5">
        <f t="shared" si="14"/>
        <v>0.10125559691990338</v>
      </c>
      <c r="P129">
        <f t="shared" si="22"/>
        <v>10000</v>
      </c>
      <c r="Q129">
        <f t="shared" si="15"/>
        <v>1012.5559691990338</v>
      </c>
    </row>
    <row r="130" spans="1:17" x14ac:dyDescent="0.15">
      <c r="A130" s="10">
        <v>45869.555555555969</v>
      </c>
      <c r="B130">
        <f>COUNT(A130:$A$1158)/(48*252)</f>
        <v>8.5069444444444448E-2</v>
      </c>
      <c r="C130">
        <v>2.2440000000000002</v>
      </c>
      <c r="D130">
        <v>0.10199999999999999</v>
      </c>
      <c r="E130">
        <f t="shared" si="12"/>
        <v>0.23046779371430295</v>
      </c>
      <c r="F130">
        <f t="shared" si="13"/>
        <v>0.59113585658822654</v>
      </c>
      <c r="G130">
        <f t="shared" si="16"/>
        <v>4.0000000000000036E-3</v>
      </c>
      <c r="H130">
        <f>IF(MOD(COUNTA($C$7:C130)-1,$J$2),H129,ROUND(F130*P130,-2))</f>
        <v>5900</v>
      </c>
      <c r="I130">
        <f t="shared" si="17"/>
        <v>0</v>
      </c>
      <c r="J130">
        <f t="shared" si="18"/>
        <v>0</v>
      </c>
      <c r="K130">
        <f t="shared" si="19"/>
        <v>-11870.266245958064</v>
      </c>
      <c r="L130">
        <f t="shared" si="20"/>
        <v>1369.3337540419379</v>
      </c>
      <c r="M130">
        <f t="shared" si="21"/>
        <v>23.600000000000364</v>
      </c>
      <c r="N130">
        <f t="shared" si="23"/>
        <v>1369.3337540419379</v>
      </c>
      <c r="O130" s="5">
        <f t="shared" si="14"/>
        <v>9.955385685024476E-2</v>
      </c>
      <c r="P130">
        <f t="shared" si="22"/>
        <v>10000</v>
      </c>
      <c r="Q130">
        <f t="shared" si="15"/>
        <v>995.53856850244756</v>
      </c>
    </row>
    <row r="131" spans="1:17" x14ac:dyDescent="0.15">
      <c r="A131" s="10">
        <v>45869.559027777985</v>
      </c>
      <c r="B131">
        <f>COUNT(A131:$A$1158)/(48*252)</f>
        <v>8.4986772486772486E-2</v>
      </c>
      <c r="C131">
        <v>2.2440000000000002</v>
      </c>
      <c r="D131">
        <v>0.10199999999999999</v>
      </c>
      <c r="E131">
        <f t="shared" si="12"/>
        <v>0.23049451335705759</v>
      </c>
      <c r="F131">
        <f t="shared" si="13"/>
        <v>0.59114623678323297</v>
      </c>
      <c r="G131">
        <f t="shared" si="16"/>
        <v>0</v>
      </c>
      <c r="H131">
        <f>IF(MOD(COUNTA($C$7:C131)-1,$J$2),H130,ROUND(F131*P131,-2))</f>
        <v>5900</v>
      </c>
      <c r="I131">
        <f t="shared" si="17"/>
        <v>0</v>
      </c>
      <c r="J131">
        <f t="shared" si="18"/>
        <v>0</v>
      </c>
      <c r="K131">
        <f t="shared" si="19"/>
        <v>-11870.266245958064</v>
      </c>
      <c r="L131">
        <f t="shared" si="20"/>
        <v>1369.3337540419379</v>
      </c>
      <c r="M131">
        <f t="shared" si="21"/>
        <v>0</v>
      </c>
      <c r="N131">
        <f t="shared" si="23"/>
        <v>1369.3337540419379</v>
      </c>
      <c r="O131" s="5">
        <f t="shared" si="14"/>
        <v>9.9497576629550721E-2</v>
      </c>
      <c r="P131">
        <f t="shared" si="22"/>
        <v>10000</v>
      </c>
      <c r="Q131">
        <f t="shared" si="15"/>
        <v>994.97576629550724</v>
      </c>
    </row>
    <row r="132" spans="1:17" x14ac:dyDescent="0.15">
      <c r="A132" s="10">
        <v>45869.5625</v>
      </c>
      <c r="B132">
        <f>COUNT(A132:$A$1158)/(48*252)</f>
        <v>8.4904100529100524E-2</v>
      </c>
      <c r="C132">
        <v>2.2440000000000002</v>
      </c>
      <c r="D132">
        <v>0.10100000000000001</v>
      </c>
      <c r="E132">
        <f t="shared" si="12"/>
        <v>0.23052131355824088</v>
      </c>
      <c r="F132">
        <f t="shared" si="13"/>
        <v>0.59115664820980662</v>
      </c>
      <c r="G132">
        <f t="shared" si="16"/>
        <v>0</v>
      </c>
      <c r="H132">
        <f>IF(MOD(COUNTA($C$7:C132)-1,$J$2),H131,ROUND(F132*P132,-2))</f>
        <v>5900</v>
      </c>
      <c r="I132">
        <f t="shared" si="17"/>
        <v>0</v>
      </c>
      <c r="J132">
        <f t="shared" si="18"/>
        <v>0</v>
      </c>
      <c r="K132">
        <f t="shared" si="19"/>
        <v>-11870.266245958064</v>
      </c>
      <c r="L132">
        <f t="shared" si="20"/>
        <v>1369.3337540419379</v>
      </c>
      <c r="M132">
        <f t="shared" si="21"/>
        <v>0</v>
      </c>
      <c r="N132">
        <f t="shared" si="23"/>
        <v>1369.3337540419379</v>
      </c>
      <c r="O132" s="5">
        <f t="shared" si="14"/>
        <v>9.9441267966823288E-2</v>
      </c>
      <c r="P132">
        <f t="shared" si="22"/>
        <v>10000</v>
      </c>
      <c r="Q132">
        <f t="shared" si="15"/>
        <v>994.41267966823284</v>
      </c>
    </row>
    <row r="133" spans="1:17" x14ac:dyDescent="0.15">
      <c r="A133" s="10">
        <v>45869.565972222015</v>
      </c>
      <c r="B133">
        <f>COUNT(A133:$A$1158)/(48*252)</f>
        <v>8.4821428571428575E-2</v>
      </c>
      <c r="C133">
        <v>2.2480000000000002</v>
      </c>
      <c r="D133">
        <v>0.10299999999999999</v>
      </c>
      <c r="E133">
        <f t="shared" si="12"/>
        <v>0.24339946500734208</v>
      </c>
      <c r="F133">
        <f t="shared" si="13"/>
        <v>0.59615202089437558</v>
      </c>
      <c r="G133">
        <f t="shared" si="16"/>
        <v>4.0000000000000036E-3</v>
      </c>
      <c r="H133">
        <f>IF(MOD(COUNTA($C$7:C133)-1,$J$2),H132,ROUND(F133*P133,-2))</f>
        <v>6000</v>
      </c>
      <c r="I133">
        <f t="shared" si="17"/>
        <v>100</v>
      </c>
      <c r="J133">
        <f t="shared" si="18"/>
        <v>0</v>
      </c>
      <c r="K133">
        <f t="shared" si="19"/>
        <v>-12095.076361958063</v>
      </c>
      <c r="L133">
        <f t="shared" si="20"/>
        <v>1392.9236380419388</v>
      </c>
      <c r="M133">
        <f t="shared" si="21"/>
        <v>23.589884000000893</v>
      </c>
      <c r="N133">
        <f t="shared" si="23"/>
        <v>1392.9236380419388</v>
      </c>
      <c r="O133" s="5">
        <f t="shared" si="14"/>
        <v>9.7759577064870484E-2</v>
      </c>
      <c r="P133">
        <f t="shared" si="22"/>
        <v>10000</v>
      </c>
      <c r="Q133">
        <f t="shared" si="15"/>
        <v>977.59577064870484</v>
      </c>
    </row>
    <row r="134" spans="1:17" x14ac:dyDescent="0.15">
      <c r="A134" s="10">
        <v>45869.569444444962</v>
      </c>
      <c r="B134">
        <f>COUNT(A134:$A$1158)/(48*252)</f>
        <v>8.4738756613756613E-2</v>
      </c>
      <c r="C134">
        <v>2.2469999999999999</v>
      </c>
      <c r="D134">
        <v>0.10199999999999999</v>
      </c>
      <c r="E134">
        <f t="shared" si="12"/>
        <v>0.24022045599817371</v>
      </c>
      <c r="F134">
        <f t="shared" si="13"/>
        <v>0.5949203218443202</v>
      </c>
      <c r="G134">
        <f t="shared" si="16"/>
        <v>-1.000000000000334E-3</v>
      </c>
      <c r="H134">
        <f>IF(MOD(COUNTA($C$7:C134)-1,$J$2),H133,ROUND(F134*P134,-2))</f>
        <v>6000</v>
      </c>
      <c r="I134">
        <f t="shared" si="17"/>
        <v>0</v>
      </c>
      <c r="J134">
        <f t="shared" si="18"/>
        <v>0</v>
      </c>
      <c r="K134">
        <f t="shared" si="19"/>
        <v>-12095.076361958063</v>
      </c>
      <c r="L134">
        <f t="shared" si="20"/>
        <v>1386.923638041937</v>
      </c>
      <c r="M134">
        <f t="shared" si="21"/>
        <v>-6.000000000001819</v>
      </c>
      <c r="N134">
        <f t="shared" si="23"/>
        <v>1386.923638041937</v>
      </c>
      <c r="O134" s="5">
        <f t="shared" si="14"/>
        <v>9.8107715357923619E-2</v>
      </c>
      <c r="P134">
        <f t="shared" si="22"/>
        <v>10000</v>
      </c>
      <c r="Q134">
        <f t="shared" si="15"/>
        <v>981.07715357923621</v>
      </c>
    </row>
    <row r="135" spans="1:17" x14ac:dyDescent="0.15">
      <c r="A135" s="10">
        <v>45869.572916666977</v>
      </c>
      <c r="B135">
        <f>COUNT(A135:$A$1158)/(48*252)</f>
        <v>8.4656084656084651E-2</v>
      </c>
      <c r="C135">
        <v>2.2440000000000002</v>
      </c>
      <c r="D135">
        <v>0.10100000000000001</v>
      </c>
      <c r="E135">
        <f t="shared" si="12"/>
        <v>0.23060219968105403</v>
      </c>
      <c r="F135">
        <f t="shared" si="13"/>
        <v>0.5911880707155317</v>
      </c>
      <c r="G135">
        <f t="shared" si="16"/>
        <v>-2.9999999999996696E-3</v>
      </c>
      <c r="H135">
        <f>IF(MOD(COUNTA($C$7:C135)-1,$J$2),H134,ROUND(F135*P135,-2))</f>
        <v>6000</v>
      </c>
      <c r="I135">
        <f t="shared" si="17"/>
        <v>0</v>
      </c>
      <c r="J135">
        <f t="shared" si="18"/>
        <v>0</v>
      </c>
      <c r="K135">
        <f t="shared" si="19"/>
        <v>-12095.076361958063</v>
      </c>
      <c r="L135">
        <f t="shared" si="20"/>
        <v>1368.9236380419388</v>
      </c>
      <c r="M135">
        <f t="shared" si="21"/>
        <v>-17.999999999998181</v>
      </c>
      <c r="N135">
        <f t="shared" si="23"/>
        <v>1368.9236380419388</v>
      </c>
      <c r="O135" s="5">
        <f t="shared" si="14"/>
        <v>9.9272170920458591E-2</v>
      </c>
      <c r="P135">
        <f t="shared" si="22"/>
        <v>10000</v>
      </c>
      <c r="Q135">
        <f t="shared" si="15"/>
        <v>992.72170920458586</v>
      </c>
    </row>
    <row r="136" spans="1:17" x14ac:dyDescent="0.15">
      <c r="A136" s="10">
        <v>45869.576388888992</v>
      </c>
      <c r="B136">
        <f>COUNT(A136:$A$1158)/(48*252)</f>
        <v>8.4573412698412703E-2</v>
      </c>
      <c r="C136">
        <v>2.2440000000000002</v>
      </c>
      <c r="D136">
        <v>0.1</v>
      </c>
      <c r="E136">
        <f t="shared" ref="E136:E199" si="24">(LN(C136/$B$2)+($B$1+0.5*$D$1*$D$1)*B136)/($D$1*SQRT(B136))</f>
        <v>0.23062932428850047</v>
      </c>
      <c r="F136">
        <f t="shared" ref="F136:F199" si="25">NORMSDIST(E136)</f>
        <v>0.59119860790645384</v>
      </c>
      <c r="G136">
        <f t="shared" si="16"/>
        <v>0</v>
      </c>
      <c r="H136">
        <f>IF(MOD(COUNTA($C$7:C136)-1,$J$2),H135,ROUND(F136*P136,-2))</f>
        <v>6000</v>
      </c>
      <c r="I136">
        <f t="shared" si="17"/>
        <v>0</v>
      </c>
      <c r="J136">
        <f t="shared" si="18"/>
        <v>0</v>
      </c>
      <c r="K136">
        <f t="shared" si="19"/>
        <v>-12095.076361958063</v>
      </c>
      <c r="L136">
        <f t="shared" si="20"/>
        <v>1368.9236380419388</v>
      </c>
      <c r="M136">
        <f t="shared" si="21"/>
        <v>0</v>
      </c>
      <c r="N136">
        <f t="shared" si="23"/>
        <v>1368.9236380419388</v>
      </c>
      <c r="O136" s="5">
        <f t="shared" ref="O136:O199" si="26">put_bs($B$1,$J$1,C136,$B$2,B136)</f>
        <v>9.9215748083130939E-2</v>
      </c>
      <c r="P136">
        <f t="shared" si="22"/>
        <v>10000</v>
      </c>
      <c r="Q136">
        <f t="shared" ref="Q136:Q199" si="27">P136*O136</f>
        <v>992.15748083130939</v>
      </c>
    </row>
    <row r="137" spans="1:17" x14ac:dyDescent="0.15">
      <c r="A137" s="10">
        <v>45869.579861111008</v>
      </c>
      <c r="B137">
        <f>COUNT(A137:$A$1158)/(48*252)</f>
        <v>8.4490740740740741E-2</v>
      </c>
      <c r="C137">
        <v>2.2440000000000002</v>
      </c>
      <c r="D137">
        <v>0.1</v>
      </c>
      <c r="E137">
        <f t="shared" si="24"/>
        <v>0.23065653054451893</v>
      </c>
      <c r="F137">
        <f t="shared" si="25"/>
        <v>0.59120917674946616</v>
      </c>
      <c r="G137">
        <f t="shared" ref="G137:G200" si="28">C137-C136</f>
        <v>0</v>
      </c>
      <c r="H137">
        <f>IF(MOD(COUNTA($C$7:C137)-1,$J$2),H136,ROUND(F137*P137,-2))</f>
        <v>6000</v>
      </c>
      <c r="I137">
        <f t="shared" ref="I137:I200" si="29">H137-H136</f>
        <v>0</v>
      </c>
      <c r="J137">
        <f t="shared" ref="J137:J200" si="30">J136</f>
        <v>0</v>
      </c>
      <c r="K137">
        <f t="shared" ref="K137:K200" si="31">K136-I137*C137-ABS(I137*C137*$F$2)</f>
        <v>-12095.076361958063</v>
      </c>
      <c r="L137">
        <f t="shared" ref="L137:L200" si="32">K137+H137*C137</f>
        <v>1368.9236380419388</v>
      </c>
      <c r="M137">
        <f t="shared" ref="M137:M200" si="33">L137-L136</f>
        <v>0</v>
      </c>
      <c r="N137">
        <f t="shared" si="23"/>
        <v>1368.9236380419388</v>
      </c>
      <c r="O137" s="5">
        <f t="shared" si="26"/>
        <v>9.9159296600049851E-2</v>
      </c>
      <c r="P137">
        <f t="shared" ref="P137:P200" si="34">P136</f>
        <v>10000</v>
      </c>
      <c r="Q137">
        <f t="shared" si="27"/>
        <v>991.59296600049856</v>
      </c>
    </row>
    <row r="138" spans="1:17" x14ac:dyDescent="0.15">
      <c r="A138" s="10">
        <v>45869.583333333023</v>
      </c>
      <c r="B138">
        <f>COUNT(A138:$A$1158)/(48*252)</f>
        <v>8.4408068783068779E-2</v>
      </c>
      <c r="C138">
        <v>2.2450000000000001</v>
      </c>
      <c r="D138">
        <v>0.10100000000000001</v>
      </c>
      <c r="E138">
        <f t="shared" si="24"/>
        <v>0.23390664509974818</v>
      </c>
      <c r="F138">
        <f t="shared" si="25"/>
        <v>0.59247127286925649</v>
      </c>
      <c r="G138">
        <f t="shared" si="28"/>
        <v>9.9999999999988987E-4</v>
      </c>
      <c r="H138">
        <f>IF(MOD(COUNTA($C$7:C138)-1,$J$2),H137,ROUND(F138*P138,-2))</f>
        <v>6000</v>
      </c>
      <c r="I138">
        <f t="shared" si="29"/>
        <v>0</v>
      </c>
      <c r="J138">
        <f t="shared" si="30"/>
        <v>0</v>
      </c>
      <c r="K138">
        <f t="shared" si="31"/>
        <v>-12095.076361958063</v>
      </c>
      <c r="L138">
        <f t="shared" si="32"/>
        <v>1374.923638041937</v>
      </c>
      <c r="M138">
        <f t="shared" si="33"/>
        <v>5.999999999998181</v>
      </c>
      <c r="N138">
        <f t="shared" ref="N138:N201" si="35">L138-$F$1</f>
        <v>1374.923638041937</v>
      </c>
      <c r="O138" s="5">
        <f t="shared" si="26"/>
        <v>9.8694662079821804E-2</v>
      </c>
      <c r="P138">
        <f t="shared" si="34"/>
        <v>10000</v>
      </c>
      <c r="Q138">
        <f t="shared" si="27"/>
        <v>986.94662079821808</v>
      </c>
    </row>
    <row r="139" spans="1:17" x14ac:dyDescent="0.15">
      <c r="A139" s="10">
        <v>45869.586805555969</v>
      </c>
      <c r="B139">
        <f>COUNT(A139:$A$1158)/(48*252)</f>
        <v>8.4325396825396831E-2</v>
      </c>
      <c r="C139">
        <v>2.2490000000000001</v>
      </c>
      <c r="D139">
        <v>0.104</v>
      </c>
      <c r="E139">
        <f t="shared" si="24"/>
        <v>0.24681887154844412</v>
      </c>
      <c r="F139">
        <f t="shared" si="25"/>
        <v>0.59747579756660085</v>
      </c>
      <c r="G139">
        <f t="shared" si="28"/>
        <v>4.0000000000000036E-3</v>
      </c>
      <c r="H139">
        <f>IF(MOD(COUNTA($C$7:C139)-1,$J$2),H138,ROUND(F139*P139,-2))</f>
        <v>6000</v>
      </c>
      <c r="I139">
        <f t="shared" si="29"/>
        <v>0</v>
      </c>
      <c r="J139">
        <f t="shared" si="30"/>
        <v>0</v>
      </c>
      <c r="K139">
        <f t="shared" si="31"/>
        <v>-12095.076361958063</v>
      </c>
      <c r="L139">
        <f t="shared" si="32"/>
        <v>1398.923638041937</v>
      </c>
      <c r="M139">
        <f t="shared" si="33"/>
        <v>24</v>
      </c>
      <c r="N139">
        <f t="shared" si="35"/>
        <v>1398.923638041937</v>
      </c>
      <c r="O139" s="5">
        <f t="shared" si="26"/>
        <v>9.7018088850450712E-2</v>
      </c>
      <c r="P139">
        <f t="shared" si="34"/>
        <v>10000</v>
      </c>
      <c r="Q139">
        <f t="shared" si="27"/>
        <v>970.18088850450715</v>
      </c>
    </row>
    <row r="140" spans="1:17" x14ac:dyDescent="0.15">
      <c r="A140" s="10">
        <v>45869.590277777985</v>
      </c>
      <c r="B140">
        <f>COUNT(A140:$A$1158)/(48*252)</f>
        <v>8.4242724867724869E-2</v>
      </c>
      <c r="C140">
        <v>2.2469999999999999</v>
      </c>
      <c r="D140">
        <v>0.105</v>
      </c>
      <c r="E140">
        <f t="shared" si="24"/>
        <v>0.24041229559690938</v>
      </c>
      <c r="F140">
        <f t="shared" si="25"/>
        <v>0.59499467641042925</v>
      </c>
      <c r="G140">
        <f t="shared" si="28"/>
        <v>-2.0000000000002238E-3</v>
      </c>
      <c r="H140">
        <f>IF(MOD(COUNTA($C$7:C140)-1,$J$2),H139,ROUND(F140*P140,-2))</f>
        <v>6000</v>
      </c>
      <c r="I140">
        <f t="shared" si="29"/>
        <v>0</v>
      </c>
      <c r="J140">
        <f t="shared" si="30"/>
        <v>0</v>
      </c>
      <c r="K140">
        <f t="shared" si="31"/>
        <v>-12095.076361958063</v>
      </c>
      <c r="L140">
        <f t="shared" si="32"/>
        <v>1386.923638041937</v>
      </c>
      <c r="M140">
        <f t="shared" si="33"/>
        <v>-12</v>
      </c>
      <c r="N140">
        <f t="shared" si="35"/>
        <v>1386.923638041937</v>
      </c>
      <c r="O140" s="5">
        <f t="shared" si="26"/>
        <v>9.7769126883313073E-2</v>
      </c>
      <c r="P140">
        <f t="shared" si="34"/>
        <v>10000</v>
      </c>
      <c r="Q140">
        <f t="shared" si="27"/>
        <v>977.69126883313072</v>
      </c>
    </row>
    <row r="141" spans="1:17" x14ac:dyDescent="0.15">
      <c r="A141" s="10">
        <v>45869.59375</v>
      </c>
      <c r="B141">
        <f>COUNT(A141:$A$1158)/(48*252)</f>
        <v>8.4160052910052907E-2</v>
      </c>
      <c r="C141">
        <v>2.246</v>
      </c>
      <c r="D141">
        <v>0.104</v>
      </c>
      <c r="E141">
        <f t="shared" si="24"/>
        <v>0.23721988251982376</v>
      </c>
      <c r="F141">
        <f t="shared" si="25"/>
        <v>0.59375689377023222</v>
      </c>
      <c r="G141">
        <f t="shared" si="28"/>
        <v>-9.9999999999988987E-4</v>
      </c>
      <c r="H141">
        <f>IF(MOD(COUNTA($C$7:C141)-1,$J$2),H140,ROUND(F141*P141,-2))</f>
        <v>6000</v>
      </c>
      <c r="I141">
        <f t="shared" si="29"/>
        <v>0</v>
      </c>
      <c r="J141">
        <f t="shared" si="30"/>
        <v>0</v>
      </c>
      <c r="K141">
        <f t="shared" si="31"/>
        <v>-12095.076361958063</v>
      </c>
      <c r="L141">
        <f t="shared" si="32"/>
        <v>1380.923638041937</v>
      </c>
      <c r="M141">
        <f t="shared" si="33"/>
        <v>-6</v>
      </c>
      <c r="N141">
        <f t="shared" si="35"/>
        <v>1380.923638041937</v>
      </c>
      <c r="O141" s="5">
        <f t="shared" si="26"/>
        <v>9.8118213054567915E-2</v>
      </c>
      <c r="P141">
        <f t="shared" si="34"/>
        <v>10000</v>
      </c>
      <c r="Q141">
        <f t="shared" si="27"/>
        <v>981.18213054567912</v>
      </c>
    </row>
    <row r="142" spans="1:17" x14ac:dyDescent="0.15">
      <c r="A142" s="10">
        <v>45869.597222222015</v>
      </c>
      <c r="B142">
        <f>COUNT(A142:$A$1158)/(48*252)</f>
        <v>8.4077380952380959E-2</v>
      </c>
      <c r="C142">
        <v>2.2440000000000002</v>
      </c>
      <c r="D142">
        <v>0.104</v>
      </c>
      <c r="E142">
        <f t="shared" si="24"/>
        <v>0.230793794293463</v>
      </c>
      <c r="F142">
        <f t="shared" si="25"/>
        <v>0.59126249873142256</v>
      </c>
      <c r="G142">
        <f t="shared" si="28"/>
        <v>-1.9999999999997797E-3</v>
      </c>
      <c r="H142">
        <f>IF(MOD(COUNTA($C$7:C142)-1,$J$2),H141,ROUND(F142*P142,-2))</f>
        <v>6000</v>
      </c>
      <c r="I142">
        <f t="shared" si="29"/>
        <v>0</v>
      </c>
      <c r="J142">
        <f t="shared" si="30"/>
        <v>0</v>
      </c>
      <c r="K142">
        <f t="shared" si="31"/>
        <v>-12095.076361958063</v>
      </c>
      <c r="L142">
        <f t="shared" si="32"/>
        <v>1368.9236380419388</v>
      </c>
      <c r="M142">
        <f t="shared" si="33"/>
        <v>-11.999999999998181</v>
      </c>
      <c r="N142">
        <f t="shared" si="35"/>
        <v>1368.9236380419388</v>
      </c>
      <c r="O142" s="5">
        <f t="shared" si="26"/>
        <v>9.8876608058622639E-2</v>
      </c>
      <c r="P142">
        <f t="shared" si="34"/>
        <v>10000</v>
      </c>
      <c r="Q142">
        <f t="shared" si="27"/>
        <v>988.76608058622639</v>
      </c>
    </row>
    <row r="143" spans="1:17" x14ac:dyDescent="0.15">
      <c r="A143" s="10">
        <v>45869.600694444962</v>
      </c>
      <c r="B143">
        <f>COUNT(A143:$A$1158)/(48*252)</f>
        <v>8.3994708994708997E-2</v>
      </c>
      <c r="C143">
        <v>2.258</v>
      </c>
      <c r="D143">
        <v>0.108</v>
      </c>
      <c r="E143">
        <f t="shared" si="24"/>
        <v>0.2759214883444473</v>
      </c>
      <c r="F143">
        <f t="shared" si="25"/>
        <v>0.60869581548234719</v>
      </c>
      <c r="G143">
        <f t="shared" si="28"/>
        <v>1.399999999999979E-2</v>
      </c>
      <c r="H143">
        <f>IF(MOD(COUNTA($C$7:C143)-1,$J$2),H142,ROUND(F143*P143,-2))</f>
        <v>6000</v>
      </c>
      <c r="I143">
        <f t="shared" si="29"/>
        <v>0</v>
      </c>
      <c r="J143">
        <f t="shared" si="30"/>
        <v>0</v>
      </c>
      <c r="K143">
        <f t="shared" si="31"/>
        <v>-12095.076361958063</v>
      </c>
      <c r="L143">
        <f t="shared" si="32"/>
        <v>1452.923638041937</v>
      </c>
      <c r="M143">
        <f t="shared" si="33"/>
        <v>83.999999999998181</v>
      </c>
      <c r="N143">
        <f t="shared" si="35"/>
        <v>1452.923638041937</v>
      </c>
      <c r="O143" s="5">
        <f t="shared" si="26"/>
        <v>9.3220126035633677E-2</v>
      </c>
      <c r="P143">
        <f t="shared" si="34"/>
        <v>10000</v>
      </c>
      <c r="Q143">
        <f t="shared" si="27"/>
        <v>932.20126035633677</v>
      </c>
    </row>
    <row r="144" spans="1:17" x14ac:dyDescent="0.15">
      <c r="A144" s="10">
        <v>45869.604166666977</v>
      </c>
      <c r="B144">
        <f>COUNT(A144:$A$1158)/(48*252)</f>
        <v>8.3912037037037035E-2</v>
      </c>
      <c r="C144">
        <v>2.2549999999999999</v>
      </c>
      <c r="D144">
        <v>0.108</v>
      </c>
      <c r="E144">
        <f t="shared" si="24"/>
        <v>0.26632603683253164</v>
      </c>
      <c r="F144">
        <f t="shared" si="25"/>
        <v>0.60500593875425079</v>
      </c>
      <c r="G144">
        <f t="shared" si="28"/>
        <v>-3.0000000000001137E-3</v>
      </c>
      <c r="H144">
        <f>IF(MOD(COUNTA($C$7:C144)-1,$J$2),H143,ROUND(F144*P144,-2))</f>
        <v>6000</v>
      </c>
      <c r="I144">
        <f t="shared" si="29"/>
        <v>0</v>
      </c>
      <c r="J144">
        <f t="shared" si="30"/>
        <v>0</v>
      </c>
      <c r="K144">
        <f t="shared" si="31"/>
        <v>-12095.076361958063</v>
      </c>
      <c r="L144">
        <f t="shared" si="32"/>
        <v>1434.923638041937</v>
      </c>
      <c r="M144">
        <f t="shared" si="33"/>
        <v>-18</v>
      </c>
      <c r="N144">
        <f t="shared" si="35"/>
        <v>1434.923638041937</v>
      </c>
      <c r="O144" s="5">
        <f t="shared" si="26"/>
        <v>9.4343098061974939E-2</v>
      </c>
      <c r="P144">
        <f t="shared" si="34"/>
        <v>10000</v>
      </c>
      <c r="Q144">
        <f t="shared" si="27"/>
        <v>943.43098061974945</v>
      </c>
    </row>
    <row r="145" spans="1:17" x14ac:dyDescent="0.15">
      <c r="A145" s="10">
        <v>45869.607638888992</v>
      </c>
      <c r="B145">
        <f>COUNT(A145:$A$1158)/(48*252)</f>
        <v>8.3829365079365073E-2</v>
      </c>
      <c r="C145">
        <v>2.2480000000000002</v>
      </c>
      <c r="D145">
        <v>0.106</v>
      </c>
      <c r="E145">
        <f t="shared" si="24"/>
        <v>0.24380423638639914</v>
      </c>
      <c r="F145">
        <f t="shared" si="25"/>
        <v>0.59630878041904456</v>
      </c>
      <c r="G145">
        <f t="shared" si="28"/>
        <v>-6.9999999999996732E-3</v>
      </c>
      <c r="H145">
        <f>IF(MOD(COUNTA($C$7:C145)-1,$J$2),H144,ROUND(F145*P145,-2))</f>
        <v>6000</v>
      </c>
      <c r="I145">
        <f t="shared" si="29"/>
        <v>0</v>
      </c>
      <c r="J145">
        <f t="shared" si="30"/>
        <v>0</v>
      </c>
      <c r="K145">
        <f t="shared" si="31"/>
        <v>-12095.076361958063</v>
      </c>
      <c r="L145">
        <f t="shared" si="32"/>
        <v>1392.9236380419388</v>
      </c>
      <c r="M145">
        <f t="shared" si="33"/>
        <v>-41.999999999998181</v>
      </c>
      <c r="N145">
        <f t="shared" si="35"/>
        <v>1392.9236380419388</v>
      </c>
      <c r="O145" s="5">
        <f t="shared" si="26"/>
        <v>9.7081863962709902E-2</v>
      </c>
      <c r="P145">
        <f t="shared" si="34"/>
        <v>10000</v>
      </c>
      <c r="Q145">
        <f t="shared" si="27"/>
        <v>970.81863962709906</v>
      </c>
    </row>
    <row r="146" spans="1:17" x14ac:dyDescent="0.15">
      <c r="A146" s="10">
        <v>45869.611111111008</v>
      </c>
      <c r="B146">
        <f>COUNT(A146:$A$1158)/(48*252)</f>
        <v>8.3746693121693125E-2</v>
      </c>
      <c r="C146">
        <v>2.2519999999999998</v>
      </c>
      <c r="D146">
        <v>0.105</v>
      </c>
      <c r="E146">
        <f t="shared" si="24"/>
        <v>0.25674904252748726</v>
      </c>
      <c r="F146">
        <f t="shared" si="25"/>
        <v>0.60131374512774494</v>
      </c>
      <c r="G146">
        <f t="shared" si="28"/>
        <v>3.9999999999995595E-3</v>
      </c>
      <c r="H146">
        <f>IF(MOD(COUNTA($C$7:C146)-1,$J$2),H145,ROUND(F146*P146,-2))</f>
        <v>6000</v>
      </c>
      <c r="I146">
        <f t="shared" si="29"/>
        <v>0</v>
      </c>
      <c r="J146">
        <f t="shared" si="30"/>
        <v>0</v>
      </c>
      <c r="K146">
        <f t="shared" si="31"/>
        <v>-12095.076361958063</v>
      </c>
      <c r="L146">
        <f t="shared" si="32"/>
        <v>1416.9236380419352</v>
      </c>
      <c r="M146">
        <f t="shared" si="33"/>
        <v>23.999999999996362</v>
      </c>
      <c r="N146">
        <f t="shared" si="35"/>
        <v>1416.9236380419352</v>
      </c>
      <c r="O146" s="5">
        <f t="shared" si="26"/>
        <v>9.5420481095969345E-2</v>
      </c>
      <c r="P146">
        <f t="shared" si="34"/>
        <v>10000</v>
      </c>
      <c r="Q146">
        <f t="shared" si="27"/>
        <v>954.20481095969342</v>
      </c>
    </row>
    <row r="147" spans="1:17" x14ac:dyDescent="0.15">
      <c r="A147" s="10">
        <v>45869.614583333023</v>
      </c>
      <c r="B147">
        <f>COUNT(A147:$A$1158)/(48*252)</f>
        <v>8.3664021164021163E-2</v>
      </c>
      <c r="C147">
        <v>2.246</v>
      </c>
      <c r="D147">
        <v>0.10299999999999999</v>
      </c>
      <c r="E147">
        <f t="shared" si="24"/>
        <v>0.23740594196066825</v>
      </c>
      <c r="F147">
        <f t="shared" si="25"/>
        <v>0.59382905976536193</v>
      </c>
      <c r="G147">
        <f t="shared" si="28"/>
        <v>-5.9999999999997833E-3</v>
      </c>
      <c r="H147">
        <f>IF(MOD(COUNTA($C$7:C147)-1,$J$2),H146,ROUND(F147*P147,-2))</f>
        <v>6000</v>
      </c>
      <c r="I147">
        <f t="shared" si="29"/>
        <v>0</v>
      </c>
      <c r="J147">
        <f t="shared" si="30"/>
        <v>0</v>
      </c>
      <c r="K147">
        <f t="shared" si="31"/>
        <v>-12095.076361958063</v>
      </c>
      <c r="L147">
        <f t="shared" si="32"/>
        <v>1380.923638041937</v>
      </c>
      <c r="M147">
        <f t="shared" si="33"/>
        <v>-35.999999999998181</v>
      </c>
      <c r="N147">
        <f t="shared" si="35"/>
        <v>1380.923638041937</v>
      </c>
      <c r="O147" s="5">
        <f t="shared" si="26"/>
        <v>9.7778343868246576E-2</v>
      </c>
      <c r="P147">
        <f t="shared" si="34"/>
        <v>10000</v>
      </c>
      <c r="Q147">
        <f t="shared" si="27"/>
        <v>977.78343868246577</v>
      </c>
    </row>
    <row r="148" spans="1:17" x14ac:dyDescent="0.15">
      <c r="A148" s="10">
        <v>45869.618055555969</v>
      </c>
      <c r="B148">
        <f>COUNT(A148:$A$1158)/(48*252)</f>
        <v>8.3581349206349201E-2</v>
      </c>
      <c r="C148">
        <v>2.2450000000000001</v>
      </c>
      <c r="D148">
        <v>0.10199999999999999</v>
      </c>
      <c r="E148">
        <f t="shared" si="24"/>
        <v>0.23419997777259521</v>
      </c>
      <c r="F148">
        <f t="shared" si="25"/>
        <v>0.59258513386334188</v>
      </c>
      <c r="G148">
        <f t="shared" si="28"/>
        <v>-9.9999999999988987E-4</v>
      </c>
      <c r="H148">
        <f>IF(MOD(COUNTA($C$7:C148)-1,$J$2),H147,ROUND(F148*P148,-2))</f>
        <v>6000</v>
      </c>
      <c r="I148">
        <f t="shared" si="29"/>
        <v>0</v>
      </c>
      <c r="J148">
        <f t="shared" si="30"/>
        <v>0</v>
      </c>
      <c r="K148">
        <f t="shared" si="31"/>
        <v>-12095.076361958063</v>
      </c>
      <c r="L148">
        <f t="shared" si="32"/>
        <v>1374.923638041937</v>
      </c>
      <c r="M148">
        <f t="shared" si="33"/>
        <v>-6</v>
      </c>
      <c r="N148">
        <f t="shared" si="35"/>
        <v>1374.923638041937</v>
      </c>
      <c r="O148" s="5">
        <f t="shared" si="26"/>
        <v>9.8128384325632978E-2</v>
      </c>
      <c r="P148">
        <f t="shared" si="34"/>
        <v>10000</v>
      </c>
      <c r="Q148">
        <f t="shared" si="27"/>
        <v>981.28384325632976</v>
      </c>
    </row>
    <row r="149" spans="1:17" x14ac:dyDescent="0.15">
      <c r="A149" s="10">
        <v>45869.621527777985</v>
      </c>
      <c r="B149">
        <f>COUNT(A149:$A$1158)/(48*252)</f>
        <v>8.3498677248677253E-2</v>
      </c>
      <c r="C149">
        <v>2.2400000000000002</v>
      </c>
      <c r="D149">
        <v>0.1</v>
      </c>
      <c r="E149">
        <f t="shared" si="24"/>
        <v>0.21801368333861218</v>
      </c>
      <c r="F149">
        <f t="shared" si="25"/>
        <v>0.58629077495700077</v>
      </c>
      <c r="G149">
        <f t="shared" si="28"/>
        <v>-4.9999999999998934E-3</v>
      </c>
      <c r="H149">
        <f>IF(MOD(COUNTA($C$7:C149)-1,$J$2),H148,ROUND(F149*P149,-2))</f>
        <v>6000</v>
      </c>
      <c r="I149">
        <f t="shared" si="29"/>
        <v>0</v>
      </c>
      <c r="J149">
        <f t="shared" si="30"/>
        <v>0</v>
      </c>
      <c r="K149">
        <f t="shared" si="31"/>
        <v>-12095.076361958063</v>
      </c>
      <c r="L149">
        <f t="shared" si="32"/>
        <v>1344.9236380419388</v>
      </c>
      <c r="M149">
        <f t="shared" si="33"/>
        <v>-29.999999999998181</v>
      </c>
      <c r="N149">
        <f t="shared" si="35"/>
        <v>1344.9236380419388</v>
      </c>
      <c r="O149" s="5">
        <f t="shared" si="26"/>
        <v>0.10012436293870808</v>
      </c>
      <c r="P149">
        <f t="shared" si="34"/>
        <v>10000</v>
      </c>
      <c r="Q149">
        <f t="shared" si="27"/>
        <v>1001.2436293870808</v>
      </c>
    </row>
    <row r="150" spans="1:17" x14ac:dyDescent="0.15">
      <c r="A150" s="10">
        <v>45869.625</v>
      </c>
      <c r="B150">
        <f>COUNT(A150:$A$1158)/(48*252)</f>
        <v>8.3416005291005291E-2</v>
      </c>
      <c r="C150">
        <v>2.2370000000000001</v>
      </c>
      <c r="D150">
        <v>0.1</v>
      </c>
      <c r="E150">
        <f t="shared" si="24"/>
        <v>0.20828367014000534</v>
      </c>
      <c r="F150">
        <f t="shared" si="25"/>
        <v>0.58249625930493332</v>
      </c>
      <c r="G150">
        <f t="shared" si="28"/>
        <v>-3.0000000000001137E-3</v>
      </c>
      <c r="H150">
        <f>IF(MOD(COUNTA($C$7:C150)-1,$J$2),H149,ROUND(F150*P150,-2))</f>
        <v>6000</v>
      </c>
      <c r="I150">
        <f t="shared" si="29"/>
        <v>0</v>
      </c>
      <c r="J150">
        <f t="shared" si="30"/>
        <v>0</v>
      </c>
      <c r="K150">
        <f t="shared" si="31"/>
        <v>-12095.076361958063</v>
      </c>
      <c r="L150">
        <f t="shared" si="32"/>
        <v>1326.923638041937</v>
      </c>
      <c r="M150">
        <f t="shared" si="33"/>
        <v>-18.000000000001819</v>
      </c>
      <c r="N150">
        <f t="shared" si="35"/>
        <v>1326.923638041937</v>
      </c>
      <c r="O150" s="5">
        <f t="shared" si="26"/>
        <v>0.10131429969964556</v>
      </c>
      <c r="P150">
        <f t="shared" si="34"/>
        <v>10000</v>
      </c>
      <c r="Q150">
        <f t="shared" si="27"/>
        <v>1013.1429969964556</v>
      </c>
    </row>
    <row r="151" spans="1:17" x14ac:dyDescent="0.15">
      <c r="A151" s="10">
        <v>45870.399305555969</v>
      </c>
      <c r="B151">
        <f>COUNT(A151:$A$1158)/(48*252)</f>
        <v>8.3333333333333329E-2</v>
      </c>
      <c r="C151">
        <v>2.2130000000000001</v>
      </c>
      <c r="D151">
        <v>9.5000000000000001E-2</v>
      </c>
      <c r="E151">
        <f t="shared" si="24"/>
        <v>0.12977276448265165</v>
      </c>
      <c r="F151">
        <f t="shared" si="25"/>
        <v>0.55162689426984346</v>
      </c>
      <c r="G151">
        <f t="shared" si="28"/>
        <v>-2.4000000000000021E-2</v>
      </c>
      <c r="H151">
        <f>IF(MOD(COUNTA($C$7:C151)-1,$J$2),H150,ROUND(F151*P151,-2))</f>
        <v>5500</v>
      </c>
      <c r="I151">
        <f t="shared" si="29"/>
        <v>-500</v>
      </c>
      <c r="J151">
        <f t="shared" si="30"/>
        <v>0</v>
      </c>
      <c r="K151">
        <f t="shared" si="31"/>
        <v>-10988.626154458063</v>
      </c>
      <c r="L151">
        <f t="shared" si="32"/>
        <v>1182.873845541937</v>
      </c>
      <c r="M151">
        <f t="shared" si="33"/>
        <v>-144.04979249999997</v>
      </c>
      <c r="N151">
        <f t="shared" si="35"/>
        <v>1182.873845541937</v>
      </c>
      <c r="O151" s="5">
        <f t="shared" si="26"/>
        <v>0.11164633721249828</v>
      </c>
      <c r="P151">
        <f t="shared" si="34"/>
        <v>10000</v>
      </c>
      <c r="Q151">
        <f t="shared" si="27"/>
        <v>1116.4633721249829</v>
      </c>
    </row>
    <row r="152" spans="1:17" x14ac:dyDescent="0.15">
      <c r="A152" s="10">
        <v>45870.402777777985</v>
      </c>
      <c r="B152">
        <f>COUNT(A152:$A$1158)/(48*252)</f>
        <v>8.3250661375661381E-2</v>
      </c>
      <c r="C152">
        <v>2.2160000000000002</v>
      </c>
      <c r="D152">
        <v>9.5000000000000001E-2</v>
      </c>
      <c r="E152">
        <f t="shared" si="24"/>
        <v>0.13961829466127001</v>
      </c>
      <c r="F152">
        <f t="shared" si="25"/>
        <v>0.55551920742184135</v>
      </c>
      <c r="G152">
        <f t="shared" si="28"/>
        <v>3.0000000000001137E-3</v>
      </c>
      <c r="H152">
        <f>IF(MOD(COUNTA($C$7:C152)-1,$J$2),H151,ROUND(F152*P152,-2))</f>
        <v>5500</v>
      </c>
      <c r="I152">
        <f t="shared" si="29"/>
        <v>0</v>
      </c>
      <c r="J152">
        <f t="shared" si="30"/>
        <v>0</v>
      </c>
      <c r="K152">
        <f t="shared" si="31"/>
        <v>-10988.626154458063</v>
      </c>
      <c r="L152">
        <f t="shared" si="32"/>
        <v>1199.3738455419389</v>
      </c>
      <c r="M152">
        <f t="shared" si="33"/>
        <v>16.500000000001819</v>
      </c>
      <c r="N152">
        <f t="shared" si="35"/>
        <v>1199.3738455419389</v>
      </c>
      <c r="O152" s="5">
        <f t="shared" si="26"/>
        <v>0.11025011971024246</v>
      </c>
      <c r="P152">
        <f t="shared" si="34"/>
        <v>10000</v>
      </c>
      <c r="Q152">
        <f t="shared" si="27"/>
        <v>1102.5011971024246</v>
      </c>
    </row>
    <row r="153" spans="1:17" x14ac:dyDescent="0.15">
      <c r="A153" s="10">
        <v>45870.40625</v>
      </c>
      <c r="B153">
        <f>COUNT(A153:$A$1158)/(48*252)</f>
        <v>8.3167989417989419E-2</v>
      </c>
      <c r="C153">
        <v>2.218</v>
      </c>
      <c r="D153">
        <v>9.6000000000000002E-2</v>
      </c>
      <c r="E153">
        <f t="shared" si="24"/>
        <v>0.14617546986259847</v>
      </c>
      <c r="F153">
        <f t="shared" si="25"/>
        <v>0.55810856512277596</v>
      </c>
      <c r="G153">
        <f t="shared" si="28"/>
        <v>1.9999999999997797E-3</v>
      </c>
      <c r="H153">
        <f>IF(MOD(COUNTA($C$7:C153)-1,$J$2),H152,ROUND(F153*P153,-2))</f>
        <v>5500</v>
      </c>
      <c r="I153">
        <f t="shared" si="29"/>
        <v>0</v>
      </c>
      <c r="J153">
        <f t="shared" si="30"/>
        <v>0</v>
      </c>
      <c r="K153">
        <f t="shared" si="31"/>
        <v>-10988.626154458063</v>
      </c>
      <c r="L153">
        <f t="shared" si="32"/>
        <v>1210.373845541937</v>
      </c>
      <c r="M153">
        <f t="shared" si="33"/>
        <v>10.999999999998181</v>
      </c>
      <c r="N153">
        <f t="shared" si="35"/>
        <v>1210.373845541937</v>
      </c>
      <c r="O153" s="5">
        <f t="shared" si="26"/>
        <v>0.1093067624277414</v>
      </c>
      <c r="P153">
        <f t="shared" si="34"/>
        <v>10000</v>
      </c>
      <c r="Q153">
        <f t="shared" si="27"/>
        <v>1093.0676242774141</v>
      </c>
    </row>
    <row r="154" spans="1:17" x14ac:dyDescent="0.15">
      <c r="A154" s="10">
        <v>45870.409722222015</v>
      </c>
      <c r="B154">
        <f>COUNT(A154:$A$1158)/(48*252)</f>
        <v>8.3085317460317457E-2</v>
      </c>
      <c r="C154">
        <v>2.214</v>
      </c>
      <c r="D154">
        <v>9.2999999999999999E-2</v>
      </c>
      <c r="E154">
        <f t="shared" si="24"/>
        <v>0.13300122545511467</v>
      </c>
      <c r="F154">
        <f t="shared" si="25"/>
        <v>0.55290379433100578</v>
      </c>
      <c r="G154">
        <f t="shared" si="28"/>
        <v>-4.0000000000000036E-3</v>
      </c>
      <c r="H154">
        <f>IF(MOD(COUNTA($C$7:C154)-1,$J$2),H153,ROUND(F154*P154,-2))</f>
        <v>5500</v>
      </c>
      <c r="I154">
        <f t="shared" si="29"/>
        <v>0</v>
      </c>
      <c r="J154">
        <f t="shared" si="30"/>
        <v>0</v>
      </c>
      <c r="K154">
        <f t="shared" si="31"/>
        <v>-10988.626154458063</v>
      </c>
      <c r="L154">
        <f t="shared" si="32"/>
        <v>1188.373845541937</v>
      </c>
      <c r="M154">
        <f t="shared" si="33"/>
        <v>-22</v>
      </c>
      <c r="N154">
        <f t="shared" si="35"/>
        <v>1188.373845541937</v>
      </c>
      <c r="O154" s="5">
        <f t="shared" si="26"/>
        <v>0.11102772100309632</v>
      </c>
      <c r="P154">
        <f t="shared" si="34"/>
        <v>10000</v>
      </c>
      <c r="Q154">
        <f t="shared" si="27"/>
        <v>1110.2772100309633</v>
      </c>
    </row>
    <row r="155" spans="1:17" x14ac:dyDescent="0.15">
      <c r="A155" s="10">
        <v>45870.413194444962</v>
      </c>
      <c r="B155">
        <f>COUNT(A155:$A$1158)/(48*252)</f>
        <v>8.3002645502645508E-2</v>
      </c>
      <c r="C155">
        <v>2.214</v>
      </c>
      <c r="D155">
        <v>9.2999999999999999E-2</v>
      </c>
      <c r="E155">
        <f t="shared" si="24"/>
        <v>0.13298108222477084</v>
      </c>
      <c r="F155">
        <f t="shared" si="25"/>
        <v>0.55289582909628354</v>
      </c>
      <c r="G155">
        <f t="shared" si="28"/>
        <v>0</v>
      </c>
      <c r="H155">
        <f>IF(MOD(COUNTA($C$7:C155)-1,$J$2),H154,ROUND(F155*P155,-2))</f>
        <v>5500</v>
      </c>
      <c r="I155">
        <f t="shared" si="29"/>
        <v>0</v>
      </c>
      <c r="J155">
        <f t="shared" si="30"/>
        <v>0</v>
      </c>
      <c r="K155">
        <f t="shared" si="31"/>
        <v>-10988.626154458063</v>
      </c>
      <c r="L155">
        <f t="shared" si="32"/>
        <v>1188.373845541937</v>
      </c>
      <c r="M155">
        <f t="shared" si="33"/>
        <v>0</v>
      </c>
      <c r="N155">
        <f t="shared" si="35"/>
        <v>1188.373845541937</v>
      </c>
      <c r="O155" s="5">
        <f t="shared" si="26"/>
        <v>0.11097069656667147</v>
      </c>
      <c r="P155">
        <f t="shared" si="34"/>
        <v>10000</v>
      </c>
      <c r="Q155">
        <f t="shared" si="27"/>
        <v>1109.7069656667147</v>
      </c>
    </row>
    <row r="156" spans="1:17" x14ac:dyDescent="0.15">
      <c r="A156" s="10">
        <v>45870.416666666977</v>
      </c>
      <c r="B156">
        <f>COUNT(A156:$A$1158)/(48*252)</f>
        <v>8.2919973544973546E-2</v>
      </c>
      <c r="C156">
        <v>2.2120000000000002</v>
      </c>
      <c r="D156">
        <v>9.0999999999999998E-2</v>
      </c>
      <c r="E156">
        <f t="shared" si="24"/>
        <v>0.12636515105843446</v>
      </c>
      <c r="F156">
        <f t="shared" si="25"/>
        <v>0.55027855679609283</v>
      </c>
      <c r="G156">
        <f t="shared" si="28"/>
        <v>-1.9999999999997797E-3</v>
      </c>
      <c r="H156">
        <f>IF(MOD(COUNTA($C$7:C156)-1,$J$2),H155,ROUND(F156*P156,-2))</f>
        <v>5500</v>
      </c>
      <c r="I156">
        <f t="shared" si="29"/>
        <v>0</v>
      </c>
      <c r="J156">
        <f t="shared" si="30"/>
        <v>0</v>
      </c>
      <c r="K156">
        <f t="shared" si="31"/>
        <v>-10988.626154458063</v>
      </c>
      <c r="L156">
        <f t="shared" si="32"/>
        <v>1177.3738455419389</v>
      </c>
      <c r="M156">
        <f t="shared" si="33"/>
        <v>-10.999999999998181</v>
      </c>
      <c r="N156">
        <f t="shared" si="35"/>
        <v>1177.3738455419389</v>
      </c>
      <c r="O156" s="5">
        <f t="shared" si="26"/>
        <v>0.11181047491592966</v>
      </c>
      <c r="P156">
        <f t="shared" si="34"/>
        <v>10000</v>
      </c>
      <c r="Q156">
        <f t="shared" si="27"/>
        <v>1118.1047491592965</v>
      </c>
    </row>
    <row r="157" spans="1:17" x14ac:dyDescent="0.15">
      <c r="A157" s="10">
        <v>45870.420138888992</v>
      </c>
      <c r="B157">
        <f>COUNT(A157:$A$1158)/(48*252)</f>
        <v>8.2837301587301584E-2</v>
      </c>
      <c r="C157">
        <v>2.214</v>
      </c>
      <c r="D157">
        <v>9.1999999999999998E-2</v>
      </c>
      <c r="E157">
        <f t="shared" si="24"/>
        <v>0.13294083459088304</v>
      </c>
      <c r="F157">
        <f t="shared" si="25"/>
        <v>0.55287991391621216</v>
      </c>
      <c r="G157">
        <f t="shared" si="28"/>
        <v>1.9999999999997797E-3</v>
      </c>
      <c r="H157">
        <f>IF(MOD(COUNTA($C$7:C157)-1,$J$2),H156,ROUND(F157*P157,-2))</f>
        <v>5500</v>
      </c>
      <c r="I157">
        <f t="shared" si="29"/>
        <v>0</v>
      </c>
      <c r="J157">
        <f t="shared" si="30"/>
        <v>0</v>
      </c>
      <c r="K157">
        <f t="shared" si="31"/>
        <v>-10988.626154458063</v>
      </c>
      <c r="L157">
        <f t="shared" si="32"/>
        <v>1188.373845541937</v>
      </c>
      <c r="M157">
        <f t="shared" si="33"/>
        <v>10.999999999998181</v>
      </c>
      <c r="N157">
        <f t="shared" si="35"/>
        <v>1188.373845541937</v>
      </c>
      <c r="O157" s="5">
        <f t="shared" si="26"/>
        <v>0.11085655757831658</v>
      </c>
      <c r="P157">
        <f t="shared" si="34"/>
        <v>10000</v>
      </c>
      <c r="Q157">
        <f t="shared" si="27"/>
        <v>1108.5655757831657</v>
      </c>
    </row>
    <row r="158" spans="1:17" x14ac:dyDescent="0.15">
      <c r="A158" s="10">
        <v>45870.423611111008</v>
      </c>
      <c r="B158">
        <f>COUNT(A158:$A$1158)/(48*252)</f>
        <v>8.2754629629629636E-2</v>
      </c>
      <c r="C158">
        <v>2.2149999999999999</v>
      </c>
      <c r="D158">
        <v>9.1999999999999998E-2</v>
      </c>
      <c r="E158">
        <f t="shared" si="24"/>
        <v>0.13621968744258178</v>
      </c>
      <c r="F158">
        <f t="shared" si="25"/>
        <v>0.55417619404653662</v>
      </c>
      <c r="G158">
        <f t="shared" si="28"/>
        <v>9.9999999999988987E-4</v>
      </c>
      <c r="H158">
        <f>IF(MOD(COUNTA($C$7:C158)-1,$J$2),H157,ROUND(F158*P158,-2))</f>
        <v>5500</v>
      </c>
      <c r="I158">
        <f t="shared" si="29"/>
        <v>0</v>
      </c>
      <c r="J158">
        <f t="shared" si="30"/>
        <v>0</v>
      </c>
      <c r="K158">
        <f t="shared" si="31"/>
        <v>-10988.626154458063</v>
      </c>
      <c r="L158">
        <f t="shared" si="32"/>
        <v>1193.873845541937</v>
      </c>
      <c r="M158">
        <f t="shared" si="33"/>
        <v>5.5</v>
      </c>
      <c r="N158">
        <f t="shared" si="35"/>
        <v>1193.873845541937</v>
      </c>
      <c r="O158" s="5">
        <f t="shared" si="26"/>
        <v>0.11035296711331155</v>
      </c>
      <c r="P158">
        <f t="shared" si="34"/>
        <v>10000</v>
      </c>
      <c r="Q158">
        <f t="shared" si="27"/>
        <v>1103.5296711331155</v>
      </c>
    </row>
    <row r="159" spans="1:17" x14ac:dyDescent="0.15">
      <c r="A159" s="10">
        <v>45870.427083333023</v>
      </c>
      <c r="B159">
        <f>COUNT(A159:$A$1158)/(48*252)</f>
        <v>8.2671957671957674E-2</v>
      </c>
      <c r="C159">
        <v>2.2149999999999999</v>
      </c>
      <c r="D159">
        <v>9.1999999999999998E-2</v>
      </c>
      <c r="E159">
        <f t="shared" si="24"/>
        <v>0.13620124529924554</v>
      </c>
      <c r="F159">
        <f t="shared" si="25"/>
        <v>0.55416890463175761</v>
      </c>
      <c r="G159">
        <f t="shared" si="28"/>
        <v>0</v>
      </c>
      <c r="H159">
        <f>IF(MOD(COUNTA($C$7:C159)-1,$J$2),H158,ROUND(F159*P159,-2))</f>
        <v>5500</v>
      </c>
      <c r="I159">
        <f t="shared" si="29"/>
        <v>0</v>
      </c>
      <c r="J159">
        <f t="shared" si="30"/>
        <v>0</v>
      </c>
      <c r="K159">
        <f t="shared" si="31"/>
        <v>-10988.626154458063</v>
      </c>
      <c r="L159">
        <f t="shared" si="32"/>
        <v>1193.873845541937</v>
      </c>
      <c r="M159">
        <f t="shared" si="33"/>
        <v>0</v>
      </c>
      <c r="N159">
        <f t="shared" si="35"/>
        <v>1193.873845541937</v>
      </c>
      <c r="O159" s="5">
        <f t="shared" si="26"/>
        <v>0.11029581469699845</v>
      </c>
      <c r="P159">
        <f t="shared" si="34"/>
        <v>10000</v>
      </c>
      <c r="Q159">
        <f t="shared" si="27"/>
        <v>1102.9581469699845</v>
      </c>
    </row>
    <row r="160" spans="1:17" x14ac:dyDescent="0.15">
      <c r="A160" s="10">
        <v>45870.430555555969</v>
      </c>
      <c r="B160">
        <f>COUNT(A160:$A$1158)/(48*252)</f>
        <v>8.2589285714285712E-2</v>
      </c>
      <c r="C160">
        <v>2.2130000000000001</v>
      </c>
      <c r="D160">
        <v>9.0999999999999998E-2</v>
      </c>
      <c r="E160">
        <f t="shared" si="24"/>
        <v>0.12957681138850066</v>
      </c>
      <c r="F160">
        <f t="shared" si="25"/>
        <v>0.55154937480958544</v>
      </c>
      <c r="G160">
        <f t="shared" si="28"/>
        <v>-1.9999999999997797E-3</v>
      </c>
      <c r="H160">
        <f>IF(MOD(COUNTA($C$7:C160)-1,$J$2),H159,ROUND(F160*P160,-2))</f>
        <v>5500</v>
      </c>
      <c r="I160">
        <f t="shared" si="29"/>
        <v>0</v>
      </c>
      <c r="J160">
        <f t="shared" si="30"/>
        <v>0</v>
      </c>
      <c r="K160">
        <f t="shared" si="31"/>
        <v>-10988.626154458063</v>
      </c>
      <c r="L160">
        <f t="shared" si="32"/>
        <v>1182.873845541937</v>
      </c>
      <c r="M160">
        <f t="shared" si="33"/>
        <v>-11</v>
      </c>
      <c r="N160">
        <f t="shared" si="35"/>
        <v>1182.873845541937</v>
      </c>
      <c r="O160" s="5">
        <f t="shared" si="26"/>
        <v>0.1111329203117738</v>
      </c>
      <c r="P160">
        <f t="shared" si="34"/>
        <v>10000</v>
      </c>
      <c r="Q160">
        <f t="shared" si="27"/>
        <v>1111.329203117738</v>
      </c>
    </row>
    <row r="161" spans="1:17" x14ac:dyDescent="0.15">
      <c r="A161" s="10">
        <v>45870.434027777985</v>
      </c>
      <c r="B161">
        <f>COUNT(A161:$A$1158)/(48*252)</f>
        <v>8.250661375661375E-2</v>
      </c>
      <c r="C161">
        <v>2.2040000000000002</v>
      </c>
      <c r="D161">
        <v>8.8999999999999996E-2</v>
      </c>
      <c r="E161">
        <f t="shared" si="24"/>
        <v>9.9739061076026952E-2</v>
      </c>
      <c r="F161">
        <f t="shared" si="25"/>
        <v>0.5397242555561782</v>
      </c>
      <c r="G161">
        <f t="shared" si="28"/>
        <v>-8.999999999999897E-3</v>
      </c>
      <c r="H161">
        <f>IF(MOD(COUNTA($C$7:C161)-1,$J$2),H160,ROUND(F161*P161,-2))</f>
        <v>5500</v>
      </c>
      <c r="I161">
        <f t="shared" si="29"/>
        <v>0</v>
      </c>
      <c r="J161">
        <f t="shared" si="30"/>
        <v>0</v>
      </c>
      <c r="K161">
        <f t="shared" si="31"/>
        <v>-10988.626154458063</v>
      </c>
      <c r="L161">
        <f t="shared" si="32"/>
        <v>1133.3738455419389</v>
      </c>
      <c r="M161">
        <f t="shared" si="33"/>
        <v>-49.499999999998181</v>
      </c>
      <c r="N161">
        <f t="shared" si="35"/>
        <v>1133.3738455419389</v>
      </c>
      <c r="O161" s="5">
        <f t="shared" si="26"/>
        <v>0.11516496424440215</v>
      </c>
      <c r="P161">
        <f t="shared" si="34"/>
        <v>10000</v>
      </c>
      <c r="Q161">
        <f t="shared" si="27"/>
        <v>1151.6496424440215</v>
      </c>
    </row>
    <row r="162" spans="1:17" x14ac:dyDescent="0.15">
      <c r="A162" s="10">
        <v>45870.4375</v>
      </c>
      <c r="B162">
        <f>COUNT(A162:$A$1158)/(48*252)</f>
        <v>8.2423941798941802E-2</v>
      </c>
      <c r="C162">
        <v>2.2069999999999999</v>
      </c>
      <c r="D162">
        <v>0.09</v>
      </c>
      <c r="E162">
        <f t="shared" si="24"/>
        <v>0.10965957647440709</v>
      </c>
      <c r="F162">
        <f t="shared" si="25"/>
        <v>0.54366031984584628</v>
      </c>
      <c r="G162">
        <f t="shared" si="28"/>
        <v>2.9999999999996696E-3</v>
      </c>
      <c r="H162">
        <f>IF(MOD(COUNTA($C$7:C162)-1,$J$2),H161,ROUND(F162*P162,-2))</f>
        <v>5500</v>
      </c>
      <c r="I162">
        <f t="shared" si="29"/>
        <v>0</v>
      </c>
      <c r="J162">
        <f t="shared" si="30"/>
        <v>0</v>
      </c>
      <c r="K162">
        <f t="shared" si="31"/>
        <v>-10988.626154458063</v>
      </c>
      <c r="L162">
        <f t="shared" si="32"/>
        <v>1149.873845541937</v>
      </c>
      <c r="M162">
        <f t="shared" si="33"/>
        <v>16.499999999998181</v>
      </c>
      <c r="N162">
        <f t="shared" si="35"/>
        <v>1149.873845541937</v>
      </c>
      <c r="O162" s="5">
        <f t="shared" si="26"/>
        <v>0.11373289845722168</v>
      </c>
      <c r="P162">
        <f t="shared" si="34"/>
        <v>10000</v>
      </c>
      <c r="Q162">
        <f t="shared" si="27"/>
        <v>1137.3289845722168</v>
      </c>
    </row>
    <row r="163" spans="1:17" x14ac:dyDescent="0.15">
      <c r="A163" s="10">
        <v>45870.440972222015</v>
      </c>
      <c r="B163">
        <f>COUNT(A163:$A$1158)/(48*252)</f>
        <v>8.234126984126984E-2</v>
      </c>
      <c r="C163">
        <v>2.2000000000000002</v>
      </c>
      <c r="D163">
        <v>8.4000000000000005E-2</v>
      </c>
      <c r="E163">
        <f t="shared" si="24"/>
        <v>8.6361724751889885E-2</v>
      </c>
      <c r="F163">
        <f t="shared" si="25"/>
        <v>0.53441056378147056</v>
      </c>
      <c r="G163">
        <f t="shared" si="28"/>
        <v>-6.9999999999996732E-3</v>
      </c>
      <c r="H163">
        <f>IF(MOD(COUNTA($C$7:C163)-1,$J$2),H162,ROUND(F163*P163,-2))</f>
        <v>5300</v>
      </c>
      <c r="I163">
        <f t="shared" si="29"/>
        <v>-200</v>
      </c>
      <c r="J163">
        <f t="shared" si="30"/>
        <v>0</v>
      </c>
      <c r="K163">
        <f t="shared" si="31"/>
        <v>-10548.645954458063</v>
      </c>
      <c r="L163">
        <f t="shared" si="32"/>
        <v>1111.3540455419388</v>
      </c>
      <c r="M163">
        <f t="shared" si="33"/>
        <v>-38.519799999998213</v>
      </c>
      <c r="N163">
        <f t="shared" si="35"/>
        <v>1111.3540455419388</v>
      </c>
      <c r="O163" s="5">
        <f t="shared" si="26"/>
        <v>0.11690247071094051</v>
      </c>
      <c r="P163">
        <f t="shared" si="34"/>
        <v>10000</v>
      </c>
      <c r="Q163">
        <f t="shared" si="27"/>
        <v>1169.0247071094052</v>
      </c>
    </row>
    <row r="164" spans="1:17" x14ac:dyDescent="0.15">
      <c r="A164" s="10">
        <v>45870.444444444962</v>
      </c>
      <c r="B164">
        <f>COUNT(A164:$A$1158)/(48*252)</f>
        <v>8.2258597883597878E-2</v>
      </c>
      <c r="C164">
        <v>2.1989999999999998</v>
      </c>
      <c r="D164">
        <v>8.2000000000000003E-2</v>
      </c>
      <c r="E164">
        <f t="shared" si="24"/>
        <v>8.2986905047782153E-2</v>
      </c>
      <c r="F164">
        <f t="shared" si="25"/>
        <v>0.53306902402305223</v>
      </c>
      <c r="G164">
        <f t="shared" si="28"/>
        <v>-1.000000000000334E-3</v>
      </c>
      <c r="H164">
        <f>IF(MOD(COUNTA($C$7:C164)-1,$J$2),H163,ROUND(F164*P164,-2))</f>
        <v>5300</v>
      </c>
      <c r="I164">
        <f t="shared" si="29"/>
        <v>0</v>
      </c>
      <c r="J164">
        <f t="shared" si="30"/>
        <v>0</v>
      </c>
      <c r="K164">
        <f t="shared" si="31"/>
        <v>-10548.645954458063</v>
      </c>
      <c r="L164">
        <f t="shared" si="32"/>
        <v>1106.0540455419359</v>
      </c>
      <c r="M164">
        <f t="shared" si="33"/>
        <v>-5.3000000000029104</v>
      </c>
      <c r="N164">
        <f t="shared" si="35"/>
        <v>1106.0540455419359</v>
      </c>
      <c r="O164" s="5">
        <f t="shared" si="26"/>
        <v>0.11731161912133414</v>
      </c>
      <c r="P164">
        <f t="shared" si="34"/>
        <v>10000</v>
      </c>
      <c r="Q164">
        <f t="shared" si="27"/>
        <v>1173.1161912133414</v>
      </c>
    </row>
    <row r="165" spans="1:17" x14ac:dyDescent="0.15">
      <c r="A165" s="10">
        <v>45870.447916666977</v>
      </c>
      <c r="B165">
        <f>COUNT(A165:$A$1158)/(48*252)</f>
        <v>8.217592592592593E-2</v>
      </c>
      <c r="C165">
        <v>2.202</v>
      </c>
      <c r="D165">
        <v>8.4000000000000005E-2</v>
      </c>
      <c r="E165">
        <f t="shared" si="24"/>
        <v>9.2936689647787341E-2</v>
      </c>
      <c r="F165">
        <f t="shared" si="25"/>
        <v>0.53702307112671355</v>
      </c>
      <c r="G165">
        <f t="shared" si="28"/>
        <v>3.0000000000001137E-3</v>
      </c>
      <c r="H165">
        <f>IF(MOD(COUNTA($C$7:C165)-1,$J$2),H164,ROUND(F165*P165,-2))</f>
        <v>5300</v>
      </c>
      <c r="I165">
        <f t="shared" si="29"/>
        <v>0</v>
      </c>
      <c r="J165">
        <f t="shared" si="30"/>
        <v>0</v>
      </c>
      <c r="K165">
        <f t="shared" si="31"/>
        <v>-10548.645954458063</v>
      </c>
      <c r="L165">
        <f t="shared" si="32"/>
        <v>1121.9540455419374</v>
      </c>
      <c r="M165">
        <f t="shared" si="33"/>
        <v>15.900000000001455</v>
      </c>
      <c r="N165">
        <f t="shared" si="35"/>
        <v>1121.9540455419374</v>
      </c>
      <c r="O165" s="5">
        <f t="shared" si="26"/>
        <v>0.11585959945926816</v>
      </c>
      <c r="P165">
        <f t="shared" si="34"/>
        <v>10000</v>
      </c>
      <c r="Q165">
        <f t="shared" si="27"/>
        <v>1158.5959945926816</v>
      </c>
    </row>
    <row r="166" spans="1:17" x14ac:dyDescent="0.15">
      <c r="A166" s="10">
        <v>45870.451388888992</v>
      </c>
      <c r="B166">
        <f>COUNT(A166:$A$1158)/(48*252)</f>
        <v>8.2093253968253968E-2</v>
      </c>
      <c r="C166">
        <v>2.2029999999999998</v>
      </c>
      <c r="D166">
        <v>8.4000000000000005E-2</v>
      </c>
      <c r="E166">
        <f t="shared" si="24"/>
        <v>9.622689983354786E-2</v>
      </c>
      <c r="F166">
        <f t="shared" si="25"/>
        <v>0.53832981651676337</v>
      </c>
      <c r="G166">
        <f t="shared" si="28"/>
        <v>9.9999999999988987E-4</v>
      </c>
      <c r="H166">
        <f>IF(MOD(COUNTA($C$7:C166)-1,$J$2),H165,ROUND(F166*P166,-2))</f>
        <v>5300</v>
      </c>
      <c r="I166">
        <f t="shared" si="29"/>
        <v>0</v>
      </c>
      <c r="J166">
        <f t="shared" si="30"/>
        <v>0</v>
      </c>
      <c r="K166">
        <f t="shared" si="31"/>
        <v>-10548.645954458063</v>
      </c>
      <c r="L166">
        <f t="shared" si="32"/>
        <v>1127.2540455419366</v>
      </c>
      <c r="M166">
        <f t="shared" si="33"/>
        <v>5.2999999999992724</v>
      </c>
      <c r="N166">
        <f t="shared" si="35"/>
        <v>1127.2540455419366</v>
      </c>
      <c r="O166" s="5">
        <f t="shared" si="26"/>
        <v>0.11534005367893618</v>
      </c>
      <c r="P166">
        <f t="shared" si="34"/>
        <v>10000</v>
      </c>
      <c r="Q166">
        <f t="shared" si="27"/>
        <v>1153.4005367893619</v>
      </c>
    </row>
    <row r="167" spans="1:17" x14ac:dyDescent="0.15">
      <c r="A167" s="10">
        <v>45870.454861111008</v>
      </c>
      <c r="B167">
        <f>COUNT(A167:$A$1158)/(48*252)</f>
        <v>8.2010582010582006E-2</v>
      </c>
      <c r="C167">
        <v>2.2010000000000001</v>
      </c>
      <c r="D167">
        <v>8.4000000000000005E-2</v>
      </c>
      <c r="E167">
        <f t="shared" si="24"/>
        <v>8.952310514470703E-2</v>
      </c>
      <c r="F167">
        <f t="shared" si="25"/>
        <v>0.5356669039733728</v>
      </c>
      <c r="G167">
        <f t="shared" si="28"/>
        <v>-1.9999999999997797E-3</v>
      </c>
      <c r="H167">
        <f>IF(MOD(COUNTA($C$7:C167)-1,$J$2),H166,ROUND(F167*P167,-2))</f>
        <v>5300</v>
      </c>
      <c r="I167">
        <f t="shared" si="29"/>
        <v>0</v>
      </c>
      <c r="J167">
        <f t="shared" si="30"/>
        <v>0</v>
      </c>
      <c r="K167">
        <f t="shared" si="31"/>
        <v>-10548.645954458063</v>
      </c>
      <c r="L167">
        <f t="shared" si="32"/>
        <v>1116.6540455419381</v>
      </c>
      <c r="M167">
        <f t="shared" si="33"/>
        <v>-10.599999999998545</v>
      </c>
      <c r="N167">
        <f t="shared" si="35"/>
        <v>1116.6540455419381</v>
      </c>
      <c r="O167" s="5">
        <f t="shared" si="26"/>
        <v>0.1162088110826005</v>
      </c>
      <c r="P167">
        <f t="shared" si="34"/>
        <v>10000</v>
      </c>
      <c r="Q167">
        <f t="shared" si="27"/>
        <v>1162.088110826005</v>
      </c>
    </row>
    <row r="168" spans="1:17" x14ac:dyDescent="0.15">
      <c r="A168" s="10">
        <v>45870.458333333023</v>
      </c>
      <c r="B168">
        <f>COUNT(A168:$A$1158)/(48*252)</f>
        <v>8.1927910052910058E-2</v>
      </c>
      <c r="C168">
        <v>2.202</v>
      </c>
      <c r="D168">
        <v>8.5000000000000006E-2</v>
      </c>
      <c r="E168">
        <f t="shared" si="24"/>
        <v>9.2816473349811468E-2</v>
      </c>
      <c r="F168">
        <f t="shared" si="25"/>
        <v>0.53697531816741262</v>
      </c>
      <c r="G168">
        <f t="shared" si="28"/>
        <v>9.9999999999988987E-4</v>
      </c>
      <c r="H168">
        <f>IF(MOD(COUNTA($C$7:C168)-1,$J$2),H167,ROUND(F168*P168,-2))</f>
        <v>5300</v>
      </c>
      <c r="I168">
        <f t="shared" si="29"/>
        <v>0</v>
      </c>
      <c r="J168">
        <f t="shared" si="30"/>
        <v>0</v>
      </c>
      <c r="K168">
        <f t="shared" si="31"/>
        <v>-10548.645954458063</v>
      </c>
      <c r="L168">
        <f t="shared" si="32"/>
        <v>1121.9540455419374</v>
      </c>
      <c r="M168">
        <f t="shared" si="33"/>
        <v>5.2999999999992724</v>
      </c>
      <c r="N168">
        <f t="shared" si="35"/>
        <v>1121.9540455419374</v>
      </c>
      <c r="O168" s="5">
        <f t="shared" si="26"/>
        <v>0.11568786481444326</v>
      </c>
      <c r="P168">
        <f t="shared" si="34"/>
        <v>10000</v>
      </c>
      <c r="Q168">
        <f t="shared" si="27"/>
        <v>1156.8786481444326</v>
      </c>
    </row>
    <row r="169" spans="1:17" x14ac:dyDescent="0.15">
      <c r="A169" s="10">
        <v>45870.461805555969</v>
      </c>
      <c r="B169">
        <f>COUNT(A169:$A$1158)/(48*252)</f>
        <v>8.1845238095238096E-2</v>
      </c>
      <c r="C169">
        <v>2.1970000000000001</v>
      </c>
      <c r="D169">
        <v>8.3000000000000004E-2</v>
      </c>
      <c r="E169">
        <f t="shared" si="24"/>
        <v>7.6077077177973962E-2</v>
      </c>
      <c r="F169">
        <f t="shared" si="25"/>
        <v>0.53032111147957228</v>
      </c>
      <c r="G169">
        <f t="shared" si="28"/>
        <v>-4.9999999999998934E-3</v>
      </c>
      <c r="H169">
        <f>IF(MOD(COUNTA($C$7:C169)-1,$J$2),H168,ROUND(F169*P169,-2))</f>
        <v>5300</v>
      </c>
      <c r="I169">
        <f t="shared" si="29"/>
        <v>0</v>
      </c>
      <c r="J169">
        <f t="shared" si="30"/>
        <v>0</v>
      </c>
      <c r="K169">
        <f t="shared" si="31"/>
        <v>-10548.645954458063</v>
      </c>
      <c r="L169">
        <f t="shared" si="32"/>
        <v>1095.4540455419374</v>
      </c>
      <c r="M169">
        <f t="shared" si="33"/>
        <v>-26.5</v>
      </c>
      <c r="N169">
        <f t="shared" si="35"/>
        <v>1095.4540455419374</v>
      </c>
      <c r="O169" s="5">
        <f t="shared" si="26"/>
        <v>0.11796234735084843</v>
      </c>
      <c r="P169">
        <f t="shared" si="34"/>
        <v>10000</v>
      </c>
      <c r="Q169">
        <f t="shared" si="27"/>
        <v>1179.6234735084843</v>
      </c>
    </row>
    <row r="170" spans="1:17" x14ac:dyDescent="0.15">
      <c r="A170" s="10">
        <v>45870.465277777985</v>
      </c>
      <c r="B170">
        <f>COUNT(A170:$A$1158)/(48*252)</f>
        <v>8.1762566137566134E-2</v>
      </c>
      <c r="C170">
        <v>2.2000000000000002</v>
      </c>
      <c r="D170">
        <v>8.4000000000000005E-2</v>
      </c>
      <c r="E170">
        <f t="shared" si="24"/>
        <v>8.6057709690571027E-2</v>
      </c>
      <c r="F170">
        <f t="shared" si="25"/>
        <v>0.53428972918377093</v>
      </c>
      <c r="G170">
        <f t="shared" si="28"/>
        <v>3.0000000000001137E-3</v>
      </c>
      <c r="H170">
        <f>IF(MOD(COUNTA($C$7:C170)-1,$J$2),H169,ROUND(F170*P170,-2))</f>
        <v>5300</v>
      </c>
      <c r="I170">
        <f t="shared" si="29"/>
        <v>0</v>
      </c>
      <c r="J170">
        <f t="shared" si="30"/>
        <v>0</v>
      </c>
      <c r="K170">
        <f t="shared" si="31"/>
        <v>-10548.645954458063</v>
      </c>
      <c r="L170">
        <f t="shared" si="32"/>
        <v>1111.3540455419388</v>
      </c>
      <c r="M170">
        <f t="shared" si="33"/>
        <v>15.900000000001455</v>
      </c>
      <c r="N170">
        <f t="shared" si="35"/>
        <v>1111.3540455419388</v>
      </c>
      <c r="O170" s="5">
        <f t="shared" si="26"/>
        <v>0.11650198825894975</v>
      </c>
      <c r="P170">
        <f t="shared" si="34"/>
        <v>10000</v>
      </c>
      <c r="Q170">
        <f t="shared" si="27"/>
        <v>1165.0198825894975</v>
      </c>
    </row>
    <row r="171" spans="1:17" x14ac:dyDescent="0.15">
      <c r="A171" s="10">
        <v>45870.46875</v>
      </c>
      <c r="B171">
        <f>COUNT(A171:$A$1158)/(48*252)</f>
        <v>8.1679894179894186E-2</v>
      </c>
      <c r="C171">
        <v>2.198</v>
      </c>
      <c r="D171">
        <v>8.4000000000000005E-2</v>
      </c>
      <c r="E171">
        <f t="shared" si="24"/>
        <v>7.9326199724475216E-2</v>
      </c>
      <c r="F171">
        <f t="shared" si="25"/>
        <v>0.53161341620283864</v>
      </c>
      <c r="G171">
        <f t="shared" si="28"/>
        <v>-2.0000000000002238E-3</v>
      </c>
      <c r="H171">
        <f>IF(MOD(COUNTA($C$7:C171)-1,$J$2),H170,ROUND(F171*P171,-2))</f>
        <v>5300</v>
      </c>
      <c r="I171">
        <f t="shared" si="29"/>
        <v>0</v>
      </c>
      <c r="J171">
        <f t="shared" si="30"/>
        <v>0</v>
      </c>
      <c r="K171">
        <f t="shared" si="31"/>
        <v>-10548.645954458063</v>
      </c>
      <c r="L171">
        <f t="shared" si="32"/>
        <v>1100.7540455419366</v>
      </c>
      <c r="M171">
        <f t="shared" si="33"/>
        <v>-10.600000000002183</v>
      </c>
      <c r="N171">
        <f t="shared" si="35"/>
        <v>1100.7540455419366</v>
      </c>
      <c r="O171" s="5">
        <f t="shared" si="26"/>
        <v>0.11737876762551913</v>
      </c>
      <c r="P171">
        <f t="shared" si="34"/>
        <v>10000</v>
      </c>
      <c r="Q171">
        <f t="shared" si="27"/>
        <v>1173.7876762551914</v>
      </c>
    </row>
    <row r="172" spans="1:17" x14ac:dyDescent="0.15">
      <c r="A172" s="10">
        <v>45870.472222222015</v>
      </c>
      <c r="B172">
        <f>COUNT(A172:$A$1158)/(48*252)</f>
        <v>8.1597222222222224E-2</v>
      </c>
      <c r="C172">
        <v>2.194</v>
      </c>
      <c r="D172">
        <v>8.2000000000000003E-2</v>
      </c>
      <c r="E172">
        <f t="shared" si="24"/>
        <v>6.5878229418665307E-2</v>
      </c>
      <c r="F172">
        <f t="shared" si="25"/>
        <v>0.52626261333471724</v>
      </c>
      <c r="G172">
        <f t="shared" si="28"/>
        <v>-4.0000000000000036E-3</v>
      </c>
      <c r="H172">
        <f>IF(MOD(COUNTA($C$7:C172)-1,$J$2),H171,ROUND(F172*P172,-2))</f>
        <v>5300</v>
      </c>
      <c r="I172">
        <f t="shared" si="29"/>
        <v>0</v>
      </c>
      <c r="J172">
        <f t="shared" si="30"/>
        <v>0</v>
      </c>
      <c r="K172">
        <f t="shared" si="31"/>
        <v>-10548.645954458063</v>
      </c>
      <c r="L172">
        <f t="shared" si="32"/>
        <v>1079.5540455419359</v>
      </c>
      <c r="M172">
        <f t="shared" si="33"/>
        <v>-21.200000000000728</v>
      </c>
      <c r="N172">
        <f t="shared" si="35"/>
        <v>1079.5540455419359</v>
      </c>
      <c r="O172" s="5">
        <f t="shared" si="26"/>
        <v>0.11920571902835575</v>
      </c>
      <c r="P172">
        <f t="shared" si="34"/>
        <v>10000</v>
      </c>
      <c r="Q172">
        <f t="shared" si="27"/>
        <v>1192.0571902835575</v>
      </c>
    </row>
    <row r="173" spans="1:17" x14ac:dyDescent="0.15">
      <c r="A173" s="10">
        <v>45870.475694444962</v>
      </c>
      <c r="B173">
        <f>COUNT(A173:$A$1158)/(48*252)</f>
        <v>8.1514550264550262E-2</v>
      </c>
      <c r="C173">
        <v>2.1880000000000002</v>
      </c>
      <c r="D173">
        <v>8.1000000000000003E-2</v>
      </c>
      <c r="E173">
        <f t="shared" si="24"/>
        <v>4.5666822410236077E-2</v>
      </c>
      <c r="F173">
        <f t="shared" si="25"/>
        <v>0.5182120959555625</v>
      </c>
      <c r="G173">
        <f t="shared" si="28"/>
        <v>-5.9999999999997833E-3</v>
      </c>
      <c r="H173">
        <f>IF(MOD(COUNTA($C$7:C173)-1,$J$2),H172,ROUND(F173*P173,-2))</f>
        <v>5300</v>
      </c>
      <c r="I173">
        <f t="shared" si="29"/>
        <v>0</v>
      </c>
      <c r="J173">
        <f t="shared" si="30"/>
        <v>0</v>
      </c>
      <c r="K173">
        <f t="shared" si="31"/>
        <v>-10548.645954458063</v>
      </c>
      <c r="L173">
        <f t="shared" si="32"/>
        <v>1047.7540455419385</v>
      </c>
      <c r="M173">
        <f t="shared" si="33"/>
        <v>-31.799999999997453</v>
      </c>
      <c r="N173">
        <f t="shared" si="35"/>
        <v>1047.7540455419385</v>
      </c>
      <c r="O173" s="5">
        <f t="shared" si="26"/>
        <v>0.12201506406918528</v>
      </c>
      <c r="P173">
        <f t="shared" si="34"/>
        <v>10000</v>
      </c>
      <c r="Q173">
        <f t="shared" si="27"/>
        <v>1220.1506406918527</v>
      </c>
    </row>
    <row r="174" spans="1:17" x14ac:dyDescent="0.15">
      <c r="A174" s="10">
        <v>45870.479166666977</v>
      </c>
      <c r="B174">
        <f>COUNT(A174:$A$1158)/(48*252)</f>
        <v>8.1431878306878314E-2</v>
      </c>
      <c r="C174">
        <v>2.1840000000000002</v>
      </c>
      <c r="D174">
        <v>8.1000000000000003E-2</v>
      </c>
      <c r="E174">
        <f t="shared" si="24"/>
        <v>3.2126799222770883E-2</v>
      </c>
      <c r="F174">
        <f t="shared" si="25"/>
        <v>0.51281453412588007</v>
      </c>
      <c r="G174">
        <f t="shared" si="28"/>
        <v>-4.0000000000000036E-3</v>
      </c>
      <c r="H174">
        <f>IF(MOD(COUNTA($C$7:C174)-1,$J$2),H173,ROUND(F174*P174,-2))</f>
        <v>5300</v>
      </c>
      <c r="I174">
        <f t="shared" si="29"/>
        <v>0</v>
      </c>
      <c r="J174">
        <f t="shared" si="30"/>
        <v>0</v>
      </c>
      <c r="K174">
        <f t="shared" si="31"/>
        <v>-10548.645954458063</v>
      </c>
      <c r="L174">
        <f t="shared" si="32"/>
        <v>1026.5540455419377</v>
      </c>
      <c r="M174">
        <f t="shared" si="33"/>
        <v>-21.200000000000728</v>
      </c>
      <c r="N174">
        <f t="shared" si="35"/>
        <v>1026.5540455419377</v>
      </c>
      <c r="O174" s="5">
        <f t="shared" si="26"/>
        <v>0.1238958881187695</v>
      </c>
      <c r="P174">
        <f t="shared" si="34"/>
        <v>10000</v>
      </c>
      <c r="Q174">
        <f t="shared" si="27"/>
        <v>1238.9588811876949</v>
      </c>
    </row>
    <row r="175" spans="1:17" x14ac:dyDescent="0.15">
      <c r="A175" s="10">
        <v>45870.545138888992</v>
      </c>
      <c r="B175">
        <f>COUNT(A175:$A$1158)/(48*252)</f>
        <v>8.1349206349206352E-2</v>
      </c>
      <c r="C175">
        <v>2.1880000000000002</v>
      </c>
      <c r="D175">
        <v>8.2000000000000003E-2</v>
      </c>
      <c r="E175">
        <f t="shared" si="24"/>
        <v>4.5538736889451197E-2</v>
      </c>
      <c r="F175">
        <f t="shared" si="25"/>
        <v>0.51816105033103899</v>
      </c>
      <c r="G175">
        <f t="shared" si="28"/>
        <v>4.0000000000000036E-3</v>
      </c>
      <c r="H175">
        <f>IF(MOD(COUNTA($C$7:C175)-1,$J$2),H174,ROUND(F175*P175,-2))</f>
        <v>5200</v>
      </c>
      <c r="I175">
        <f t="shared" si="29"/>
        <v>-100</v>
      </c>
      <c r="J175">
        <f t="shared" si="30"/>
        <v>0</v>
      </c>
      <c r="K175">
        <f t="shared" si="31"/>
        <v>-10329.855800458065</v>
      </c>
      <c r="L175">
        <f t="shared" si="32"/>
        <v>1047.7441995419358</v>
      </c>
      <c r="M175">
        <f t="shared" si="33"/>
        <v>21.190153999998074</v>
      </c>
      <c r="N175">
        <f t="shared" si="35"/>
        <v>1047.7441995419358</v>
      </c>
      <c r="O175" s="5">
        <f t="shared" si="26"/>
        <v>0.12190069438158702</v>
      </c>
      <c r="P175">
        <f t="shared" si="34"/>
        <v>10000</v>
      </c>
      <c r="Q175">
        <f t="shared" si="27"/>
        <v>1219.0069438158703</v>
      </c>
    </row>
    <row r="176" spans="1:17" x14ac:dyDescent="0.15">
      <c r="A176" s="10">
        <v>45870.548611111008</v>
      </c>
      <c r="B176">
        <f>COUNT(A176:$A$1158)/(48*252)</f>
        <v>8.126653439153439E-2</v>
      </c>
      <c r="C176">
        <v>2.181</v>
      </c>
      <c r="D176">
        <v>7.9000000000000001E-2</v>
      </c>
      <c r="E176">
        <f t="shared" si="24"/>
        <v>2.1851399587904267E-2</v>
      </c>
      <c r="F176">
        <f t="shared" si="25"/>
        <v>0.50871675349147594</v>
      </c>
      <c r="G176">
        <f t="shared" si="28"/>
        <v>-7.0000000000001172E-3</v>
      </c>
      <c r="H176">
        <f>IF(MOD(COUNTA($C$7:C176)-1,$J$2),H175,ROUND(F176*P176,-2))</f>
        <v>5200</v>
      </c>
      <c r="I176">
        <f t="shared" si="29"/>
        <v>0</v>
      </c>
      <c r="J176">
        <f t="shared" si="30"/>
        <v>0</v>
      </c>
      <c r="K176">
        <f t="shared" si="31"/>
        <v>-10329.855800458065</v>
      </c>
      <c r="L176">
        <f t="shared" si="32"/>
        <v>1011.3441995419362</v>
      </c>
      <c r="M176">
        <f t="shared" si="33"/>
        <v>-36.399999999999636</v>
      </c>
      <c r="N176">
        <f t="shared" si="35"/>
        <v>1011.3441995419362</v>
      </c>
      <c r="O176" s="5">
        <f t="shared" si="26"/>
        <v>0.12524945861343117</v>
      </c>
      <c r="P176">
        <f t="shared" si="34"/>
        <v>10000</v>
      </c>
      <c r="Q176">
        <f t="shared" si="27"/>
        <v>1252.4945861343117</v>
      </c>
    </row>
    <row r="177" spans="1:17" x14ac:dyDescent="0.15">
      <c r="A177" s="10">
        <v>45870.552083333023</v>
      </c>
      <c r="B177">
        <f>COUNT(A177:$A$1158)/(48*252)</f>
        <v>8.1183862433862428E-2</v>
      </c>
      <c r="C177">
        <v>2.1829999999999998</v>
      </c>
      <c r="D177">
        <v>0.08</v>
      </c>
      <c r="E177">
        <f t="shared" si="24"/>
        <v>2.8535855632086618E-2</v>
      </c>
      <c r="F177">
        <f t="shared" si="25"/>
        <v>0.51138261449699041</v>
      </c>
      <c r="G177">
        <f t="shared" si="28"/>
        <v>1.9999999999997797E-3</v>
      </c>
      <c r="H177">
        <f>IF(MOD(COUNTA($C$7:C177)-1,$J$2),H176,ROUND(F177*P177,-2))</f>
        <v>5200</v>
      </c>
      <c r="I177">
        <f t="shared" si="29"/>
        <v>0</v>
      </c>
      <c r="J177">
        <f t="shared" si="30"/>
        <v>0</v>
      </c>
      <c r="K177">
        <f t="shared" si="31"/>
        <v>-10329.855800458065</v>
      </c>
      <c r="L177">
        <f t="shared" si="32"/>
        <v>1021.744199541934</v>
      </c>
      <c r="M177">
        <f t="shared" si="33"/>
        <v>10.399999999997817</v>
      </c>
      <c r="N177">
        <f t="shared" si="35"/>
        <v>1021.744199541934</v>
      </c>
      <c r="O177" s="5">
        <f t="shared" si="26"/>
        <v>0.12421246226163984</v>
      </c>
      <c r="P177">
        <f t="shared" si="34"/>
        <v>10000</v>
      </c>
      <c r="Q177">
        <f t="shared" si="27"/>
        <v>1242.1246226163985</v>
      </c>
    </row>
    <row r="178" spans="1:17" x14ac:dyDescent="0.15">
      <c r="A178" s="10">
        <v>45870.555555555969</v>
      </c>
      <c r="B178">
        <f>COUNT(A178:$A$1158)/(48*252)</f>
        <v>8.1101190476190479E-2</v>
      </c>
      <c r="C178">
        <v>2.1850000000000001</v>
      </c>
      <c r="D178">
        <v>8.2000000000000003E-2</v>
      </c>
      <c r="E178">
        <f t="shared" si="24"/>
        <v>3.5220935295329325E-2</v>
      </c>
      <c r="F178">
        <f t="shared" si="25"/>
        <v>0.5140482156825239</v>
      </c>
      <c r="G178">
        <f t="shared" si="28"/>
        <v>2.0000000000002238E-3</v>
      </c>
      <c r="H178">
        <f>IF(MOD(COUNTA($C$7:C178)-1,$J$2),H177,ROUND(F178*P178,-2))</f>
        <v>5200</v>
      </c>
      <c r="I178">
        <f t="shared" si="29"/>
        <v>0</v>
      </c>
      <c r="J178">
        <f t="shared" si="30"/>
        <v>0</v>
      </c>
      <c r="K178">
        <f t="shared" si="31"/>
        <v>-10329.855800458065</v>
      </c>
      <c r="L178">
        <f t="shared" si="32"/>
        <v>1032.1441995419354</v>
      </c>
      <c r="M178">
        <f t="shared" si="33"/>
        <v>10.400000000001455</v>
      </c>
      <c r="N178">
        <f t="shared" si="35"/>
        <v>1032.1441995419354</v>
      </c>
      <c r="O178" s="5">
        <f t="shared" si="26"/>
        <v>0.12318070862611208</v>
      </c>
      <c r="P178">
        <f t="shared" si="34"/>
        <v>10000</v>
      </c>
      <c r="Q178">
        <f t="shared" si="27"/>
        <v>1231.8070862611207</v>
      </c>
    </row>
    <row r="179" spans="1:17" x14ac:dyDescent="0.15">
      <c r="A179" s="10">
        <v>45870.559027777985</v>
      </c>
      <c r="B179">
        <f>COUNT(A179:$A$1158)/(48*252)</f>
        <v>8.1018518518518517E-2</v>
      </c>
      <c r="C179">
        <v>2.1859999999999999</v>
      </c>
      <c r="D179">
        <v>8.2000000000000003E-2</v>
      </c>
      <c r="E179">
        <f t="shared" si="24"/>
        <v>3.8529844125617413E-2</v>
      </c>
      <c r="F179">
        <f t="shared" si="25"/>
        <v>0.51536738151342076</v>
      </c>
      <c r="G179">
        <f t="shared" si="28"/>
        <v>9.9999999999988987E-4</v>
      </c>
      <c r="H179">
        <f>IF(MOD(COUNTA($C$7:C179)-1,$J$2),H178,ROUND(F179*P179,-2))</f>
        <v>5200</v>
      </c>
      <c r="I179">
        <f t="shared" si="29"/>
        <v>0</v>
      </c>
      <c r="J179">
        <f t="shared" si="30"/>
        <v>0</v>
      </c>
      <c r="K179">
        <f t="shared" si="31"/>
        <v>-10329.855800458065</v>
      </c>
      <c r="L179">
        <f t="shared" si="32"/>
        <v>1037.3441995419344</v>
      </c>
      <c r="M179">
        <f t="shared" si="33"/>
        <v>5.1999999999989086</v>
      </c>
      <c r="N179">
        <f t="shared" si="35"/>
        <v>1037.3441995419344</v>
      </c>
      <c r="O179" s="5">
        <f t="shared" si="26"/>
        <v>0.12263815920288823</v>
      </c>
      <c r="P179">
        <f t="shared" si="34"/>
        <v>10000</v>
      </c>
      <c r="Q179">
        <f t="shared" si="27"/>
        <v>1226.3815920288823</v>
      </c>
    </row>
    <row r="180" spans="1:17" x14ac:dyDescent="0.15">
      <c r="A180" s="10">
        <v>45870.5625</v>
      </c>
      <c r="B180">
        <f>COUNT(A180:$A$1158)/(48*252)</f>
        <v>8.0935846560846555E-2</v>
      </c>
      <c r="C180">
        <v>2.1850000000000001</v>
      </c>
      <c r="D180">
        <v>8.2000000000000003E-2</v>
      </c>
      <c r="E180">
        <f t="shared" si="24"/>
        <v>3.5081977078307396E-2</v>
      </c>
      <c r="F180">
        <f t="shared" si="25"/>
        <v>0.51399281361325211</v>
      </c>
      <c r="G180">
        <f t="shared" si="28"/>
        <v>-9.9999999999988987E-4</v>
      </c>
      <c r="H180">
        <f>IF(MOD(COUNTA($C$7:C180)-1,$J$2),H179,ROUND(F180*P180,-2))</f>
        <v>5200</v>
      </c>
      <c r="I180">
        <f t="shared" si="29"/>
        <v>0</v>
      </c>
      <c r="J180">
        <f t="shared" si="30"/>
        <v>0</v>
      </c>
      <c r="K180">
        <f t="shared" si="31"/>
        <v>-10329.855800458065</v>
      </c>
      <c r="L180">
        <f t="shared" si="32"/>
        <v>1032.1441995419354</v>
      </c>
      <c r="M180">
        <f t="shared" si="33"/>
        <v>-5.1999999999989086</v>
      </c>
      <c r="N180">
        <f t="shared" si="35"/>
        <v>1032.1441995419354</v>
      </c>
      <c r="O180" s="5">
        <f t="shared" si="26"/>
        <v>0.12306619088841031</v>
      </c>
      <c r="P180">
        <f t="shared" si="34"/>
        <v>10000</v>
      </c>
      <c r="Q180">
        <f t="shared" si="27"/>
        <v>1230.661908884103</v>
      </c>
    </row>
    <row r="181" spans="1:17" x14ac:dyDescent="0.15">
      <c r="A181" s="10">
        <v>45870.565972222015</v>
      </c>
      <c r="B181">
        <f>COUNT(A181:$A$1158)/(48*252)</f>
        <v>8.0853174603174607E-2</v>
      </c>
      <c r="C181">
        <v>2.1829999999999998</v>
      </c>
      <c r="D181">
        <v>8.2000000000000003E-2</v>
      </c>
      <c r="E181">
        <f t="shared" si="24"/>
        <v>2.8244140208748457E-2</v>
      </c>
      <c r="F181">
        <f t="shared" si="25"/>
        <v>0.51126628377145145</v>
      </c>
      <c r="G181">
        <f t="shared" si="28"/>
        <v>-2.0000000000002238E-3</v>
      </c>
      <c r="H181">
        <f>IF(MOD(COUNTA($C$7:C181)-1,$J$2),H180,ROUND(F181*P181,-2))</f>
        <v>5100</v>
      </c>
      <c r="I181">
        <f t="shared" si="29"/>
        <v>-100</v>
      </c>
      <c r="J181">
        <f t="shared" si="30"/>
        <v>0</v>
      </c>
      <c r="K181">
        <f t="shared" si="31"/>
        <v>-10111.565623958066</v>
      </c>
      <c r="L181">
        <f t="shared" si="32"/>
        <v>1021.7343760419335</v>
      </c>
      <c r="M181">
        <f t="shared" si="33"/>
        <v>-10.409823500001949</v>
      </c>
      <c r="N181">
        <f t="shared" si="35"/>
        <v>1021.7343760419335</v>
      </c>
      <c r="O181" s="5">
        <f t="shared" si="26"/>
        <v>0.12398365382694787</v>
      </c>
      <c r="P181">
        <f t="shared" si="34"/>
        <v>10000</v>
      </c>
      <c r="Q181">
        <f t="shared" si="27"/>
        <v>1239.8365382694788</v>
      </c>
    </row>
    <row r="182" spans="1:17" x14ac:dyDescent="0.15">
      <c r="A182" s="10">
        <v>45870.569444444962</v>
      </c>
      <c r="B182">
        <f>COUNT(A182:$A$1158)/(48*252)</f>
        <v>8.0770502645502645E-2</v>
      </c>
      <c r="C182">
        <v>2.181</v>
      </c>
      <c r="D182">
        <v>8.1000000000000003E-2</v>
      </c>
      <c r="E182">
        <f t="shared" si="24"/>
        <v>2.1393108593003671E-2</v>
      </c>
      <c r="F182">
        <f t="shared" si="25"/>
        <v>0.50853396457238553</v>
      </c>
      <c r="G182">
        <f t="shared" si="28"/>
        <v>-1.9999999999997797E-3</v>
      </c>
      <c r="H182">
        <f>IF(MOD(COUNTA($C$7:C182)-1,$J$2),H181,ROUND(F182*P182,-2))</f>
        <v>5100</v>
      </c>
      <c r="I182">
        <f t="shared" si="29"/>
        <v>0</v>
      </c>
      <c r="J182">
        <f t="shared" si="30"/>
        <v>0</v>
      </c>
      <c r="K182">
        <f t="shared" si="31"/>
        <v>-10111.565623958066</v>
      </c>
      <c r="L182">
        <f t="shared" si="32"/>
        <v>1011.5343760419346</v>
      </c>
      <c r="M182">
        <f t="shared" si="33"/>
        <v>-10.199999999998909</v>
      </c>
      <c r="N182">
        <f t="shared" si="35"/>
        <v>1011.5343760419346</v>
      </c>
      <c r="O182" s="5">
        <f t="shared" si="26"/>
        <v>0.12490660301217327</v>
      </c>
      <c r="P182">
        <f t="shared" si="34"/>
        <v>10000</v>
      </c>
      <c r="Q182">
        <f t="shared" si="27"/>
        <v>1249.0660301217326</v>
      </c>
    </row>
    <row r="183" spans="1:17" x14ac:dyDescent="0.15">
      <c r="A183" s="10">
        <v>45870.572916666977</v>
      </c>
      <c r="B183">
        <f>COUNT(A183:$A$1158)/(48*252)</f>
        <v>8.0687830687830683E-2</v>
      </c>
      <c r="C183">
        <v>2.1880000000000002</v>
      </c>
      <c r="D183">
        <v>8.2000000000000003E-2</v>
      </c>
      <c r="E183">
        <f t="shared" si="24"/>
        <v>4.5024250480345716E-2</v>
      </c>
      <c r="F183">
        <f t="shared" si="25"/>
        <v>0.5179560102682782</v>
      </c>
      <c r="G183">
        <f t="shared" si="28"/>
        <v>7.0000000000001172E-3</v>
      </c>
      <c r="H183">
        <f>IF(MOD(COUNTA($C$7:C183)-1,$J$2),H182,ROUND(F183*P183,-2))</f>
        <v>5100</v>
      </c>
      <c r="I183">
        <f t="shared" si="29"/>
        <v>0</v>
      </c>
      <c r="J183">
        <f t="shared" si="30"/>
        <v>0</v>
      </c>
      <c r="K183">
        <f t="shared" si="31"/>
        <v>-10111.565623958066</v>
      </c>
      <c r="L183">
        <f t="shared" si="32"/>
        <v>1047.2343760419353</v>
      </c>
      <c r="M183">
        <f t="shared" si="33"/>
        <v>35.700000000000728</v>
      </c>
      <c r="N183">
        <f t="shared" si="35"/>
        <v>1047.2343760419353</v>
      </c>
      <c r="O183" s="5">
        <f t="shared" si="26"/>
        <v>0.12144198252136196</v>
      </c>
      <c r="P183">
        <f t="shared" si="34"/>
        <v>10000</v>
      </c>
      <c r="Q183">
        <f t="shared" si="27"/>
        <v>1214.4198252136196</v>
      </c>
    </row>
    <row r="184" spans="1:17" x14ac:dyDescent="0.15">
      <c r="A184" s="10">
        <v>45870.576388888992</v>
      </c>
      <c r="B184">
        <f>COUNT(A184:$A$1158)/(48*252)</f>
        <v>8.0605158730158735E-2</v>
      </c>
      <c r="C184">
        <v>2.194</v>
      </c>
      <c r="D184">
        <v>8.3000000000000004E-2</v>
      </c>
      <c r="E184">
        <f t="shared" si="24"/>
        <v>6.523074570077067E-2</v>
      </c>
      <c r="F184">
        <f t="shared" si="25"/>
        <v>0.52600485913896811</v>
      </c>
      <c r="G184">
        <f t="shared" si="28"/>
        <v>5.9999999999997833E-3</v>
      </c>
      <c r="H184">
        <f>IF(MOD(COUNTA($C$7:C184)-1,$J$2),H183,ROUND(F184*P184,-2))</f>
        <v>5100</v>
      </c>
      <c r="I184">
        <f t="shared" si="29"/>
        <v>0</v>
      </c>
      <c r="J184">
        <f t="shared" si="30"/>
        <v>0</v>
      </c>
      <c r="K184">
        <f t="shared" si="31"/>
        <v>-10111.565623958066</v>
      </c>
      <c r="L184">
        <f t="shared" si="32"/>
        <v>1077.8343760419339</v>
      </c>
      <c r="M184">
        <f t="shared" si="33"/>
        <v>30.599999999998545</v>
      </c>
      <c r="N184">
        <f t="shared" si="35"/>
        <v>1077.8343760419339</v>
      </c>
      <c r="O184" s="5">
        <f t="shared" si="26"/>
        <v>0.11851632502896781</v>
      </c>
      <c r="P184">
        <f t="shared" si="34"/>
        <v>10000</v>
      </c>
      <c r="Q184">
        <f t="shared" si="27"/>
        <v>1185.163250289678</v>
      </c>
    </row>
    <row r="185" spans="1:17" x14ac:dyDescent="0.15">
      <c r="A185" s="10">
        <v>45870.579861111008</v>
      </c>
      <c r="B185">
        <f>COUNT(A185:$A$1158)/(48*252)</f>
        <v>8.0522486772486773E-2</v>
      </c>
      <c r="C185">
        <v>2.1930000000000001</v>
      </c>
      <c r="D185">
        <v>8.3000000000000004E-2</v>
      </c>
      <c r="E185">
        <f t="shared" si="24"/>
        <v>6.1800153298547156E-2</v>
      </c>
      <c r="F185">
        <f t="shared" si="25"/>
        <v>0.52463900929595186</v>
      </c>
      <c r="G185">
        <f t="shared" si="28"/>
        <v>-9.9999999999988987E-4</v>
      </c>
      <c r="H185">
        <f>IF(MOD(COUNTA($C$7:C185)-1,$J$2),H184,ROUND(F185*P185,-2))</f>
        <v>5100</v>
      </c>
      <c r="I185">
        <f t="shared" si="29"/>
        <v>0</v>
      </c>
      <c r="J185">
        <f t="shared" si="30"/>
        <v>0</v>
      </c>
      <c r="K185">
        <f t="shared" si="31"/>
        <v>-10111.565623958066</v>
      </c>
      <c r="L185">
        <f t="shared" si="32"/>
        <v>1072.7343760419353</v>
      </c>
      <c r="M185">
        <f t="shared" si="33"/>
        <v>-5.0999999999985448</v>
      </c>
      <c r="N185">
        <f t="shared" si="35"/>
        <v>1072.7343760419353</v>
      </c>
      <c r="O185" s="5">
        <f t="shared" si="26"/>
        <v>0.11893336218904005</v>
      </c>
      <c r="P185">
        <f t="shared" si="34"/>
        <v>10000</v>
      </c>
      <c r="Q185">
        <f t="shared" si="27"/>
        <v>1189.3336218904005</v>
      </c>
    </row>
    <row r="186" spans="1:17" x14ac:dyDescent="0.15">
      <c r="A186" s="10">
        <v>45870.583333333023</v>
      </c>
      <c r="B186">
        <f>COUNT(A186:$A$1158)/(48*252)</f>
        <v>8.0439814814814811E-2</v>
      </c>
      <c r="C186">
        <v>2.1930000000000001</v>
      </c>
      <c r="D186">
        <v>8.3000000000000004E-2</v>
      </c>
      <c r="E186">
        <f t="shared" si="24"/>
        <v>6.1744175281170641E-2</v>
      </c>
      <c r="F186">
        <f t="shared" si="25"/>
        <v>0.52461671986465286</v>
      </c>
      <c r="G186">
        <f t="shared" si="28"/>
        <v>0</v>
      </c>
      <c r="H186">
        <f>IF(MOD(COUNTA($C$7:C186)-1,$J$2),H185,ROUND(F186*P186,-2))</f>
        <v>5100</v>
      </c>
      <c r="I186">
        <f t="shared" si="29"/>
        <v>0</v>
      </c>
      <c r="J186">
        <f t="shared" si="30"/>
        <v>0</v>
      </c>
      <c r="K186">
        <f t="shared" si="31"/>
        <v>-10111.565623958066</v>
      </c>
      <c r="L186">
        <f t="shared" si="32"/>
        <v>1072.7343760419353</v>
      </c>
      <c r="M186">
        <f t="shared" si="33"/>
        <v>0</v>
      </c>
      <c r="N186">
        <f t="shared" si="35"/>
        <v>1072.7343760419353</v>
      </c>
      <c r="O186" s="5">
        <f t="shared" si="26"/>
        <v>0.11887570119302704</v>
      </c>
      <c r="P186">
        <f t="shared" si="34"/>
        <v>10000</v>
      </c>
      <c r="Q186">
        <f t="shared" si="27"/>
        <v>1188.7570119302704</v>
      </c>
    </row>
    <row r="187" spans="1:17" x14ac:dyDescent="0.15">
      <c r="A187" s="10">
        <v>45870.586805555969</v>
      </c>
      <c r="B187">
        <f>COUNT(A187:$A$1158)/(48*252)</f>
        <v>8.0357142857142863E-2</v>
      </c>
      <c r="C187">
        <v>2.1869999999999998</v>
      </c>
      <c r="D187">
        <v>0.08</v>
      </c>
      <c r="E187">
        <f t="shared" si="24"/>
        <v>4.1376578014118093E-2</v>
      </c>
      <c r="F187">
        <f t="shared" si="25"/>
        <v>0.51650215757990492</v>
      </c>
      <c r="G187">
        <f t="shared" si="28"/>
        <v>-6.0000000000002274E-3</v>
      </c>
      <c r="H187">
        <f>IF(MOD(COUNTA($C$7:C187)-1,$J$2),H186,ROUND(F187*P187,-2))</f>
        <v>5200</v>
      </c>
      <c r="I187">
        <f t="shared" si="29"/>
        <v>100</v>
      </c>
      <c r="J187">
        <f t="shared" si="30"/>
        <v>0</v>
      </c>
      <c r="K187">
        <f t="shared" si="31"/>
        <v>-10330.275465458066</v>
      </c>
      <c r="L187">
        <f t="shared" si="32"/>
        <v>1042.1245345419338</v>
      </c>
      <c r="M187">
        <f t="shared" si="33"/>
        <v>-30.609841500001494</v>
      </c>
      <c r="N187">
        <f t="shared" si="35"/>
        <v>1042.1245345419338</v>
      </c>
      <c r="O187" s="5">
        <f t="shared" si="26"/>
        <v>0.1216947038121583</v>
      </c>
      <c r="P187">
        <f t="shared" si="34"/>
        <v>10000</v>
      </c>
      <c r="Q187">
        <f t="shared" si="27"/>
        <v>1216.9470381215831</v>
      </c>
    </row>
    <row r="188" spans="1:17" x14ac:dyDescent="0.15">
      <c r="A188" s="10">
        <v>45870.590277777985</v>
      </c>
      <c r="B188">
        <f>COUNT(A188:$A$1158)/(48*252)</f>
        <v>8.0274470899470901E-2</v>
      </c>
      <c r="C188">
        <v>2.1869999999999998</v>
      </c>
      <c r="D188">
        <v>0.08</v>
      </c>
      <c r="E188">
        <f t="shared" si="24"/>
        <v>4.1310061006367207E-2</v>
      </c>
      <c r="F188">
        <f t="shared" si="25"/>
        <v>0.51647564380244093</v>
      </c>
      <c r="G188">
        <f t="shared" si="28"/>
        <v>0</v>
      </c>
      <c r="H188">
        <f>IF(MOD(COUNTA($C$7:C188)-1,$J$2),H187,ROUND(F188*P188,-2))</f>
        <v>5200</v>
      </c>
      <c r="I188">
        <f t="shared" si="29"/>
        <v>0</v>
      </c>
      <c r="J188">
        <f t="shared" si="30"/>
        <v>0</v>
      </c>
      <c r="K188">
        <f t="shared" si="31"/>
        <v>-10330.275465458066</v>
      </c>
      <c r="L188">
        <f t="shared" si="32"/>
        <v>1042.1245345419338</v>
      </c>
      <c r="M188">
        <f t="shared" si="33"/>
        <v>0</v>
      </c>
      <c r="N188">
        <f t="shared" si="35"/>
        <v>1042.1245345419338</v>
      </c>
      <c r="O188" s="5">
        <f t="shared" si="26"/>
        <v>0.12163712657176595</v>
      </c>
      <c r="P188">
        <f t="shared" si="34"/>
        <v>10000</v>
      </c>
      <c r="Q188">
        <f t="shared" si="27"/>
        <v>1216.3712657176595</v>
      </c>
    </row>
    <row r="189" spans="1:17" x14ac:dyDescent="0.15">
      <c r="A189" s="10">
        <v>45870.59375</v>
      </c>
      <c r="B189">
        <f>COUNT(A189:$A$1158)/(48*252)</f>
        <v>8.0191798941798939E-2</v>
      </c>
      <c r="C189">
        <v>2.1909999999999998</v>
      </c>
      <c r="D189">
        <v>8.1000000000000003E-2</v>
      </c>
      <c r="E189">
        <f t="shared" si="24"/>
        <v>5.4804678697385818E-2</v>
      </c>
      <c r="F189">
        <f t="shared" si="25"/>
        <v>0.52185296352735699</v>
      </c>
      <c r="G189">
        <f t="shared" si="28"/>
        <v>4.0000000000000036E-3</v>
      </c>
      <c r="H189">
        <f>IF(MOD(COUNTA($C$7:C189)-1,$J$2),H188,ROUND(F189*P189,-2))</f>
        <v>5200</v>
      </c>
      <c r="I189">
        <f t="shared" si="29"/>
        <v>0</v>
      </c>
      <c r="J189">
        <f t="shared" si="30"/>
        <v>0</v>
      </c>
      <c r="K189">
        <f t="shared" si="31"/>
        <v>-10330.275465458066</v>
      </c>
      <c r="L189">
        <f t="shared" si="32"/>
        <v>1062.9245345419331</v>
      </c>
      <c r="M189">
        <f t="shared" si="33"/>
        <v>20.799999999999272</v>
      </c>
      <c r="N189">
        <f t="shared" si="35"/>
        <v>1062.9245345419331</v>
      </c>
      <c r="O189" s="5">
        <f t="shared" si="26"/>
        <v>0.11965612660939184</v>
      </c>
      <c r="P189">
        <f t="shared" si="34"/>
        <v>10000</v>
      </c>
      <c r="Q189">
        <f t="shared" si="27"/>
        <v>1196.5612660939184</v>
      </c>
    </row>
    <row r="190" spans="1:17" x14ac:dyDescent="0.15">
      <c r="A190" s="10">
        <v>45870.597222222015</v>
      </c>
      <c r="B190">
        <f>COUNT(A190:$A$1158)/(48*252)</f>
        <v>8.0109126984126991E-2</v>
      </c>
      <c r="C190">
        <v>2.1949999999999998</v>
      </c>
      <c r="D190">
        <v>8.4000000000000005E-2</v>
      </c>
      <c r="E190">
        <f t="shared" si="24"/>
        <v>6.828848192256394E-2</v>
      </c>
      <c r="F190">
        <f t="shared" si="25"/>
        <v>0.52722200359000282</v>
      </c>
      <c r="G190">
        <f t="shared" si="28"/>
        <v>4.0000000000000036E-3</v>
      </c>
      <c r="H190">
        <f>IF(MOD(COUNTA($C$7:C190)-1,$J$2),H189,ROUND(F190*P190,-2))</f>
        <v>5200</v>
      </c>
      <c r="I190">
        <f t="shared" si="29"/>
        <v>0</v>
      </c>
      <c r="J190">
        <f t="shared" si="30"/>
        <v>0</v>
      </c>
      <c r="K190">
        <f t="shared" si="31"/>
        <v>-10330.275465458066</v>
      </c>
      <c r="L190">
        <f t="shared" si="32"/>
        <v>1083.7245345419342</v>
      </c>
      <c r="M190">
        <f t="shared" si="33"/>
        <v>20.800000000001091</v>
      </c>
      <c r="N190">
        <f t="shared" si="35"/>
        <v>1083.7245345419342</v>
      </c>
      <c r="O190" s="5">
        <f t="shared" si="26"/>
        <v>0.11769649323421549</v>
      </c>
      <c r="P190">
        <f t="shared" si="34"/>
        <v>10000</v>
      </c>
      <c r="Q190">
        <f t="shared" si="27"/>
        <v>1176.964932342155</v>
      </c>
    </row>
    <row r="191" spans="1:17" x14ac:dyDescent="0.15">
      <c r="A191" s="10">
        <v>45870.600694444962</v>
      </c>
      <c r="B191">
        <f>COUNT(A191:$A$1158)/(48*252)</f>
        <v>8.0026455026455029E-2</v>
      </c>
      <c r="C191">
        <v>2.1989999999999998</v>
      </c>
      <c r="D191">
        <v>8.5000000000000006E-2</v>
      </c>
      <c r="E191">
        <f t="shared" si="24"/>
        <v>8.1761554892669994E-2</v>
      </c>
      <c r="F191">
        <f t="shared" si="25"/>
        <v>0.53258183578663543</v>
      </c>
      <c r="G191">
        <f t="shared" si="28"/>
        <v>4.0000000000000036E-3</v>
      </c>
      <c r="H191">
        <f>IF(MOD(COUNTA($C$7:C191)-1,$J$2),H190,ROUND(F191*P191,-2))</f>
        <v>5200</v>
      </c>
      <c r="I191">
        <f t="shared" si="29"/>
        <v>0</v>
      </c>
      <c r="J191">
        <f t="shared" si="30"/>
        <v>0</v>
      </c>
      <c r="K191">
        <f t="shared" si="31"/>
        <v>-10330.275465458066</v>
      </c>
      <c r="L191">
        <f t="shared" si="32"/>
        <v>1104.5245345419335</v>
      </c>
      <c r="M191">
        <f t="shared" si="33"/>
        <v>20.799999999999272</v>
      </c>
      <c r="N191">
        <f t="shared" si="35"/>
        <v>1104.5245345419335</v>
      </c>
      <c r="O191" s="5">
        <f t="shared" si="26"/>
        <v>0.1157582024832593</v>
      </c>
      <c r="P191">
        <f t="shared" si="34"/>
        <v>10000</v>
      </c>
      <c r="Q191">
        <f t="shared" si="27"/>
        <v>1157.5820248325929</v>
      </c>
    </row>
    <row r="192" spans="1:17" x14ac:dyDescent="0.15">
      <c r="A192" s="10">
        <v>45870.604166666977</v>
      </c>
      <c r="B192">
        <f>COUNT(A192:$A$1158)/(48*252)</f>
        <v>7.9943783068783067E-2</v>
      </c>
      <c r="C192">
        <v>2.1909999999999998</v>
      </c>
      <c r="D192">
        <v>8.2000000000000003E-2</v>
      </c>
      <c r="E192">
        <f t="shared" si="24"/>
        <v>5.4625627888864554E-2</v>
      </c>
      <c r="F192">
        <f t="shared" si="25"/>
        <v>0.52178163943272127</v>
      </c>
      <c r="G192">
        <f t="shared" si="28"/>
        <v>-8.0000000000000071E-3</v>
      </c>
      <c r="H192">
        <f>IF(MOD(COUNTA($C$7:C192)-1,$J$2),H191,ROUND(F192*P192,-2))</f>
        <v>5200</v>
      </c>
      <c r="I192">
        <f t="shared" si="29"/>
        <v>0</v>
      </c>
      <c r="J192">
        <f t="shared" si="30"/>
        <v>0</v>
      </c>
      <c r="K192">
        <f t="shared" si="31"/>
        <v>-10330.275465458066</v>
      </c>
      <c r="L192">
        <f t="shared" si="32"/>
        <v>1062.9245345419331</v>
      </c>
      <c r="M192">
        <f t="shared" si="33"/>
        <v>-41.600000000000364</v>
      </c>
      <c r="N192">
        <f t="shared" si="35"/>
        <v>1062.9245345419331</v>
      </c>
      <c r="O192" s="5">
        <f t="shared" si="26"/>
        <v>0.11948281031433439</v>
      </c>
      <c r="P192">
        <f t="shared" si="34"/>
        <v>10000</v>
      </c>
      <c r="Q192">
        <f t="shared" si="27"/>
        <v>1194.8281031433439</v>
      </c>
    </row>
    <row r="193" spans="1:17" x14ac:dyDescent="0.15">
      <c r="A193" s="10">
        <v>45870.607638888992</v>
      </c>
      <c r="B193">
        <f>COUNT(A193:$A$1158)/(48*252)</f>
        <v>7.9861111111111105E-2</v>
      </c>
      <c r="C193">
        <v>2.194</v>
      </c>
      <c r="D193">
        <v>8.2000000000000003E-2</v>
      </c>
      <c r="E193">
        <f t="shared" si="24"/>
        <v>6.4741509101967493E-2</v>
      </c>
      <c r="F193">
        <f t="shared" si="25"/>
        <v>0.525810093677477</v>
      </c>
      <c r="G193">
        <f t="shared" si="28"/>
        <v>3.0000000000001137E-3</v>
      </c>
      <c r="H193">
        <f>IF(MOD(COUNTA($C$7:C193)-1,$J$2),H192,ROUND(F193*P193,-2))</f>
        <v>5300</v>
      </c>
      <c r="I193">
        <f t="shared" si="29"/>
        <v>100</v>
      </c>
      <c r="J193">
        <f t="shared" si="30"/>
        <v>0</v>
      </c>
      <c r="K193">
        <f t="shared" si="31"/>
        <v>-10549.685338458066</v>
      </c>
      <c r="L193">
        <f t="shared" si="32"/>
        <v>1078.5146615419326</v>
      </c>
      <c r="M193">
        <f t="shared" si="33"/>
        <v>15.590126999999484</v>
      </c>
      <c r="N193">
        <f t="shared" si="35"/>
        <v>1078.5146615419326</v>
      </c>
      <c r="O193" s="5">
        <f t="shared" si="26"/>
        <v>0.11799632895228362</v>
      </c>
      <c r="P193">
        <f t="shared" si="34"/>
        <v>10000</v>
      </c>
      <c r="Q193">
        <f t="shared" si="27"/>
        <v>1179.9632895228362</v>
      </c>
    </row>
    <row r="194" spans="1:17" x14ac:dyDescent="0.15">
      <c r="A194" s="10">
        <v>45870.611111111008</v>
      </c>
      <c r="B194">
        <f>COUNT(A194:$A$1158)/(48*252)</f>
        <v>7.9778439153439157E-2</v>
      </c>
      <c r="C194">
        <v>2.1890000000000001</v>
      </c>
      <c r="D194">
        <v>8.1000000000000003E-2</v>
      </c>
      <c r="E194">
        <f t="shared" si="24"/>
        <v>4.7710990738213853E-2</v>
      </c>
      <c r="F194">
        <f t="shared" si="25"/>
        <v>0.51902671263143019</v>
      </c>
      <c r="G194">
        <f t="shared" si="28"/>
        <v>-4.9999999999998934E-3</v>
      </c>
      <c r="H194">
        <f>IF(MOD(COUNTA($C$7:C194)-1,$J$2),H193,ROUND(F194*P194,-2))</f>
        <v>5300</v>
      </c>
      <c r="I194">
        <f t="shared" si="29"/>
        <v>0</v>
      </c>
      <c r="J194">
        <f t="shared" si="30"/>
        <v>0</v>
      </c>
      <c r="K194">
        <f t="shared" si="31"/>
        <v>-10549.685338458066</v>
      </c>
      <c r="L194">
        <f t="shared" si="32"/>
        <v>1052.0146615419344</v>
      </c>
      <c r="M194">
        <f t="shared" si="33"/>
        <v>-26.499999999998181</v>
      </c>
      <c r="N194">
        <f t="shared" si="35"/>
        <v>1052.0146615419344</v>
      </c>
      <c r="O194" s="5">
        <f t="shared" si="26"/>
        <v>0.12032634689440158</v>
      </c>
      <c r="P194">
        <f t="shared" si="34"/>
        <v>10000</v>
      </c>
      <c r="Q194">
        <f t="shared" si="27"/>
        <v>1203.2634689440158</v>
      </c>
    </row>
    <row r="195" spans="1:17" x14ac:dyDescent="0.15">
      <c r="A195" s="10">
        <v>45870.614583333023</v>
      </c>
      <c r="B195">
        <f>COUNT(A195:$A$1158)/(48*252)</f>
        <v>7.9695767195767195E-2</v>
      </c>
      <c r="C195">
        <v>2.1800000000000002</v>
      </c>
      <c r="D195">
        <v>7.6999999999999999E-2</v>
      </c>
      <c r="E195">
        <f t="shared" si="24"/>
        <v>1.6977017618993836E-2</v>
      </c>
      <c r="F195">
        <f t="shared" si="25"/>
        <v>0.5067725247932432</v>
      </c>
      <c r="G195">
        <f t="shared" si="28"/>
        <v>-8.999999999999897E-3</v>
      </c>
      <c r="H195">
        <f>IF(MOD(COUNTA($C$7:C195)-1,$J$2),H194,ROUND(F195*P195,-2))</f>
        <v>5300</v>
      </c>
      <c r="I195">
        <f t="shared" si="29"/>
        <v>0</v>
      </c>
      <c r="J195">
        <f t="shared" si="30"/>
        <v>0</v>
      </c>
      <c r="K195">
        <f t="shared" si="31"/>
        <v>-10549.685338458066</v>
      </c>
      <c r="L195">
        <f t="shared" si="32"/>
        <v>1004.3146615419337</v>
      </c>
      <c r="M195">
        <f t="shared" si="33"/>
        <v>-47.700000000000728</v>
      </c>
      <c r="N195">
        <f t="shared" si="35"/>
        <v>1004.3146615419337</v>
      </c>
      <c r="O195" s="5">
        <f t="shared" si="26"/>
        <v>0.12465246764194871</v>
      </c>
      <c r="P195">
        <f t="shared" si="34"/>
        <v>10000</v>
      </c>
      <c r="Q195">
        <f t="shared" si="27"/>
        <v>1246.5246764194872</v>
      </c>
    </row>
    <row r="196" spans="1:17" x14ac:dyDescent="0.15">
      <c r="A196" s="10">
        <v>45870.618055555969</v>
      </c>
      <c r="B196">
        <f>COUNT(A196:$A$1158)/(48*252)</f>
        <v>7.9613095238095233E-2</v>
      </c>
      <c r="C196">
        <v>2.1829999999999998</v>
      </c>
      <c r="D196">
        <v>7.5999999999999998E-2</v>
      </c>
      <c r="E196">
        <f t="shared" si="24"/>
        <v>2.7140534591055518E-2</v>
      </c>
      <c r="F196">
        <f t="shared" si="25"/>
        <v>0.51082617763546478</v>
      </c>
      <c r="G196">
        <f t="shared" si="28"/>
        <v>2.9999999999996696E-3</v>
      </c>
      <c r="H196">
        <f>IF(MOD(COUNTA($C$7:C196)-1,$J$2),H195,ROUND(F196*P196,-2))</f>
        <v>5300</v>
      </c>
      <c r="I196">
        <f t="shared" si="29"/>
        <v>0</v>
      </c>
      <c r="J196">
        <f t="shared" si="30"/>
        <v>0</v>
      </c>
      <c r="K196">
        <f t="shared" si="31"/>
        <v>-10549.685338458066</v>
      </c>
      <c r="L196">
        <f t="shared" si="32"/>
        <v>1020.2146615419333</v>
      </c>
      <c r="M196">
        <f t="shared" si="33"/>
        <v>15.899999999999636</v>
      </c>
      <c r="N196">
        <f t="shared" si="35"/>
        <v>1020.2146615419333</v>
      </c>
      <c r="O196" s="5">
        <f t="shared" si="26"/>
        <v>0.12312119487480189</v>
      </c>
      <c r="P196">
        <f t="shared" si="34"/>
        <v>10000</v>
      </c>
      <c r="Q196">
        <f t="shared" si="27"/>
        <v>1231.2119487480188</v>
      </c>
    </row>
    <row r="197" spans="1:17" x14ac:dyDescent="0.15">
      <c r="A197" s="10">
        <v>45870.621527777985</v>
      </c>
      <c r="B197">
        <f>COUNT(A197:$A$1158)/(48*252)</f>
        <v>7.9530423280423285E-2</v>
      </c>
      <c r="C197">
        <v>2.1840000000000002</v>
      </c>
      <c r="D197">
        <v>7.5999999999999998E-2</v>
      </c>
      <c r="E197">
        <f t="shared" si="24"/>
        <v>3.0479349803374588E-2</v>
      </c>
      <c r="F197">
        <f t="shared" si="25"/>
        <v>0.51215761890062694</v>
      </c>
      <c r="G197">
        <f t="shared" si="28"/>
        <v>1.000000000000334E-3</v>
      </c>
      <c r="H197">
        <f>IF(MOD(COUNTA($C$7:C197)-1,$J$2),H196,ROUND(F197*P197,-2))</f>
        <v>5300</v>
      </c>
      <c r="I197">
        <f t="shared" si="29"/>
        <v>0</v>
      </c>
      <c r="J197">
        <f t="shared" si="30"/>
        <v>0</v>
      </c>
      <c r="K197">
        <f t="shared" si="31"/>
        <v>-10549.685338458066</v>
      </c>
      <c r="L197">
        <f t="shared" si="32"/>
        <v>1025.5146615419344</v>
      </c>
      <c r="M197">
        <f t="shared" si="33"/>
        <v>5.3000000000010914</v>
      </c>
      <c r="N197">
        <f t="shared" si="35"/>
        <v>1025.5146615419344</v>
      </c>
      <c r="O197" s="5">
        <f t="shared" si="26"/>
        <v>0.12257492368671552</v>
      </c>
      <c r="P197">
        <f t="shared" si="34"/>
        <v>10000</v>
      </c>
      <c r="Q197">
        <f t="shared" si="27"/>
        <v>1225.7492368671551</v>
      </c>
    </row>
    <row r="198" spans="1:17" x14ac:dyDescent="0.15">
      <c r="A198" s="10">
        <v>45870.625</v>
      </c>
      <c r="B198">
        <f>COUNT(A198:$A$1158)/(48*252)</f>
        <v>7.9447751322751323E-2</v>
      </c>
      <c r="C198">
        <v>2.1800000000000002</v>
      </c>
      <c r="D198">
        <v>7.6999999999999999E-2</v>
      </c>
      <c r="E198">
        <f t="shared" si="24"/>
        <v>1.6738675702697763E-2</v>
      </c>
      <c r="F198">
        <f t="shared" si="25"/>
        <v>0.50667745363581884</v>
      </c>
      <c r="G198">
        <f t="shared" si="28"/>
        <v>-4.0000000000000036E-3</v>
      </c>
      <c r="H198">
        <f>IF(MOD(COUNTA($C$7:C198)-1,$J$2),H197,ROUND(F198*P198,-2))</f>
        <v>5300</v>
      </c>
      <c r="I198">
        <f t="shared" si="29"/>
        <v>0</v>
      </c>
      <c r="J198">
        <f t="shared" si="30"/>
        <v>0</v>
      </c>
      <c r="K198">
        <f t="shared" si="31"/>
        <v>-10549.685338458066</v>
      </c>
      <c r="L198">
        <f t="shared" si="32"/>
        <v>1004.3146615419337</v>
      </c>
      <c r="M198">
        <f t="shared" si="33"/>
        <v>-21.200000000000728</v>
      </c>
      <c r="N198">
        <f t="shared" si="35"/>
        <v>1004.3146615419337</v>
      </c>
      <c r="O198" s="5">
        <f t="shared" si="26"/>
        <v>0.12447949811513537</v>
      </c>
      <c r="P198">
        <f t="shared" si="34"/>
        <v>10000</v>
      </c>
      <c r="Q198">
        <f t="shared" si="27"/>
        <v>1244.7949811513536</v>
      </c>
    </row>
    <row r="199" spans="1:17" x14ac:dyDescent="0.15">
      <c r="A199" s="10">
        <v>45871.399305555969</v>
      </c>
      <c r="B199">
        <f>COUNT(A199:$A$1158)/(48*252)</f>
        <v>7.9365079365079361E-2</v>
      </c>
      <c r="C199">
        <v>2.1949999999999998</v>
      </c>
      <c r="D199">
        <v>8.5000000000000006E-2</v>
      </c>
      <c r="E199">
        <f t="shared" si="24"/>
        <v>6.7812963000313004E-2</v>
      </c>
      <c r="F199">
        <f t="shared" si="25"/>
        <v>0.52703273773202253</v>
      </c>
      <c r="G199">
        <f t="shared" si="28"/>
        <v>1.499999999999968E-2</v>
      </c>
      <c r="H199">
        <f>IF(MOD(COUNTA($C$7:C199)-1,$J$2),H198,ROUND(F199*P199,-2))</f>
        <v>5300</v>
      </c>
      <c r="I199">
        <f t="shared" si="29"/>
        <v>0</v>
      </c>
      <c r="J199">
        <f t="shared" si="30"/>
        <v>0</v>
      </c>
      <c r="K199">
        <f t="shared" si="31"/>
        <v>-10549.685338458066</v>
      </c>
      <c r="L199">
        <f t="shared" si="32"/>
        <v>1083.8146615419337</v>
      </c>
      <c r="M199">
        <f t="shared" si="33"/>
        <v>79.5</v>
      </c>
      <c r="N199">
        <f t="shared" si="35"/>
        <v>1083.8146615419337</v>
      </c>
      <c r="O199" s="5">
        <f t="shared" si="26"/>
        <v>0.11717459652143947</v>
      </c>
      <c r="P199">
        <f t="shared" si="34"/>
        <v>10000</v>
      </c>
      <c r="Q199">
        <f t="shared" si="27"/>
        <v>1171.7459652143946</v>
      </c>
    </row>
    <row r="200" spans="1:17" x14ac:dyDescent="0.15">
      <c r="A200" s="10">
        <v>45871.402777777985</v>
      </c>
      <c r="B200">
        <f>COUNT(A200:$A$1158)/(48*252)</f>
        <v>7.9282407407407413E-2</v>
      </c>
      <c r="C200">
        <v>2.194</v>
      </c>
      <c r="D200">
        <v>8.5000000000000006E-2</v>
      </c>
      <c r="E200">
        <f t="shared" ref="E200:E263" si="36">(LN(C200/$B$2)+($B$1+0.5*$D$1*$D$1)*B200)/($D$1*SQRT(B200))</f>
        <v>6.4358804451820115E-2</v>
      </c>
      <c r="F200">
        <f t="shared" ref="F200:F263" si="37">NORMSDIST(E200)</f>
        <v>0.52565773436294461</v>
      </c>
      <c r="G200">
        <f t="shared" si="28"/>
        <v>-9.9999999999988987E-4</v>
      </c>
      <c r="H200">
        <f>IF(MOD(COUNTA($C$7:C200)-1,$J$2),H199,ROUND(F200*P200,-2))</f>
        <v>5300</v>
      </c>
      <c r="I200">
        <f t="shared" si="29"/>
        <v>0</v>
      </c>
      <c r="J200">
        <f t="shared" si="30"/>
        <v>0</v>
      </c>
      <c r="K200">
        <f t="shared" si="31"/>
        <v>-10549.685338458066</v>
      </c>
      <c r="L200">
        <f t="shared" si="32"/>
        <v>1078.5146615419326</v>
      </c>
      <c r="M200">
        <f t="shared" si="33"/>
        <v>-5.3000000000010914</v>
      </c>
      <c r="N200">
        <f t="shared" si="35"/>
        <v>1078.5146615419326</v>
      </c>
      <c r="O200" s="5">
        <f t="shared" ref="O200:O263" si="38">put_bs($B$1,$J$1,C200,$B$2,B200)</f>
        <v>0.11759011380701989</v>
      </c>
      <c r="P200">
        <f t="shared" si="34"/>
        <v>10000</v>
      </c>
      <c r="Q200">
        <f t="shared" ref="Q200:Q263" si="39">P200*O200</f>
        <v>1175.9011380701988</v>
      </c>
    </row>
    <row r="201" spans="1:17" x14ac:dyDescent="0.15">
      <c r="A201" s="10">
        <v>45871.40625</v>
      </c>
      <c r="B201">
        <f>COUNT(A201:$A$1158)/(48*252)</f>
        <v>7.9199735449735451E-2</v>
      </c>
      <c r="C201">
        <v>2.19</v>
      </c>
      <c r="D201">
        <v>8.4000000000000005E-2</v>
      </c>
      <c r="E201">
        <f t="shared" si="36"/>
        <v>5.0676787916831313E-2</v>
      </c>
      <c r="F201">
        <f t="shared" si="37"/>
        <v>0.52020846328183268</v>
      </c>
      <c r="G201">
        <f t="shared" ref="G201:G264" si="40">C201-C200</f>
        <v>-4.0000000000000036E-3</v>
      </c>
      <c r="H201">
        <f>IF(MOD(COUNTA($C$7:C201)-1,$J$2),H200,ROUND(F201*P201,-2))</f>
        <v>5300</v>
      </c>
      <c r="I201">
        <f t="shared" ref="I201:I264" si="41">H201-H200</f>
        <v>0</v>
      </c>
      <c r="J201">
        <f t="shared" ref="J201:J264" si="42">J200</f>
        <v>0</v>
      </c>
      <c r="K201">
        <f t="shared" ref="K201:K264" si="43">K200-I201*C201-ABS(I201*C201*$F$2)</f>
        <v>-10549.685338458066</v>
      </c>
      <c r="L201">
        <f t="shared" ref="L201:L264" si="44">K201+H201*C201</f>
        <v>1057.3146615419337</v>
      </c>
      <c r="M201">
        <f t="shared" ref="M201:M264" si="45">L201-L200</f>
        <v>-21.199999999998909</v>
      </c>
      <c r="N201">
        <f t="shared" si="35"/>
        <v>1057.3146615419337</v>
      </c>
      <c r="O201" s="5">
        <f t="shared" si="38"/>
        <v>0.11944026180287803</v>
      </c>
      <c r="P201">
        <f t="shared" ref="P201:P264" si="46">P200</f>
        <v>10000</v>
      </c>
      <c r="Q201">
        <f t="shared" si="39"/>
        <v>1194.4026180287804</v>
      </c>
    </row>
    <row r="202" spans="1:17" x14ac:dyDescent="0.15">
      <c r="A202" s="10">
        <v>45871.409722222015</v>
      </c>
      <c r="B202">
        <f>COUNT(A202:$A$1158)/(48*252)</f>
        <v>7.9117063492063489E-2</v>
      </c>
      <c r="C202">
        <v>2.1920000000000002</v>
      </c>
      <c r="D202">
        <v>8.4000000000000005E-2</v>
      </c>
      <c r="E202">
        <f t="shared" si="36"/>
        <v>5.7435062375253101E-2</v>
      </c>
      <c r="F202">
        <f t="shared" si="37"/>
        <v>0.52290068332359874</v>
      </c>
      <c r="G202">
        <f t="shared" si="40"/>
        <v>2.0000000000002238E-3</v>
      </c>
      <c r="H202">
        <f>IF(MOD(COUNTA($C$7:C202)-1,$J$2),H201,ROUND(F202*P202,-2))</f>
        <v>5300</v>
      </c>
      <c r="I202">
        <f t="shared" si="41"/>
        <v>0</v>
      </c>
      <c r="J202">
        <f t="shared" si="42"/>
        <v>0</v>
      </c>
      <c r="K202">
        <f t="shared" si="43"/>
        <v>-10549.685338458066</v>
      </c>
      <c r="L202">
        <f t="shared" si="44"/>
        <v>1067.914661541934</v>
      </c>
      <c r="M202">
        <f t="shared" si="45"/>
        <v>10.600000000000364</v>
      </c>
      <c r="N202">
        <f t="shared" ref="N202:N265" si="47">L202-$F$1</f>
        <v>1067.914661541934</v>
      </c>
      <c r="O202" s="5">
        <f t="shared" si="38"/>
        <v>0.11842524926472819</v>
      </c>
      <c r="P202">
        <f t="shared" si="46"/>
        <v>10000</v>
      </c>
      <c r="Q202">
        <f t="shared" si="39"/>
        <v>1184.252492647282</v>
      </c>
    </row>
    <row r="203" spans="1:17" x14ac:dyDescent="0.15">
      <c r="A203" s="10">
        <v>45871.413194444962</v>
      </c>
      <c r="B203">
        <f>COUNT(A203:$A$1158)/(48*252)</f>
        <v>7.903439153439154E-2</v>
      </c>
      <c r="C203">
        <v>2.1960000000000002</v>
      </c>
      <c r="D203">
        <v>8.6999999999999994E-2</v>
      </c>
      <c r="E203">
        <f t="shared" si="36"/>
        <v>7.100558797100251E-2</v>
      </c>
      <c r="F203">
        <f t="shared" si="37"/>
        <v>0.52830334591950612</v>
      </c>
      <c r="G203">
        <f t="shared" si="40"/>
        <v>4.0000000000000036E-3</v>
      </c>
      <c r="H203">
        <f>IF(MOD(COUNTA($C$7:C203)-1,$J$2),H202,ROUND(F203*P203,-2))</f>
        <v>5300</v>
      </c>
      <c r="I203">
        <f t="shared" si="41"/>
        <v>0</v>
      </c>
      <c r="J203">
        <f t="shared" si="42"/>
        <v>0</v>
      </c>
      <c r="K203">
        <f t="shared" si="43"/>
        <v>-10549.685338458066</v>
      </c>
      <c r="L203">
        <f t="shared" si="44"/>
        <v>1089.1146615419348</v>
      </c>
      <c r="M203">
        <f t="shared" si="45"/>
        <v>21.200000000000728</v>
      </c>
      <c r="N203">
        <f t="shared" si="47"/>
        <v>1089.1146615419348</v>
      </c>
      <c r="O203" s="5">
        <f t="shared" si="38"/>
        <v>0.1164694379713902</v>
      </c>
      <c r="P203">
        <f t="shared" si="46"/>
        <v>10000</v>
      </c>
      <c r="Q203">
        <f t="shared" si="39"/>
        <v>1164.694379713902</v>
      </c>
    </row>
    <row r="204" spans="1:17" x14ac:dyDescent="0.15">
      <c r="A204" s="10">
        <v>45871.416666666977</v>
      </c>
      <c r="B204">
        <f>COUNT(A204:$A$1158)/(48*252)</f>
        <v>7.8951719576719578E-2</v>
      </c>
      <c r="C204">
        <v>2.1970000000000001</v>
      </c>
      <c r="D204">
        <v>8.5999999999999993E-2</v>
      </c>
      <c r="E204">
        <f t="shared" si="36"/>
        <v>7.4359355673784072E-2</v>
      </c>
      <c r="F204">
        <f t="shared" si="37"/>
        <v>0.52963777564811365</v>
      </c>
      <c r="G204">
        <f t="shared" si="40"/>
        <v>9.9999999999988987E-4</v>
      </c>
      <c r="H204">
        <f>IF(MOD(COUNTA($C$7:C204)-1,$J$2),H203,ROUND(F204*P204,-2))</f>
        <v>5300</v>
      </c>
      <c r="I204">
        <f t="shared" si="41"/>
        <v>0</v>
      </c>
      <c r="J204">
        <f t="shared" si="42"/>
        <v>0</v>
      </c>
      <c r="K204">
        <f t="shared" si="43"/>
        <v>-10549.685338458066</v>
      </c>
      <c r="L204">
        <f t="shared" si="44"/>
        <v>1094.414661541934</v>
      </c>
      <c r="M204">
        <f t="shared" si="45"/>
        <v>5.2999999999992724</v>
      </c>
      <c r="N204">
        <f t="shared" si="47"/>
        <v>1094.414661541934</v>
      </c>
      <c r="O204" s="5">
        <f t="shared" si="38"/>
        <v>0.11594010105716279</v>
      </c>
      <c r="P204">
        <f t="shared" si="46"/>
        <v>10000</v>
      </c>
      <c r="Q204">
        <f t="shared" si="39"/>
        <v>1159.4010105716279</v>
      </c>
    </row>
    <row r="205" spans="1:17" x14ac:dyDescent="0.15">
      <c r="A205" s="10">
        <v>45871.420138888992</v>
      </c>
      <c r="B205">
        <f>COUNT(A205:$A$1158)/(48*252)</f>
        <v>7.8869047619047616E-2</v>
      </c>
      <c r="C205">
        <v>2.1949999999999998</v>
      </c>
      <c r="D205">
        <v>8.5000000000000006E-2</v>
      </c>
      <c r="E205">
        <f t="shared" si="36"/>
        <v>6.749429698238843E-2</v>
      </c>
      <c r="F205">
        <f t="shared" si="37"/>
        <v>0.52690589898840867</v>
      </c>
      <c r="G205">
        <f t="shared" si="40"/>
        <v>-2.0000000000002238E-3</v>
      </c>
      <c r="H205">
        <f>IF(MOD(COUNTA($C$7:C205)-1,$J$2),H204,ROUND(F205*P205,-2))</f>
        <v>5300</v>
      </c>
      <c r="I205">
        <f t="shared" si="41"/>
        <v>0</v>
      </c>
      <c r="J205">
        <f t="shared" si="42"/>
        <v>0</v>
      </c>
      <c r="K205">
        <f t="shared" si="43"/>
        <v>-10549.685338458066</v>
      </c>
      <c r="L205">
        <f t="shared" si="44"/>
        <v>1083.8146615419337</v>
      </c>
      <c r="M205">
        <f t="shared" si="45"/>
        <v>-10.600000000000364</v>
      </c>
      <c r="N205">
        <f t="shared" si="47"/>
        <v>1083.8146615419337</v>
      </c>
      <c r="O205" s="5">
        <f t="shared" si="38"/>
        <v>0.11682522678134144</v>
      </c>
      <c r="P205">
        <f t="shared" si="46"/>
        <v>10000</v>
      </c>
      <c r="Q205">
        <f t="shared" si="39"/>
        <v>1168.2522678134144</v>
      </c>
    </row>
    <row r="206" spans="1:17" x14ac:dyDescent="0.15">
      <c r="A206" s="10">
        <v>45871.423611111008</v>
      </c>
      <c r="B206">
        <f>COUNT(A206:$A$1158)/(48*252)</f>
        <v>7.8786375661375668E-2</v>
      </c>
      <c r="C206">
        <v>2.1930000000000001</v>
      </c>
      <c r="D206">
        <v>8.5999999999999993E-2</v>
      </c>
      <c r="E206">
        <f t="shared" si="36"/>
        <v>6.0615840943223462E-2</v>
      </c>
      <c r="F206">
        <f t="shared" si="37"/>
        <v>0.52416742126278071</v>
      </c>
      <c r="G206">
        <f t="shared" si="40"/>
        <v>-1.9999999999997797E-3</v>
      </c>
      <c r="H206">
        <f>IF(MOD(COUNTA($C$7:C206)-1,$J$2),H205,ROUND(F206*P206,-2))</f>
        <v>5300</v>
      </c>
      <c r="I206">
        <f t="shared" si="41"/>
        <v>0</v>
      </c>
      <c r="J206">
        <f t="shared" si="42"/>
        <v>0</v>
      </c>
      <c r="K206">
        <f t="shared" si="43"/>
        <v>-10549.685338458066</v>
      </c>
      <c r="L206">
        <f t="shared" si="44"/>
        <v>1073.2146615419333</v>
      </c>
      <c r="M206">
        <f t="shared" si="45"/>
        <v>-10.600000000000364</v>
      </c>
      <c r="N206">
        <f t="shared" si="47"/>
        <v>1073.2146615419333</v>
      </c>
      <c r="O206" s="5">
        <f t="shared" si="38"/>
        <v>0.1177158329281518</v>
      </c>
      <c r="P206">
        <f t="shared" si="46"/>
        <v>10000</v>
      </c>
      <c r="Q206">
        <f t="shared" si="39"/>
        <v>1177.158329281518</v>
      </c>
    </row>
    <row r="207" spans="1:17" x14ac:dyDescent="0.15">
      <c r="A207" s="10">
        <v>45871.427083333023</v>
      </c>
      <c r="B207">
        <f>COUNT(A207:$A$1158)/(48*252)</f>
        <v>7.8703703703703706E-2</v>
      </c>
      <c r="C207">
        <v>2.1930000000000001</v>
      </c>
      <c r="D207">
        <v>8.5000000000000006E-2</v>
      </c>
      <c r="E207">
        <f t="shared" si="36"/>
        <v>6.0558978942735688E-2</v>
      </c>
      <c r="F207">
        <f t="shared" si="37"/>
        <v>0.52414477820426097</v>
      </c>
      <c r="G207">
        <f t="shared" si="40"/>
        <v>0</v>
      </c>
      <c r="H207">
        <f>IF(MOD(COUNTA($C$7:C207)-1,$J$2),H206,ROUND(F207*P207,-2))</f>
        <v>5300</v>
      </c>
      <c r="I207">
        <f t="shared" si="41"/>
        <v>0</v>
      </c>
      <c r="J207">
        <f t="shared" si="42"/>
        <v>0</v>
      </c>
      <c r="K207">
        <f t="shared" si="43"/>
        <v>-10549.685338458066</v>
      </c>
      <c r="L207">
        <f t="shared" si="44"/>
        <v>1073.2146615419333</v>
      </c>
      <c r="M207">
        <f t="shared" si="45"/>
        <v>0</v>
      </c>
      <c r="N207">
        <f t="shared" si="47"/>
        <v>1073.2146615419333</v>
      </c>
      <c r="O207" s="5">
        <f t="shared" si="38"/>
        <v>0.11765750329351565</v>
      </c>
      <c r="P207">
        <f t="shared" si="46"/>
        <v>10000</v>
      </c>
      <c r="Q207">
        <f t="shared" si="39"/>
        <v>1176.5750329351565</v>
      </c>
    </row>
    <row r="208" spans="1:17" x14ac:dyDescent="0.15">
      <c r="A208" s="10">
        <v>45871.430555555969</v>
      </c>
      <c r="B208">
        <f>COUNT(A208:$A$1158)/(48*252)</f>
        <v>7.8621031746031744E-2</v>
      </c>
      <c r="C208">
        <v>2.1909999999999998</v>
      </c>
      <c r="D208">
        <v>8.5000000000000006E-2</v>
      </c>
      <c r="E208">
        <f t="shared" si="36"/>
        <v>5.3663451759326325E-2</v>
      </c>
      <c r="F208">
        <f t="shared" si="37"/>
        <v>0.52139834895335468</v>
      </c>
      <c r="G208">
        <f t="shared" si="40"/>
        <v>-2.0000000000002238E-3</v>
      </c>
      <c r="H208">
        <f>IF(MOD(COUNTA($C$7:C208)-1,$J$2),H207,ROUND(F208*P208,-2))</f>
        <v>5300</v>
      </c>
      <c r="I208">
        <f t="shared" si="41"/>
        <v>0</v>
      </c>
      <c r="J208">
        <f t="shared" si="42"/>
        <v>0</v>
      </c>
      <c r="K208">
        <f t="shared" si="43"/>
        <v>-10549.685338458066</v>
      </c>
      <c r="L208">
        <f t="shared" si="44"/>
        <v>1062.6146615419329</v>
      </c>
      <c r="M208">
        <f t="shared" si="45"/>
        <v>-10.600000000000364</v>
      </c>
      <c r="N208">
        <f t="shared" si="47"/>
        <v>1062.6146615419329</v>
      </c>
      <c r="O208" s="5">
        <f t="shared" si="38"/>
        <v>0.11855362021175497</v>
      </c>
      <c r="P208">
        <f t="shared" si="46"/>
        <v>10000</v>
      </c>
      <c r="Q208">
        <f t="shared" si="39"/>
        <v>1185.5362021175497</v>
      </c>
    </row>
    <row r="209" spans="1:17" x14ac:dyDescent="0.15">
      <c r="A209" s="10">
        <v>45871.434027777985</v>
      </c>
      <c r="B209">
        <f>COUNT(A209:$A$1158)/(48*252)</f>
        <v>7.8538359788359782E-2</v>
      </c>
      <c r="C209">
        <v>2.19</v>
      </c>
      <c r="D209">
        <v>8.4000000000000005E-2</v>
      </c>
      <c r="E209">
        <f t="shared" si="36"/>
        <v>5.0179452503161727E-2</v>
      </c>
      <c r="F209">
        <f t="shared" si="37"/>
        <v>0.52001030727496422</v>
      </c>
      <c r="G209">
        <f t="shared" si="40"/>
        <v>-9.9999999999988987E-4</v>
      </c>
      <c r="H209">
        <f>IF(MOD(COUNTA($C$7:C209)-1,$J$2),H208,ROUND(F209*P209,-2))</f>
        <v>5300</v>
      </c>
      <c r="I209">
        <f t="shared" si="41"/>
        <v>0</v>
      </c>
      <c r="J209">
        <f t="shared" si="42"/>
        <v>0</v>
      </c>
      <c r="K209">
        <f t="shared" si="43"/>
        <v>-10549.685338458066</v>
      </c>
      <c r="L209">
        <f t="shared" si="44"/>
        <v>1057.3146615419337</v>
      </c>
      <c r="M209">
        <f t="shared" si="45"/>
        <v>-5.2999999999992724</v>
      </c>
      <c r="N209">
        <f t="shared" si="47"/>
        <v>1057.3146615419337</v>
      </c>
      <c r="O209" s="5">
        <f t="shared" si="38"/>
        <v>0.11897458020543294</v>
      </c>
      <c r="P209">
        <f t="shared" si="46"/>
        <v>10000</v>
      </c>
      <c r="Q209">
        <f t="shared" si="39"/>
        <v>1189.7458020543295</v>
      </c>
    </row>
    <row r="210" spans="1:17" x14ac:dyDescent="0.15">
      <c r="A210" s="10">
        <v>45871.4375</v>
      </c>
      <c r="B210">
        <f>COUNT(A210:$A$1158)/(48*252)</f>
        <v>7.8455687830687834E-2</v>
      </c>
      <c r="C210">
        <v>2.1909999999999998</v>
      </c>
      <c r="D210">
        <v>8.3000000000000004E-2</v>
      </c>
      <c r="E210">
        <f t="shared" si="36"/>
        <v>5.3542309827460006E-2</v>
      </c>
      <c r="F210">
        <f t="shared" si="37"/>
        <v>0.52135008969556917</v>
      </c>
      <c r="G210">
        <f t="shared" si="40"/>
        <v>9.9999999999988987E-4</v>
      </c>
      <c r="H210">
        <f>IF(MOD(COUNTA($C$7:C210)-1,$J$2),H209,ROUND(F210*P210,-2))</f>
        <v>5300</v>
      </c>
      <c r="I210">
        <f t="shared" si="41"/>
        <v>0</v>
      </c>
      <c r="J210">
        <f t="shared" si="42"/>
        <v>0</v>
      </c>
      <c r="K210">
        <f t="shared" si="43"/>
        <v>-10549.685338458066</v>
      </c>
      <c r="L210">
        <f t="shared" si="44"/>
        <v>1062.6146615419329</v>
      </c>
      <c r="M210">
        <f t="shared" si="45"/>
        <v>5.2999999999992724</v>
      </c>
      <c r="N210">
        <f t="shared" si="47"/>
        <v>1062.6146615419329</v>
      </c>
      <c r="O210" s="5">
        <f t="shared" si="38"/>
        <v>0.11843689242572664</v>
      </c>
      <c r="P210">
        <f t="shared" si="46"/>
        <v>10000</v>
      </c>
      <c r="Q210">
        <f t="shared" si="39"/>
        <v>1184.3689242572664</v>
      </c>
    </row>
    <row r="211" spans="1:17" x14ac:dyDescent="0.15">
      <c r="A211" s="10">
        <v>45871.440972222015</v>
      </c>
      <c r="B211">
        <f>COUNT(A211:$A$1158)/(48*252)</f>
        <v>7.8373015873015872E-2</v>
      </c>
      <c r="C211">
        <v>2.1869999999999998</v>
      </c>
      <c r="D211">
        <v>8.5000000000000006E-2</v>
      </c>
      <c r="E211">
        <f t="shared" si="36"/>
        <v>3.9764019992730611E-2</v>
      </c>
      <c r="F211">
        <f t="shared" si="37"/>
        <v>0.51585936929131826</v>
      </c>
      <c r="G211">
        <f t="shared" si="40"/>
        <v>-4.0000000000000036E-3</v>
      </c>
      <c r="H211">
        <f>IF(MOD(COUNTA($C$7:C211)-1,$J$2),H210,ROUND(F211*P211,-2))</f>
        <v>5200</v>
      </c>
      <c r="I211">
        <f t="shared" si="41"/>
        <v>-100</v>
      </c>
      <c r="J211">
        <f t="shared" si="42"/>
        <v>0</v>
      </c>
      <c r="K211">
        <f t="shared" si="43"/>
        <v>-10330.995179958065</v>
      </c>
      <c r="L211">
        <f t="shared" si="44"/>
        <v>1041.4048200419347</v>
      </c>
      <c r="M211">
        <f t="shared" si="45"/>
        <v>-21.20984149999822</v>
      </c>
      <c r="N211">
        <f t="shared" si="47"/>
        <v>1041.4048200419347</v>
      </c>
      <c r="O211" s="5">
        <f t="shared" si="38"/>
        <v>0.12030410470567832</v>
      </c>
      <c r="P211">
        <f t="shared" si="46"/>
        <v>10000</v>
      </c>
      <c r="Q211">
        <f t="shared" si="39"/>
        <v>1203.0410470567831</v>
      </c>
    </row>
    <row r="212" spans="1:17" x14ac:dyDescent="0.15">
      <c r="A212" s="10">
        <v>45871.444444444962</v>
      </c>
      <c r="B212">
        <f>COUNT(A212:$A$1158)/(48*252)</f>
        <v>7.829034391534391E-2</v>
      </c>
      <c r="C212">
        <v>2.1869999999999998</v>
      </c>
      <c r="D212">
        <v>8.5000000000000006E-2</v>
      </c>
      <c r="E212">
        <f t="shared" si="36"/>
        <v>3.9696085663393436E-2</v>
      </c>
      <c r="F212">
        <f t="shared" si="37"/>
        <v>0.51583228879646703</v>
      </c>
      <c r="G212">
        <f t="shared" si="40"/>
        <v>0</v>
      </c>
      <c r="H212">
        <f>IF(MOD(COUNTA($C$7:C212)-1,$J$2),H211,ROUND(F212*P212,-2))</f>
        <v>5200</v>
      </c>
      <c r="I212">
        <f t="shared" si="41"/>
        <v>0</v>
      </c>
      <c r="J212">
        <f t="shared" si="42"/>
        <v>0</v>
      </c>
      <c r="K212">
        <f t="shared" si="43"/>
        <v>-10330.995179958065</v>
      </c>
      <c r="L212">
        <f t="shared" si="44"/>
        <v>1041.4048200419347</v>
      </c>
      <c r="M212">
        <f t="shared" si="45"/>
        <v>0</v>
      </c>
      <c r="N212">
        <f t="shared" si="47"/>
        <v>1041.4048200419347</v>
      </c>
      <c r="O212" s="5">
        <f t="shared" si="38"/>
        <v>0.12024576204135684</v>
      </c>
      <c r="P212">
        <f t="shared" si="46"/>
        <v>10000</v>
      </c>
      <c r="Q212">
        <f t="shared" si="39"/>
        <v>1202.4576204135683</v>
      </c>
    </row>
    <row r="213" spans="1:17" x14ac:dyDescent="0.15">
      <c r="A213" s="10">
        <v>45871.447916666977</v>
      </c>
      <c r="B213">
        <f>COUNT(A213:$A$1158)/(48*252)</f>
        <v>7.8207671957671962E-2</v>
      </c>
      <c r="C213">
        <v>2.19</v>
      </c>
      <c r="D213">
        <v>8.5000000000000006E-2</v>
      </c>
      <c r="E213">
        <f t="shared" si="36"/>
        <v>4.9929546202124919E-2</v>
      </c>
      <c r="F213">
        <f t="shared" si="37"/>
        <v>0.51991073390196318</v>
      </c>
      <c r="G213">
        <f t="shared" si="40"/>
        <v>3.0000000000001137E-3</v>
      </c>
      <c r="H213">
        <f>IF(MOD(COUNTA($C$7:C213)-1,$J$2),H212,ROUND(F213*P213,-2))</f>
        <v>5200</v>
      </c>
      <c r="I213">
        <f t="shared" si="41"/>
        <v>0</v>
      </c>
      <c r="J213">
        <f t="shared" si="42"/>
        <v>0</v>
      </c>
      <c r="K213">
        <f t="shared" si="43"/>
        <v>-10330.995179958065</v>
      </c>
      <c r="L213">
        <f t="shared" si="44"/>
        <v>1057.0048200419351</v>
      </c>
      <c r="M213">
        <f t="shared" si="45"/>
        <v>15.600000000000364</v>
      </c>
      <c r="N213">
        <f t="shared" si="47"/>
        <v>1057.0048200419351</v>
      </c>
      <c r="O213" s="5">
        <f t="shared" si="38"/>
        <v>0.11874096261467471</v>
      </c>
      <c r="P213">
        <f t="shared" si="46"/>
        <v>10000</v>
      </c>
      <c r="Q213">
        <f t="shared" si="39"/>
        <v>1187.4096261467471</v>
      </c>
    </row>
    <row r="214" spans="1:17" x14ac:dyDescent="0.15">
      <c r="A214" s="10">
        <v>45871.451388888992</v>
      </c>
      <c r="B214">
        <f>COUNT(A214:$A$1158)/(48*252)</f>
        <v>7.8125E-2</v>
      </c>
      <c r="C214">
        <v>2.1859999999999999</v>
      </c>
      <c r="D214">
        <v>8.3000000000000004E-2</v>
      </c>
      <c r="E214">
        <f t="shared" si="36"/>
        <v>3.6121257773254853E-2</v>
      </c>
      <c r="F214">
        <f t="shared" si="37"/>
        <v>0.51440716393244257</v>
      </c>
      <c r="G214">
        <f t="shared" si="40"/>
        <v>-4.0000000000000036E-3</v>
      </c>
      <c r="H214">
        <f>IF(MOD(COUNTA($C$7:C214)-1,$J$2),H213,ROUND(F214*P214,-2))</f>
        <v>5200</v>
      </c>
      <c r="I214">
        <f t="shared" si="41"/>
        <v>0</v>
      </c>
      <c r="J214">
        <f t="shared" si="42"/>
        <v>0</v>
      </c>
      <c r="K214">
        <f t="shared" si="43"/>
        <v>-10330.995179958065</v>
      </c>
      <c r="L214">
        <f t="shared" si="44"/>
        <v>1036.204820041934</v>
      </c>
      <c r="M214">
        <f t="shared" si="45"/>
        <v>-20.800000000001091</v>
      </c>
      <c r="N214">
        <f t="shared" si="47"/>
        <v>1036.204820041934</v>
      </c>
      <c r="O214" s="5">
        <f t="shared" si="38"/>
        <v>0.1206138864257742</v>
      </c>
      <c r="P214">
        <f t="shared" si="46"/>
        <v>10000</v>
      </c>
      <c r="Q214">
        <f t="shared" si="39"/>
        <v>1206.1388642577419</v>
      </c>
    </row>
    <row r="215" spans="1:17" x14ac:dyDescent="0.15">
      <c r="A215" s="10">
        <v>45871.454861111008</v>
      </c>
      <c r="B215">
        <f>COUNT(A215:$A$1158)/(48*252)</f>
        <v>7.8042328042328038E-2</v>
      </c>
      <c r="C215">
        <v>2.1850000000000001</v>
      </c>
      <c r="D215">
        <v>8.3000000000000004E-2</v>
      </c>
      <c r="E215">
        <f t="shared" si="36"/>
        <v>3.2609147848428645E-2</v>
      </c>
      <c r="F215">
        <f t="shared" si="37"/>
        <v>0.51300686260839035</v>
      </c>
      <c r="G215">
        <f t="shared" si="40"/>
        <v>-9.9999999999988987E-4</v>
      </c>
      <c r="H215">
        <f>IF(MOD(COUNTA($C$7:C215)-1,$J$2),H214,ROUND(F215*P215,-2))</f>
        <v>5200</v>
      </c>
      <c r="I215">
        <f t="shared" si="41"/>
        <v>0</v>
      </c>
      <c r="J215">
        <f t="shared" si="42"/>
        <v>0</v>
      </c>
      <c r="K215">
        <f t="shared" si="43"/>
        <v>-10330.995179958065</v>
      </c>
      <c r="L215">
        <f t="shared" si="44"/>
        <v>1031.0048200419351</v>
      </c>
      <c r="M215">
        <f t="shared" si="45"/>
        <v>-5.1999999999989086</v>
      </c>
      <c r="N215">
        <f t="shared" si="47"/>
        <v>1031.0048200419351</v>
      </c>
      <c r="O215" s="5">
        <f t="shared" si="38"/>
        <v>0.12104178042888014</v>
      </c>
      <c r="P215">
        <f t="shared" si="46"/>
        <v>10000</v>
      </c>
      <c r="Q215">
        <f t="shared" si="39"/>
        <v>1210.4178042888013</v>
      </c>
    </row>
    <row r="216" spans="1:17" x14ac:dyDescent="0.15">
      <c r="A216" s="10">
        <v>45871.458333333023</v>
      </c>
      <c r="B216">
        <f>COUNT(A216:$A$1158)/(48*252)</f>
        <v>7.795965608465609E-2</v>
      </c>
      <c r="C216">
        <v>2.1800000000000002</v>
      </c>
      <c r="D216">
        <v>8.2000000000000003E-2</v>
      </c>
      <c r="E216">
        <f t="shared" si="36"/>
        <v>1.5293660083736305E-2</v>
      </c>
      <c r="F216">
        <f t="shared" si="37"/>
        <v>0.50610104979333315</v>
      </c>
      <c r="G216">
        <f t="shared" si="40"/>
        <v>-4.9999999999998934E-3</v>
      </c>
      <c r="H216">
        <f>IF(MOD(COUNTA($C$7:C216)-1,$J$2),H215,ROUND(F216*P216,-2))</f>
        <v>5200</v>
      </c>
      <c r="I216">
        <f t="shared" si="41"/>
        <v>0</v>
      </c>
      <c r="J216">
        <f t="shared" si="42"/>
        <v>0</v>
      </c>
      <c r="K216">
        <f t="shared" si="43"/>
        <v>-10330.995179958065</v>
      </c>
      <c r="L216">
        <f t="shared" si="44"/>
        <v>1005.0048200419351</v>
      </c>
      <c r="M216">
        <f t="shared" si="45"/>
        <v>-26</v>
      </c>
      <c r="N216">
        <f t="shared" si="47"/>
        <v>1005.0048200419351</v>
      </c>
      <c r="O216" s="5">
        <f t="shared" si="38"/>
        <v>0.12343565726560657</v>
      </c>
      <c r="P216">
        <f t="shared" si="46"/>
        <v>10000</v>
      </c>
      <c r="Q216">
        <f t="shared" si="39"/>
        <v>1234.3565726560657</v>
      </c>
    </row>
    <row r="217" spans="1:17" x14ac:dyDescent="0.15">
      <c r="A217" s="10">
        <v>45871.461805555969</v>
      </c>
      <c r="B217">
        <f>COUNT(A217:$A$1158)/(48*252)</f>
        <v>7.7876984126984128E-2</v>
      </c>
      <c r="C217">
        <v>2.1779999999999999</v>
      </c>
      <c r="D217">
        <v>8.2000000000000003E-2</v>
      </c>
      <c r="E217">
        <f t="shared" si="36"/>
        <v>8.3004093918179027E-3</v>
      </c>
      <c r="F217">
        <f t="shared" si="37"/>
        <v>0.50331134622746942</v>
      </c>
      <c r="G217">
        <f t="shared" si="40"/>
        <v>-2.0000000000002238E-3</v>
      </c>
      <c r="H217">
        <f>IF(MOD(COUNTA($C$7:C217)-1,$J$2),H216,ROUND(F217*P217,-2))</f>
        <v>5000</v>
      </c>
      <c r="I217">
        <f t="shared" si="41"/>
        <v>-200</v>
      </c>
      <c r="J217">
        <f t="shared" si="42"/>
        <v>0</v>
      </c>
      <c r="K217">
        <f t="shared" si="43"/>
        <v>-9895.4147819580649</v>
      </c>
      <c r="L217">
        <f t="shared" si="44"/>
        <v>994.58521804193515</v>
      </c>
      <c r="M217">
        <f t="shared" si="45"/>
        <v>-10.419601999999941</v>
      </c>
      <c r="N217">
        <f t="shared" si="47"/>
        <v>994.58521804193515</v>
      </c>
      <c r="O217" s="5">
        <f t="shared" si="38"/>
        <v>0.12436797931417121</v>
      </c>
      <c r="P217">
        <f t="shared" si="46"/>
        <v>10000</v>
      </c>
      <c r="Q217">
        <f t="shared" si="39"/>
        <v>1243.679793141712</v>
      </c>
    </row>
    <row r="218" spans="1:17" x14ac:dyDescent="0.15">
      <c r="A218" s="10">
        <v>45871.465277777985</v>
      </c>
      <c r="B218">
        <f>COUNT(A218:$A$1158)/(48*252)</f>
        <v>7.7794312169312166E-2</v>
      </c>
      <c r="C218">
        <v>2.1789999999999998</v>
      </c>
      <c r="D218">
        <v>8.2000000000000003E-2</v>
      </c>
      <c r="E218">
        <f t="shared" si="36"/>
        <v>1.1674344948157507E-2</v>
      </c>
      <c r="F218">
        <f t="shared" si="37"/>
        <v>0.50465728400510823</v>
      </c>
      <c r="G218">
        <f t="shared" si="40"/>
        <v>9.9999999999988987E-4</v>
      </c>
      <c r="H218">
        <f>IF(MOD(COUNTA($C$7:C218)-1,$J$2),H217,ROUND(F218*P218,-2))</f>
        <v>5000</v>
      </c>
      <c r="I218">
        <f t="shared" si="41"/>
        <v>0</v>
      </c>
      <c r="J218">
        <f t="shared" si="42"/>
        <v>0</v>
      </c>
      <c r="K218">
        <f t="shared" si="43"/>
        <v>-9895.4147819580649</v>
      </c>
      <c r="L218">
        <f t="shared" si="44"/>
        <v>999.58521804193515</v>
      </c>
      <c r="M218">
        <f t="shared" si="45"/>
        <v>5</v>
      </c>
      <c r="N218">
        <f t="shared" si="47"/>
        <v>999.58521804193515</v>
      </c>
      <c r="O218" s="5">
        <f t="shared" si="38"/>
        <v>0.12381368295912254</v>
      </c>
      <c r="P218">
        <f t="shared" si="46"/>
        <v>10000</v>
      </c>
      <c r="Q218">
        <f t="shared" si="39"/>
        <v>1238.1368295912255</v>
      </c>
    </row>
    <row r="219" spans="1:17" x14ac:dyDescent="0.15">
      <c r="A219" s="10">
        <v>45871.46875</v>
      </c>
      <c r="B219">
        <f>COUNT(A219:$A$1158)/(48*252)</f>
        <v>7.7711640211640218E-2</v>
      </c>
      <c r="C219">
        <v>2.1749999999999998</v>
      </c>
      <c r="D219">
        <v>0.08</v>
      </c>
      <c r="E219">
        <f t="shared" si="36"/>
        <v>-2.2605307884732821E-3</v>
      </c>
      <c r="F219">
        <f t="shared" si="37"/>
        <v>0.49909817946037932</v>
      </c>
      <c r="G219">
        <f t="shared" si="40"/>
        <v>-4.0000000000000036E-3</v>
      </c>
      <c r="H219">
        <f>IF(MOD(COUNTA($C$7:C219)-1,$J$2),H218,ROUND(F219*P219,-2))</f>
        <v>5000</v>
      </c>
      <c r="I219">
        <f t="shared" si="41"/>
        <v>0</v>
      </c>
      <c r="J219">
        <f t="shared" si="42"/>
        <v>0</v>
      </c>
      <c r="K219">
        <f t="shared" si="43"/>
        <v>-9895.4147819580649</v>
      </c>
      <c r="L219">
        <f t="shared" si="44"/>
        <v>979.58521804193515</v>
      </c>
      <c r="M219">
        <f t="shared" si="45"/>
        <v>-20</v>
      </c>
      <c r="N219">
        <f t="shared" si="47"/>
        <v>979.58521804193515</v>
      </c>
      <c r="O219" s="5">
        <f t="shared" si="38"/>
        <v>0.12574790491559962</v>
      </c>
      <c r="P219">
        <f t="shared" si="46"/>
        <v>10000</v>
      </c>
      <c r="Q219">
        <f t="shared" si="39"/>
        <v>1257.4790491559961</v>
      </c>
    </row>
    <row r="220" spans="1:17" x14ac:dyDescent="0.15">
      <c r="A220" s="10">
        <v>45871.472222222015</v>
      </c>
      <c r="B220">
        <f>COUNT(A220:$A$1158)/(48*252)</f>
        <v>7.7628968253968256E-2</v>
      </c>
      <c r="C220">
        <v>2.1749999999999998</v>
      </c>
      <c r="D220">
        <v>7.9000000000000001E-2</v>
      </c>
      <c r="E220">
        <f t="shared" si="36"/>
        <v>-2.3510356767834062E-3</v>
      </c>
      <c r="F220">
        <f t="shared" si="37"/>
        <v>0.49906207332984343</v>
      </c>
      <c r="G220">
        <f t="shared" si="40"/>
        <v>0</v>
      </c>
      <c r="H220">
        <f>IF(MOD(COUNTA($C$7:C220)-1,$J$2),H219,ROUND(F220*P220,-2))</f>
        <v>5000</v>
      </c>
      <c r="I220">
        <f t="shared" si="41"/>
        <v>0</v>
      </c>
      <c r="J220">
        <f t="shared" si="42"/>
        <v>0</v>
      </c>
      <c r="K220">
        <f t="shared" si="43"/>
        <v>-9895.4147819580649</v>
      </c>
      <c r="L220">
        <f t="shared" si="44"/>
        <v>979.58521804193515</v>
      </c>
      <c r="M220">
        <f t="shared" si="45"/>
        <v>0</v>
      </c>
      <c r="N220">
        <f t="shared" si="47"/>
        <v>979.58521804193515</v>
      </c>
      <c r="O220" s="5">
        <f t="shared" si="38"/>
        <v>0.12568968093589294</v>
      </c>
      <c r="P220">
        <f t="shared" si="46"/>
        <v>10000</v>
      </c>
      <c r="Q220">
        <f t="shared" si="39"/>
        <v>1256.8968093589294</v>
      </c>
    </row>
    <row r="221" spans="1:17" x14ac:dyDescent="0.15">
      <c r="A221" s="10">
        <v>45871.475694444962</v>
      </c>
      <c r="B221">
        <f>COUNT(A221:$A$1158)/(48*252)</f>
        <v>7.7546296296296294E-2</v>
      </c>
      <c r="C221">
        <v>2.177</v>
      </c>
      <c r="D221">
        <v>0.08</v>
      </c>
      <c r="E221">
        <f t="shared" si="36"/>
        <v>4.494841818397436E-3</v>
      </c>
      <c r="F221">
        <f t="shared" si="37"/>
        <v>0.50179317640696919</v>
      </c>
      <c r="G221">
        <f t="shared" si="40"/>
        <v>2.0000000000002238E-3</v>
      </c>
      <c r="H221">
        <f>IF(MOD(COUNTA($C$7:C221)-1,$J$2),H220,ROUND(F221*P221,-2))</f>
        <v>5000</v>
      </c>
      <c r="I221">
        <f t="shared" si="41"/>
        <v>0</v>
      </c>
      <c r="J221">
        <f t="shared" si="42"/>
        <v>0</v>
      </c>
      <c r="K221">
        <f t="shared" si="43"/>
        <v>-9895.4147819580649</v>
      </c>
      <c r="L221">
        <f t="shared" si="44"/>
        <v>989.58521804193515</v>
      </c>
      <c r="M221">
        <f t="shared" si="45"/>
        <v>10</v>
      </c>
      <c r="N221">
        <f t="shared" si="47"/>
        <v>989.58521804193515</v>
      </c>
      <c r="O221" s="5">
        <f t="shared" si="38"/>
        <v>0.12463224393498318</v>
      </c>
      <c r="P221">
        <f t="shared" si="46"/>
        <v>10000</v>
      </c>
      <c r="Q221">
        <f t="shared" si="39"/>
        <v>1246.3224393498317</v>
      </c>
    </row>
    <row r="222" spans="1:17" x14ac:dyDescent="0.15">
      <c r="A222" s="10">
        <v>45871.479166666977</v>
      </c>
      <c r="B222">
        <f>COUNT(A222:$A$1158)/(48*252)</f>
        <v>7.7463624338624332E-2</v>
      </c>
      <c r="C222">
        <v>2.1800000000000002</v>
      </c>
      <c r="D222">
        <v>8.2000000000000003E-2</v>
      </c>
      <c r="E222">
        <f t="shared" si="36"/>
        <v>1.4806167135504636E-2</v>
      </c>
      <c r="F222">
        <f t="shared" si="37"/>
        <v>0.50590659027058971</v>
      </c>
      <c r="G222">
        <f t="shared" si="40"/>
        <v>3.0000000000001137E-3</v>
      </c>
      <c r="H222">
        <f>IF(MOD(COUNTA($C$7:C222)-1,$J$2),H221,ROUND(F222*P222,-2))</f>
        <v>5000</v>
      </c>
      <c r="I222">
        <f t="shared" si="41"/>
        <v>0</v>
      </c>
      <c r="J222">
        <f t="shared" si="42"/>
        <v>0</v>
      </c>
      <c r="K222">
        <f t="shared" si="43"/>
        <v>-9895.4147819580649</v>
      </c>
      <c r="L222">
        <f t="shared" si="44"/>
        <v>1004.5852180419351</v>
      </c>
      <c r="M222">
        <f t="shared" si="45"/>
        <v>15</v>
      </c>
      <c r="N222">
        <f t="shared" si="47"/>
        <v>1004.5852180419351</v>
      </c>
      <c r="O222" s="5">
        <f t="shared" si="38"/>
        <v>0.12308538302721805</v>
      </c>
      <c r="P222">
        <f t="shared" si="46"/>
        <v>10000</v>
      </c>
      <c r="Q222">
        <f t="shared" si="39"/>
        <v>1230.8538302721806</v>
      </c>
    </row>
    <row r="223" spans="1:17" x14ac:dyDescent="0.15">
      <c r="A223" s="10">
        <v>45871.545138888992</v>
      </c>
      <c r="B223">
        <f>COUNT(A223:$A$1158)/(48*252)</f>
        <v>7.7380952380952384E-2</v>
      </c>
      <c r="C223">
        <v>2.177</v>
      </c>
      <c r="D223">
        <v>0.08</v>
      </c>
      <c r="E223">
        <f t="shared" si="36"/>
        <v>4.3207524072699311E-3</v>
      </c>
      <c r="F223">
        <f t="shared" si="37"/>
        <v>0.50172372545506116</v>
      </c>
      <c r="G223">
        <f t="shared" si="40"/>
        <v>-3.0000000000001137E-3</v>
      </c>
      <c r="H223">
        <f>IF(MOD(COUNTA($C$7:C223)-1,$J$2),H222,ROUND(F223*P223,-2))</f>
        <v>5000</v>
      </c>
      <c r="I223">
        <f t="shared" si="41"/>
        <v>0</v>
      </c>
      <c r="J223">
        <f t="shared" si="42"/>
        <v>0</v>
      </c>
      <c r="K223">
        <f t="shared" si="43"/>
        <v>-9895.4147819580649</v>
      </c>
      <c r="L223">
        <f t="shared" si="44"/>
        <v>989.58521804193515</v>
      </c>
      <c r="M223">
        <f t="shared" si="45"/>
        <v>-15</v>
      </c>
      <c r="N223">
        <f t="shared" si="47"/>
        <v>989.58521804193515</v>
      </c>
      <c r="O223" s="5">
        <f t="shared" si="38"/>
        <v>0.12451549114569493</v>
      </c>
      <c r="P223">
        <f t="shared" si="46"/>
        <v>10000</v>
      </c>
      <c r="Q223">
        <f t="shared" si="39"/>
        <v>1245.1549114569493</v>
      </c>
    </row>
    <row r="224" spans="1:17" x14ac:dyDescent="0.15">
      <c r="A224" s="10">
        <v>45871.548611111008</v>
      </c>
      <c r="B224">
        <f>COUNT(A224:$A$1158)/(48*252)</f>
        <v>7.7298280423280422E-2</v>
      </c>
      <c r="C224">
        <v>2.181</v>
      </c>
      <c r="D224">
        <v>0.08</v>
      </c>
      <c r="E224">
        <f t="shared" si="36"/>
        <v>1.8109639564640814E-2</v>
      </c>
      <c r="F224">
        <f t="shared" si="37"/>
        <v>0.50722430602359003</v>
      </c>
      <c r="G224">
        <f t="shared" si="40"/>
        <v>4.0000000000000036E-3</v>
      </c>
      <c r="H224">
        <f>IF(MOD(COUNTA($C$7:C224)-1,$J$2),H223,ROUND(F224*P224,-2))</f>
        <v>5000</v>
      </c>
      <c r="I224">
        <f t="shared" si="41"/>
        <v>0</v>
      </c>
      <c r="J224">
        <f t="shared" si="42"/>
        <v>0</v>
      </c>
      <c r="K224">
        <f t="shared" si="43"/>
        <v>-9895.4147819580649</v>
      </c>
      <c r="L224">
        <f t="shared" si="44"/>
        <v>1009.5852180419351</v>
      </c>
      <c r="M224">
        <f t="shared" si="45"/>
        <v>20</v>
      </c>
      <c r="N224">
        <f t="shared" si="47"/>
        <v>1009.5852180419351</v>
      </c>
      <c r="O224" s="5">
        <f t="shared" si="38"/>
        <v>0.12247489577644743</v>
      </c>
      <c r="P224">
        <f t="shared" si="46"/>
        <v>10000</v>
      </c>
      <c r="Q224">
        <f t="shared" si="39"/>
        <v>1224.7489577644744</v>
      </c>
    </row>
    <row r="225" spans="1:17" x14ac:dyDescent="0.15">
      <c r="A225" s="10">
        <v>45871.552083333023</v>
      </c>
      <c r="B225">
        <f>COUNT(A225:$A$1158)/(48*252)</f>
        <v>7.721560846560846E-2</v>
      </c>
      <c r="C225">
        <v>2.1800000000000002</v>
      </c>
      <c r="D225">
        <v>0.08</v>
      </c>
      <c r="E225">
        <f t="shared" si="36"/>
        <v>1.4561306026498279E-2</v>
      </c>
      <c r="F225">
        <f t="shared" si="37"/>
        <v>0.50580891535214079</v>
      </c>
      <c r="G225">
        <f t="shared" si="40"/>
        <v>-9.9999999999988987E-4</v>
      </c>
      <c r="H225">
        <f>IF(MOD(COUNTA($C$7:C225)-1,$J$2),H224,ROUND(F225*P225,-2))</f>
        <v>5000</v>
      </c>
      <c r="I225">
        <f t="shared" si="41"/>
        <v>0</v>
      </c>
      <c r="J225">
        <f t="shared" si="42"/>
        <v>0</v>
      </c>
      <c r="K225">
        <f t="shared" si="43"/>
        <v>-9895.4147819580649</v>
      </c>
      <c r="L225">
        <f t="shared" si="44"/>
        <v>1004.5852180419351</v>
      </c>
      <c r="M225">
        <f t="shared" si="45"/>
        <v>-5</v>
      </c>
      <c r="N225">
        <f t="shared" si="47"/>
        <v>1004.5852180419351</v>
      </c>
      <c r="O225" s="5">
        <f t="shared" si="38"/>
        <v>0.12290980331711521</v>
      </c>
      <c r="P225">
        <f t="shared" si="46"/>
        <v>10000</v>
      </c>
      <c r="Q225">
        <f t="shared" si="39"/>
        <v>1229.0980331711521</v>
      </c>
    </row>
    <row r="226" spans="1:17" x14ac:dyDescent="0.15">
      <c r="A226" s="10">
        <v>45871.555555555969</v>
      </c>
      <c r="B226">
        <f>COUNT(A226:$A$1158)/(48*252)</f>
        <v>7.7132936507936511E-2</v>
      </c>
      <c r="C226">
        <v>2.1819999999999999</v>
      </c>
      <c r="D226">
        <v>8.2000000000000003E-2</v>
      </c>
      <c r="E226">
        <f t="shared" si="36"/>
        <v>2.1418615749711139E-2</v>
      </c>
      <c r="F226">
        <f t="shared" si="37"/>
        <v>0.50854413812456523</v>
      </c>
      <c r="G226">
        <f t="shared" si="40"/>
        <v>1.9999999999997797E-3</v>
      </c>
      <c r="H226">
        <f>IF(MOD(COUNTA($C$7:C226)-1,$J$2),H225,ROUND(F226*P226,-2))</f>
        <v>5000</v>
      </c>
      <c r="I226">
        <f t="shared" si="41"/>
        <v>0</v>
      </c>
      <c r="J226">
        <f t="shared" si="42"/>
        <v>0</v>
      </c>
      <c r="K226">
        <f t="shared" si="43"/>
        <v>-9895.4147819580649</v>
      </c>
      <c r="L226">
        <f t="shared" si="44"/>
        <v>1014.5852180419351</v>
      </c>
      <c r="M226">
        <f t="shared" si="45"/>
        <v>10</v>
      </c>
      <c r="N226">
        <f t="shared" si="47"/>
        <v>1014.5852180419351</v>
      </c>
      <c r="O226" s="5">
        <f t="shared" si="38"/>
        <v>0.12186553173936554</v>
      </c>
      <c r="P226">
        <f t="shared" si="46"/>
        <v>10000</v>
      </c>
      <c r="Q226">
        <f t="shared" si="39"/>
        <v>1218.6553173936554</v>
      </c>
    </row>
    <row r="227" spans="1:17" x14ac:dyDescent="0.15">
      <c r="A227" s="10">
        <v>45871.559027777985</v>
      </c>
      <c r="B227">
        <f>COUNT(A227:$A$1158)/(48*252)</f>
        <v>7.7050264550264549E-2</v>
      </c>
      <c r="C227">
        <v>2.1829999999999998</v>
      </c>
      <c r="D227">
        <v>8.1000000000000003E-2</v>
      </c>
      <c r="E227">
        <f t="shared" si="36"/>
        <v>2.4809490172041371E-2</v>
      </c>
      <c r="F227">
        <f t="shared" si="37"/>
        <v>0.50989653933660628</v>
      </c>
      <c r="G227">
        <f t="shared" si="40"/>
        <v>9.9999999999988987E-4</v>
      </c>
      <c r="H227">
        <f>IF(MOD(COUNTA($C$7:C227)-1,$J$2),H226,ROUND(F227*P227,-2))</f>
        <v>5000</v>
      </c>
      <c r="I227">
        <f t="shared" si="41"/>
        <v>0</v>
      </c>
      <c r="J227">
        <f t="shared" si="42"/>
        <v>0</v>
      </c>
      <c r="K227">
        <f t="shared" si="43"/>
        <v>-9895.4147819580649</v>
      </c>
      <c r="L227">
        <f t="shared" si="44"/>
        <v>1019.5852180419351</v>
      </c>
      <c r="M227">
        <f t="shared" si="45"/>
        <v>5</v>
      </c>
      <c r="N227">
        <f t="shared" si="47"/>
        <v>1019.5852180419351</v>
      </c>
      <c r="O227" s="5">
        <f t="shared" si="38"/>
        <v>0.12131604719454048</v>
      </c>
      <c r="P227">
        <f t="shared" si="46"/>
        <v>10000</v>
      </c>
      <c r="Q227">
        <f t="shared" si="39"/>
        <v>1213.1604719454049</v>
      </c>
    </row>
    <row r="228" spans="1:17" x14ac:dyDescent="0.15">
      <c r="A228" s="10">
        <v>45871.5625</v>
      </c>
      <c r="B228">
        <f>COUNT(A228:$A$1158)/(48*252)</f>
        <v>7.6967592592592587E-2</v>
      </c>
      <c r="C228">
        <v>2.1800000000000002</v>
      </c>
      <c r="D228">
        <v>0.08</v>
      </c>
      <c r="E228">
        <f t="shared" si="36"/>
        <v>1.4315694775965306E-2</v>
      </c>
      <c r="F228">
        <f t="shared" si="37"/>
        <v>0.50571094085292567</v>
      </c>
      <c r="G228">
        <f t="shared" si="40"/>
        <v>-2.9999999999996696E-3</v>
      </c>
      <c r="H228">
        <f>IF(MOD(COUNTA($C$7:C228)-1,$J$2),H227,ROUND(F228*P228,-2))</f>
        <v>5000</v>
      </c>
      <c r="I228">
        <f t="shared" si="41"/>
        <v>0</v>
      </c>
      <c r="J228">
        <f t="shared" si="42"/>
        <v>0</v>
      </c>
      <c r="K228">
        <f t="shared" si="43"/>
        <v>-9895.4147819580649</v>
      </c>
      <c r="L228">
        <f t="shared" si="44"/>
        <v>1004.5852180419351</v>
      </c>
      <c r="M228">
        <f t="shared" si="45"/>
        <v>-15</v>
      </c>
      <c r="N228">
        <f t="shared" si="47"/>
        <v>1004.5852180419351</v>
      </c>
      <c r="O228" s="5">
        <f t="shared" si="38"/>
        <v>0.12273392666538019</v>
      </c>
      <c r="P228">
        <f t="shared" si="46"/>
        <v>10000</v>
      </c>
      <c r="Q228">
        <f t="shared" si="39"/>
        <v>1227.3392666538018</v>
      </c>
    </row>
    <row r="229" spans="1:17" x14ac:dyDescent="0.15">
      <c r="A229" s="10">
        <v>45871.565972222015</v>
      </c>
      <c r="B229">
        <f>COUNT(A229:$A$1158)/(48*252)</f>
        <v>7.6884920634920639E-2</v>
      </c>
      <c r="C229">
        <v>2.177</v>
      </c>
      <c r="D229">
        <v>7.9000000000000001E-2</v>
      </c>
      <c r="E229">
        <f t="shared" si="36"/>
        <v>3.7962724190063676E-3</v>
      </c>
      <c r="F229">
        <f t="shared" si="37"/>
        <v>0.50151448993813741</v>
      </c>
      <c r="G229">
        <f t="shared" si="40"/>
        <v>-3.0000000000001137E-3</v>
      </c>
      <c r="H229">
        <f>IF(MOD(COUNTA($C$7:C229)-1,$J$2),H228,ROUND(F229*P229,-2))</f>
        <v>5000</v>
      </c>
      <c r="I229">
        <f t="shared" si="41"/>
        <v>0</v>
      </c>
      <c r="J229">
        <f t="shared" si="42"/>
        <v>0</v>
      </c>
      <c r="K229">
        <f t="shared" si="43"/>
        <v>-9895.4147819580649</v>
      </c>
      <c r="L229">
        <f t="shared" si="44"/>
        <v>989.58521804193515</v>
      </c>
      <c r="M229">
        <f t="shared" si="45"/>
        <v>-15</v>
      </c>
      <c r="N229">
        <f t="shared" si="47"/>
        <v>989.58521804193515</v>
      </c>
      <c r="O229" s="5">
        <f t="shared" si="38"/>
        <v>0.12416444429188989</v>
      </c>
      <c r="P229">
        <f t="shared" si="46"/>
        <v>10000</v>
      </c>
      <c r="Q229">
        <f t="shared" si="39"/>
        <v>1241.6444429188989</v>
      </c>
    </row>
    <row r="230" spans="1:17" x14ac:dyDescent="0.15">
      <c r="A230" s="10">
        <v>45871.569444444962</v>
      </c>
      <c r="B230">
        <f>COUNT(A230:$A$1158)/(48*252)</f>
        <v>7.6802248677248677E-2</v>
      </c>
      <c r="C230">
        <v>2.1800000000000002</v>
      </c>
      <c r="D230">
        <v>7.9000000000000001E-2</v>
      </c>
      <c r="E230">
        <f t="shared" si="36"/>
        <v>1.4151534552796713E-2</v>
      </c>
      <c r="F230">
        <f t="shared" si="37"/>
        <v>0.50564545703292607</v>
      </c>
      <c r="G230">
        <f t="shared" si="40"/>
        <v>3.0000000000001137E-3</v>
      </c>
      <c r="H230">
        <f>IF(MOD(COUNTA($C$7:C230)-1,$J$2),H229,ROUND(F230*P230,-2))</f>
        <v>5000</v>
      </c>
      <c r="I230">
        <f t="shared" si="41"/>
        <v>0</v>
      </c>
      <c r="J230">
        <f t="shared" si="42"/>
        <v>0</v>
      </c>
      <c r="K230">
        <f t="shared" si="43"/>
        <v>-9895.4147819580649</v>
      </c>
      <c r="L230">
        <f t="shared" si="44"/>
        <v>1004.5852180419351</v>
      </c>
      <c r="M230">
        <f t="shared" si="45"/>
        <v>15</v>
      </c>
      <c r="N230">
        <f t="shared" si="47"/>
        <v>1004.5852180419351</v>
      </c>
      <c r="O230" s="5">
        <f t="shared" si="38"/>
        <v>0.12261650989346284</v>
      </c>
      <c r="P230">
        <f t="shared" si="46"/>
        <v>10000</v>
      </c>
      <c r="Q230">
        <f t="shared" si="39"/>
        <v>1226.1650989346285</v>
      </c>
    </row>
    <row r="231" spans="1:17" x14ac:dyDescent="0.15">
      <c r="A231" s="10">
        <v>45871.572916666977</v>
      </c>
      <c r="B231">
        <f>COUNT(A231:$A$1158)/(48*252)</f>
        <v>7.6719576719576715E-2</v>
      </c>
      <c r="C231">
        <v>2.181</v>
      </c>
      <c r="D231">
        <v>7.9000000000000001E-2</v>
      </c>
      <c r="E231">
        <f t="shared" si="36"/>
        <v>1.7549008118594334E-2</v>
      </c>
      <c r="F231">
        <f t="shared" si="37"/>
        <v>0.50700068198513248</v>
      </c>
      <c r="G231">
        <f t="shared" si="40"/>
        <v>9.9999999999988987E-4</v>
      </c>
      <c r="H231">
        <f>IF(MOD(COUNTA($C$7:C231)-1,$J$2),H230,ROUND(F231*P231,-2))</f>
        <v>5000</v>
      </c>
      <c r="I231">
        <f t="shared" si="41"/>
        <v>0</v>
      </c>
      <c r="J231">
        <f t="shared" si="42"/>
        <v>0</v>
      </c>
      <c r="K231">
        <f t="shared" si="43"/>
        <v>-9895.4147819580649</v>
      </c>
      <c r="L231">
        <f t="shared" si="44"/>
        <v>1009.5852180419351</v>
      </c>
      <c r="M231">
        <f t="shared" si="45"/>
        <v>5</v>
      </c>
      <c r="N231">
        <f t="shared" si="47"/>
        <v>1009.5852180419351</v>
      </c>
      <c r="O231" s="5">
        <f t="shared" si="38"/>
        <v>0.12206405837982826</v>
      </c>
      <c r="P231">
        <f t="shared" si="46"/>
        <v>10000</v>
      </c>
      <c r="Q231">
        <f t="shared" si="39"/>
        <v>1220.6405837982825</v>
      </c>
    </row>
    <row r="232" spans="1:17" x14ac:dyDescent="0.15">
      <c r="A232" s="10">
        <v>45871.576388888992</v>
      </c>
      <c r="B232">
        <f>COUNT(A232:$A$1158)/(48*252)</f>
        <v>7.6636904761904767E-2</v>
      </c>
      <c r="C232">
        <v>2.1859999999999999</v>
      </c>
      <c r="D232">
        <v>8.1000000000000003E-2</v>
      </c>
      <c r="E232">
        <f t="shared" si="36"/>
        <v>3.4852465606784323E-2</v>
      </c>
      <c r="F232">
        <f t="shared" si="37"/>
        <v>0.51390130774314302</v>
      </c>
      <c r="G232">
        <f t="shared" si="40"/>
        <v>4.9999999999998934E-3</v>
      </c>
      <c r="H232">
        <f>IF(MOD(COUNTA($C$7:C232)-1,$J$2),H231,ROUND(F232*P232,-2))</f>
        <v>5000</v>
      </c>
      <c r="I232">
        <f t="shared" si="41"/>
        <v>0</v>
      </c>
      <c r="J232">
        <f t="shared" si="42"/>
        <v>0</v>
      </c>
      <c r="K232">
        <f t="shared" si="43"/>
        <v>-9895.4147819580649</v>
      </c>
      <c r="L232">
        <f t="shared" si="44"/>
        <v>1034.5852180419351</v>
      </c>
      <c r="M232">
        <f t="shared" si="45"/>
        <v>25</v>
      </c>
      <c r="N232">
        <f t="shared" si="47"/>
        <v>1034.5852180419351</v>
      </c>
      <c r="O232" s="5">
        <f t="shared" si="38"/>
        <v>0.11955741708397682</v>
      </c>
      <c r="P232">
        <f t="shared" si="46"/>
        <v>10000</v>
      </c>
      <c r="Q232">
        <f t="shared" si="39"/>
        <v>1195.5741708397682</v>
      </c>
    </row>
    <row r="233" spans="1:17" x14ac:dyDescent="0.15">
      <c r="A233" s="10">
        <v>45871.579861111008</v>
      </c>
      <c r="B233">
        <f>COUNT(A233:$A$1158)/(48*252)</f>
        <v>7.6554232804232805E-2</v>
      </c>
      <c r="C233">
        <v>2.1859999999999999</v>
      </c>
      <c r="D233">
        <v>0.08</v>
      </c>
      <c r="E233">
        <f t="shared" si="36"/>
        <v>3.4781353174912544E-2</v>
      </c>
      <c r="F233">
        <f t="shared" si="37"/>
        <v>0.51387295517735576</v>
      </c>
      <c r="G233">
        <f t="shared" si="40"/>
        <v>0</v>
      </c>
      <c r="H233">
        <f>IF(MOD(COUNTA($C$7:C233)-1,$J$2),H232,ROUND(F233*P233,-2))</f>
        <v>5000</v>
      </c>
      <c r="I233">
        <f t="shared" si="41"/>
        <v>0</v>
      </c>
      <c r="J233">
        <f t="shared" si="42"/>
        <v>0</v>
      </c>
      <c r="K233">
        <f t="shared" si="43"/>
        <v>-9895.4147819580649</v>
      </c>
      <c r="L233">
        <f t="shared" si="44"/>
        <v>1034.5852180419351</v>
      </c>
      <c r="M233">
        <f t="shared" si="45"/>
        <v>0</v>
      </c>
      <c r="N233">
        <f t="shared" si="47"/>
        <v>1034.5852180419351</v>
      </c>
      <c r="O233" s="5">
        <f t="shared" si="38"/>
        <v>0.11949840852557259</v>
      </c>
      <c r="P233">
        <f t="shared" si="46"/>
        <v>10000</v>
      </c>
      <c r="Q233">
        <f t="shared" si="39"/>
        <v>1194.9840852557259</v>
      </c>
    </row>
    <row r="234" spans="1:17" x14ac:dyDescent="0.15">
      <c r="A234" s="10">
        <v>45871.583333333023</v>
      </c>
      <c r="B234">
        <f>COUNT(A234:$A$1158)/(48*252)</f>
        <v>7.6471560846560843E-2</v>
      </c>
      <c r="C234">
        <v>2.1829999999999998</v>
      </c>
      <c r="D234">
        <v>7.9000000000000001E-2</v>
      </c>
      <c r="E234">
        <f t="shared" si="36"/>
        <v>2.427336356017628E-2</v>
      </c>
      <c r="F234">
        <f t="shared" si="37"/>
        <v>0.50968272016542082</v>
      </c>
      <c r="G234">
        <f t="shared" si="40"/>
        <v>-3.0000000000001137E-3</v>
      </c>
      <c r="H234">
        <f>IF(MOD(COUNTA($C$7:C234)-1,$J$2),H233,ROUND(F234*P234,-2))</f>
        <v>5000</v>
      </c>
      <c r="I234">
        <f t="shared" si="41"/>
        <v>0</v>
      </c>
      <c r="J234">
        <f t="shared" si="42"/>
        <v>0</v>
      </c>
      <c r="K234">
        <f t="shared" si="43"/>
        <v>-9895.4147819580649</v>
      </c>
      <c r="L234">
        <f t="shared" si="44"/>
        <v>1019.5852180419351</v>
      </c>
      <c r="M234">
        <f t="shared" si="45"/>
        <v>-15</v>
      </c>
      <c r="N234">
        <f t="shared" si="47"/>
        <v>1019.5852180419351</v>
      </c>
      <c r="O234" s="5">
        <f t="shared" si="38"/>
        <v>0.12090407367364508</v>
      </c>
      <c r="P234">
        <f t="shared" si="46"/>
        <v>10000</v>
      </c>
      <c r="Q234">
        <f t="shared" si="39"/>
        <v>1209.0407367364508</v>
      </c>
    </row>
    <row r="235" spans="1:17" x14ac:dyDescent="0.15">
      <c r="A235" s="10">
        <v>45871.586805555969</v>
      </c>
      <c r="B235">
        <f>COUNT(A235:$A$1158)/(48*252)</f>
        <v>7.6388888888888895E-2</v>
      </c>
      <c r="C235">
        <v>2.1819999999999999</v>
      </c>
      <c r="D235">
        <v>7.9000000000000001E-2</v>
      </c>
      <c r="E235">
        <f t="shared" si="36"/>
        <v>2.0712463364866058E-2</v>
      </c>
      <c r="F235">
        <f t="shared" si="37"/>
        <v>0.50826248658704276</v>
      </c>
      <c r="G235">
        <f t="shared" si="40"/>
        <v>-9.9999999999988987E-4</v>
      </c>
      <c r="H235">
        <f>IF(MOD(COUNTA($C$7:C235)-1,$J$2),H234,ROUND(F235*P235,-2))</f>
        <v>5100</v>
      </c>
      <c r="I235">
        <f t="shared" si="41"/>
        <v>100</v>
      </c>
      <c r="J235">
        <f t="shared" si="42"/>
        <v>0</v>
      </c>
      <c r="K235">
        <f t="shared" si="43"/>
        <v>-10113.624600958066</v>
      </c>
      <c r="L235">
        <f t="shared" si="44"/>
        <v>1014.5753990419325</v>
      </c>
      <c r="M235">
        <f t="shared" si="45"/>
        <v>-5.0098190000026079</v>
      </c>
      <c r="N235">
        <f t="shared" si="47"/>
        <v>1014.5753990419325</v>
      </c>
      <c r="O235" s="5">
        <f t="shared" si="38"/>
        <v>0.12133612913670899</v>
      </c>
      <c r="P235">
        <f t="shared" si="46"/>
        <v>10000</v>
      </c>
      <c r="Q235">
        <f t="shared" si="39"/>
        <v>1213.36129136709</v>
      </c>
    </row>
    <row r="236" spans="1:17" x14ac:dyDescent="0.15">
      <c r="A236" s="10">
        <v>45871.590277777985</v>
      </c>
      <c r="B236">
        <f>COUNT(A236:$A$1158)/(48*252)</f>
        <v>7.6306216931216933E-2</v>
      </c>
      <c r="C236">
        <v>2.1869999999999998</v>
      </c>
      <c r="D236">
        <v>0.08</v>
      </c>
      <c r="E236">
        <f t="shared" si="36"/>
        <v>3.804713294269528E-2</v>
      </c>
      <c r="F236">
        <f t="shared" si="37"/>
        <v>0.51517494872094738</v>
      </c>
      <c r="G236">
        <f t="shared" si="40"/>
        <v>4.9999999999998934E-3</v>
      </c>
      <c r="H236">
        <f>IF(MOD(COUNTA($C$7:C236)-1,$J$2),H235,ROUND(F236*P236,-2))</f>
        <v>5100</v>
      </c>
      <c r="I236">
        <f t="shared" si="41"/>
        <v>0</v>
      </c>
      <c r="J236">
        <f t="shared" si="42"/>
        <v>0</v>
      </c>
      <c r="K236">
        <f t="shared" si="43"/>
        <v>-10113.624600958066</v>
      </c>
      <c r="L236">
        <f t="shared" si="44"/>
        <v>1040.0753990419325</v>
      </c>
      <c r="M236">
        <f t="shared" si="45"/>
        <v>25.5</v>
      </c>
      <c r="N236">
        <f t="shared" si="47"/>
        <v>1040.0753990419325</v>
      </c>
      <c r="O236" s="5">
        <f t="shared" si="38"/>
        <v>0.11883566244262966</v>
      </c>
      <c r="P236">
        <f t="shared" si="46"/>
        <v>10000</v>
      </c>
      <c r="Q236">
        <f t="shared" si="39"/>
        <v>1188.3566244262965</v>
      </c>
    </row>
    <row r="237" spans="1:17" x14ac:dyDescent="0.15">
      <c r="A237" s="10">
        <v>45871.59375</v>
      </c>
      <c r="B237">
        <f>COUNT(A237:$A$1158)/(48*252)</f>
        <v>7.6223544973544971E-2</v>
      </c>
      <c r="C237">
        <v>2.1869999999999998</v>
      </c>
      <c r="D237">
        <v>0.08</v>
      </c>
      <c r="E237">
        <f t="shared" si="36"/>
        <v>3.7977639250167575E-2</v>
      </c>
      <c r="F237">
        <f t="shared" si="37"/>
        <v>0.51514724477130769</v>
      </c>
      <c r="G237">
        <f t="shared" si="40"/>
        <v>0</v>
      </c>
      <c r="H237">
        <f>IF(MOD(COUNTA($C$7:C237)-1,$J$2),H236,ROUND(F237*P237,-2))</f>
        <v>5100</v>
      </c>
      <c r="I237">
        <f t="shared" si="41"/>
        <v>0</v>
      </c>
      <c r="J237">
        <f t="shared" si="42"/>
        <v>0</v>
      </c>
      <c r="K237">
        <f t="shared" si="43"/>
        <v>-10113.624600958066</v>
      </c>
      <c r="L237">
        <f t="shared" si="44"/>
        <v>1040.0753990419325</v>
      </c>
      <c r="M237">
        <f t="shared" si="45"/>
        <v>0</v>
      </c>
      <c r="N237">
        <f t="shared" si="47"/>
        <v>1040.0753990419325</v>
      </c>
      <c r="O237" s="5">
        <f t="shared" si="38"/>
        <v>0.11877649107585775</v>
      </c>
      <c r="P237">
        <f t="shared" si="46"/>
        <v>10000</v>
      </c>
      <c r="Q237">
        <f t="shared" si="39"/>
        <v>1187.7649107585776</v>
      </c>
    </row>
    <row r="238" spans="1:17" x14ac:dyDescent="0.15">
      <c r="A238" s="10">
        <v>45871.597222222015</v>
      </c>
      <c r="B238">
        <f>COUNT(A238:$A$1158)/(48*252)</f>
        <v>7.6140873015873009E-2</v>
      </c>
      <c r="C238">
        <v>2.1840000000000002</v>
      </c>
      <c r="D238">
        <v>7.9000000000000001E-2</v>
      </c>
      <c r="E238">
        <f t="shared" si="36"/>
        <v>2.7453417137874032E-2</v>
      </c>
      <c r="F238">
        <f t="shared" si="37"/>
        <v>0.51095095321632533</v>
      </c>
      <c r="G238">
        <f t="shared" si="40"/>
        <v>-2.9999999999996696E-3</v>
      </c>
      <c r="H238">
        <f>IF(MOD(COUNTA($C$7:C238)-1,$J$2),H237,ROUND(F238*P238,-2))</f>
        <v>5100</v>
      </c>
      <c r="I238">
        <f t="shared" si="41"/>
        <v>0</v>
      </c>
      <c r="J238">
        <f t="shared" si="42"/>
        <v>0</v>
      </c>
      <c r="K238">
        <f t="shared" si="43"/>
        <v>-10113.624600958066</v>
      </c>
      <c r="L238">
        <f t="shared" si="44"/>
        <v>1024.7753990419351</v>
      </c>
      <c r="M238">
        <f t="shared" si="45"/>
        <v>-15.299999999997453</v>
      </c>
      <c r="N238">
        <f t="shared" si="47"/>
        <v>1024.7753990419351</v>
      </c>
      <c r="O238" s="5">
        <f t="shared" si="38"/>
        <v>0.12017817837577538</v>
      </c>
      <c r="P238">
        <f t="shared" si="46"/>
        <v>10000</v>
      </c>
      <c r="Q238">
        <f t="shared" si="39"/>
        <v>1201.7817837577538</v>
      </c>
    </row>
    <row r="239" spans="1:17" x14ac:dyDescent="0.15">
      <c r="A239" s="10">
        <v>45871.600694444962</v>
      </c>
      <c r="B239">
        <f>COUNT(A239:$A$1158)/(48*252)</f>
        <v>7.6058201058201061E-2</v>
      </c>
      <c r="C239">
        <v>2.1819999999999999</v>
      </c>
      <c r="D239">
        <v>7.8E-2</v>
      </c>
      <c r="E239">
        <f t="shared" si="36"/>
        <v>2.0396565859354794E-2</v>
      </c>
      <c r="F239">
        <f t="shared" si="37"/>
        <v>0.50813648833553537</v>
      </c>
      <c r="G239">
        <f t="shared" si="40"/>
        <v>-2.0000000000002238E-3</v>
      </c>
      <c r="H239">
        <f>IF(MOD(COUNTA($C$7:C239)-1,$J$2),H238,ROUND(F239*P239,-2))</f>
        <v>5100</v>
      </c>
      <c r="I239">
        <f t="shared" si="41"/>
        <v>0</v>
      </c>
      <c r="J239">
        <f t="shared" si="42"/>
        <v>0</v>
      </c>
      <c r="K239">
        <f t="shared" si="43"/>
        <v>-10113.624600958066</v>
      </c>
      <c r="L239">
        <f t="shared" si="44"/>
        <v>1014.5753990419325</v>
      </c>
      <c r="M239">
        <f t="shared" si="45"/>
        <v>-10.200000000002547</v>
      </c>
      <c r="N239">
        <f t="shared" si="47"/>
        <v>1014.5753990419325</v>
      </c>
      <c r="O239" s="5">
        <f t="shared" si="38"/>
        <v>0.12109996802967316</v>
      </c>
      <c r="P239">
        <f t="shared" si="46"/>
        <v>10000</v>
      </c>
      <c r="Q239">
        <f t="shared" si="39"/>
        <v>1210.9996802967316</v>
      </c>
    </row>
    <row r="240" spans="1:17" x14ac:dyDescent="0.15">
      <c r="A240" s="10">
        <v>45871.604166666977</v>
      </c>
      <c r="B240">
        <f>COUNT(A240:$A$1158)/(48*252)</f>
        <v>7.5975529100529099E-2</v>
      </c>
      <c r="C240">
        <v>2.1789999999999998</v>
      </c>
      <c r="D240">
        <v>7.5999999999999998E-2</v>
      </c>
      <c r="E240">
        <f t="shared" si="36"/>
        <v>9.8273586839271714E-3</v>
      </c>
      <c r="F240">
        <f t="shared" si="37"/>
        <v>0.50392048577880855</v>
      </c>
      <c r="G240">
        <f t="shared" si="40"/>
        <v>-3.0000000000001137E-3</v>
      </c>
      <c r="H240">
        <f>IF(MOD(COUNTA($C$7:C240)-1,$J$2),H239,ROUND(F240*P240,-2))</f>
        <v>5100</v>
      </c>
      <c r="I240">
        <f t="shared" si="41"/>
        <v>0</v>
      </c>
      <c r="J240">
        <f t="shared" si="42"/>
        <v>0</v>
      </c>
      <c r="K240">
        <f t="shared" si="43"/>
        <v>-10113.624600958066</v>
      </c>
      <c r="L240">
        <f t="shared" si="44"/>
        <v>999.27539904193327</v>
      </c>
      <c r="M240">
        <f t="shared" si="45"/>
        <v>-15.299999999999272</v>
      </c>
      <c r="N240">
        <f t="shared" si="47"/>
        <v>999.27539904193327</v>
      </c>
      <c r="O240" s="5">
        <f t="shared" si="38"/>
        <v>0.12252280366835078</v>
      </c>
      <c r="P240">
        <f t="shared" si="46"/>
        <v>10000</v>
      </c>
      <c r="Q240">
        <f t="shared" si="39"/>
        <v>1225.2280366835078</v>
      </c>
    </row>
    <row r="241" spans="1:17" x14ac:dyDescent="0.15">
      <c r="A241" s="10">
        <v>45871.607638888992</v>
      </c>
      <c r="B241">
        <f>COUNT(A241:$A$1158)/(48*252)</f>
        <v>7.5892857142857137E-2</v>
      </c>
      <c r="C241">
        <v>2.181</v>
      </c>
      <c r="D241">
        <v>7.5999999999999998E-2</v>
      </c>
      <c r="E241">
        <f t="shared" si="36"/>
        <v>1.6741160406910604E-2</v>
      </c>
      <c r="F241">
        <f t="shared" si="37"/>
        <v>0.50667844475050638</v>
      </c>
      <c r="G241">
        <f t="shared" si="40"/>
        <v>2.0000000000002238E-3</v>
      </c>
      <c r="H241">
        <f>IF(MOD(COUNTA($C$7:C241)-1,$J$2),H240,ROUND(F241*P241,-2))</f>
        <v>5100</v>
      </c>
      <c r="I241">
        <f t="shared" si="41"/>
        <v>0</v>
      </c>
      <c r="J241">
        <f t="shared" si="42"/>
        <v>0</v>
      </c>
      <c r="K241">
        <f t="shared" si="43"/>
        <v>-10113.624600958066</v>
      </c>
      <c r="L241">
        <f t="shared" si="44"/>
        <v>1009.475399041934</v>
      </c>
      <c r="M241">
        <f t="shared" si="45"/>
        <v>10.200000000000728</v>
      </c>
      <c r="N241">
        <f t="shared" si="47"/>
        <v>1009.475399041934</v>
      </c>
      <c r="O241" s="5">
        <f t="shared" si="38"/>
        <v>0.12147430890441124</v>
      </c>
      <c r="P241">
        <f t="shared" si="46"/>
        <v>10000</v>
      </c>
      <c r="Q241">
        <f t="shared" si="39"/>
        <v>1214.7430890441124</v>
      </c>
    </row>
    <row r="242" spans="1:17" x14ac:dyDescent="0.15">
      <c r="A242" s="10">
        <v>45871.611111111008</v>
      </c>
      <c r="B242">
        <f>COUNT(A242:$A$1158)/(48*252)</f>
        <v>7.5810185185185189E-2</v>
      </c>
      <c r="C242">
        <v>2.181</v>
      </c>
      <c r="D242">
        <v>7.6999999999999999E-2</v>
      </c>
      <c r="E242">
        <f t="shared" si="36"/>
        <v>1.6659919744667896E-2</v>
      </c>
      <c r="F242">
        <f t="shared" si="37"/>
        <v>0.50664603893489524</v>
      </c>
      <c r="G242">
        <f t="shared" si="40"/>
        <v>0</v>
      </c>
      <c r="H242">
        <f>IF(MOD(COUNTA($C$7:C242)-1,$J$2),H241,ROUND(F242*P242,-2))</f>
        <v>5100</v>
      </c>
      <c r="I242">
        <f t="shared" si="41"/>
        <v>0</v>
      </c>
      <c r="J242">
        <f t="shared" si="42"/>
        <v>0</v>
      </c>
      <c r="K242">
        <f t="shared" si="43"/>
        <v>-10113.624600958066</v>
      </c>
      <c r="L242">
        <f t="shared" si="44"/>
        <v>1009.475399041934</v>
      </c>
      <c r="M242">
        <f t="shared" si="45"/>
        <v>0</v>
      </c>
      <c r="N242">
        <f t="shared" si="47"/>
        <v>1009.475399041934</v>
      </c>
      <c r="O242" s="5">
        <f t="shared" si="38"/>
        <v>0.12141514848079948</v>
      </c>
      <c r="P242">
        <f t="shared" si="46"/>
        <v>10000</v>
      </c>
      <c r="Q242">
        <f t="shared" si="39"/>
        <v>1214.1514848079948</v>
      </c>
    </row>
    <row r="243" spans="1:17" x14ac:dyDescent="0.15">
      <c r="A243" s="10">
        <v>45871.614583333023</v>
      </c>
      <c r="B243">
        <f>COUNT(A243:$A$1158)/(48*252)</f>
        <v>7.5727513227513227E-2</v>
      </c>
      <c r="C243">
        <v>2.1819999999999999</v>
      </c>
      <c r="D243">
        <v>7.6999999999999999E-2</v>
      </c>
      <c r="E243">
        <f t="shared" si="36"/>
        <v>2.0079388490497951E-2</v>
      </c>
      <c r="F243">
        <f t="shared" si="37"/>
        <v>0.5080099787835155</v>
      </c>
      <c r="G243">
        <f t="shared" si="40"/>
        <v>9.9999999999988987E-4</v>
      </c>
      <c r="H243">
        <f>IF(MOD(COUNTA($C$7:C243)-1,$J$2),H242,ROUND(F243*P243,-2))</f>
        <v>5100</v>
      </c>
      <c r="I243">
        <f t="shared" si="41"/>
        <v>0</v>
      </c>
      <c r="J243">
        <f t="shared" si="42"/>
        <v>0</v>
      </c>
      <c r="K243">
        <f t="shared" si="43"/>
        <v>-10113.624600958066</v>
      </c>
      <c r="L243">
        <f t="shared" si="44"/>
        <v>1014.5753990419325</v>
      </c>
      <c r="M243">
        <f t="shared" si="45"/>
        <v>5.0999999999985448</v>
      </c>
      <c r="N243">
        <f t="shared" si="47"/>
        <v>1014.5753990419325</v>
      </c>
      <c r="O243" s="5">
        <f t="shared" si="38"/>
        <v>0.12086326596553887</v>
      </c>
      <c r="P243">
        <f t="shared" si="46"/>
        <v>10000</v>
      </c>
      <c r="Q243">
        <f t="shared" si="39"/>
        <v>1208.6326596553886</v>
      </c>
    </row>
    <row r="244" spans="1:17" x14ac:dyDescent="0.15">
      <c r="A244" s="10">
        <v>45871.618055555969</v>
      </c>
      <c r="B244">
        <f>COUNT(A244:$A$1158)/(48*252)</f>
        <v>7.5644841269841265E-2</v>
      </c>
      <c r="C244">
        <v>2.1840000000000002</v>
      </c>
      <c r="D244">
        <v>7.8E-2</v>
      </c>
      <c r="E244">
        <f t="shared" si="36"/>
        <v>2.7000490634944158E-2</v>
      </c>
      <c r="F244">
        <f t="shared" si="37"/>
        <v>0.51077032864747474</v>
      </c>
      <c r="G244">
        <f t="shared" si="40"/>
        <v>2.0000000000002238E-3</v>
      </c>
      <c r="H244">
        <f>IF(MOD(COUNTA($C$7:C244)-1,$J$2),H243,ROUND(F244*P244,-2))</f>
        <v>5100</v>
      </c>
      <c r="I244">
        <f t="shared" si="41"/>
        <v>0</v>
      </c>
      <c r="J244">
        <f t="shared" si="42"/>
        <v>0</v>
      </c>
      <c r="K244">
        <f t="shared" si="43"/>
        <v>-10113.624600958066</v>
      </c>
      <c r="L244">
        <f t="shared" si="44"/>
        <v>1024.7753990419351</v>
      </c>
      <c r="M244">
        <f t="shared" si="45"/>
        <v>10.200000000002547</v>
      </c>
      <c r="N244">
        <f t="shared" si="47"/>
        <v>1024.7753990419351</v>
      </c>
      <c r="O244" s="5">
        <f t="shared" si="38"/>
        <v>0.11982275461553304</v>
      </c>
      <c r="P244">
        <f t="shared" si="46"/>
        <v>10000</v>
      </c>
      <c r="Q244">
        <f t="shared" si="39"/>
        <v>1198.2275461553304</v>
      </c>
    </row>
    <row r="245" spans="1:17" x14ac:dyDescent="0.15">
      <c r="A245" s="10">
        <v>45871.621527777985</v>
      </c>
      <c r="B245">
        <f>COUNT(A245:$A$1158)/(48*252)</f>
        <v>7.5562169312169317E-2</v>
      </c>
      <c r="C245">
        <v>2.1840000000000002</v>
      </c>
      <c r="D245">
        <v>7.8E-2</v>
      </c>
      <c r="E245">
        <f t="shared" si="36"/>
        <v>2.6924742526282432E-2</v>
      </c>
      <c r="F245">
        <f t="shared" si="37"/>
        <v>0.51074012050667006</v>
      </c>
      <c r="G245">
        <f t="shared" si="40"/>
        <v>0</v>
      </c>
      <c r="H245">
        <f>IF(MOD(COUNTA($C$7:C245)-1,$J$2),H244,ROUND(F245*P245,-2))</f>
        <v>5100</v>
      </c>
      <c r="I245">
        <f t="shared" si="41"/>
        <v>0</v>
      </c>
      <c r="J245">
        <f t="shared" si="42"/>
        <v>0</v>
      </c>
      <c r="K245">
        <f t="shared" si="43"/>
        <v>-10113.624600958066</v>
      </c>
      <c r="L245">
        <f t="shared" si="44"/>
        <v>1024.7753990419351</v>
      </c>
      <c r="M245">
        <f t="shared" si="45"/>
        <v>0</v>
      </c>
      <c r="N245">
        <f t="shared" si="47"/>
        <v>1024.7753990419351</v>
      </c>
      <c r="O245" s="5">
        <f t="shared" si="38"/>
        <v>0.11976339812962955</v>
      </c>
      <c r="P245">
        <f t="shared" si="46"/>
        <v>10000</v>
      </c>
      <c r="Q245">
        <f t="shared" si="39"/>
        <v>1197.6339812962956</v>
      </c>
    </row>
    <row r="246" spans="1:17" x14ac:dyDescent="0.15">
      <c r="A246" s="10">
        <v>45871.625</v>
      </c>
      <c r="B246">
        <f>COUNT(A246:$A$1158)/(48*252)</f>
        <v>7.5479497354497355E-2</v>
      </c>
      <c r="C246">
        <v>2.1869999999999998</v>
      </c>
      <c r="D246">
        <v>7.6999999999999999E-2</v>
      </c>
      <c r="E246">
        <f t="shared" si="36"/>
        <v>3.7349287407523697E-2</v>
      </c>
      <c r="F246">
        <f t="shared" si="37"/>
        <v>0.51489674639199312</v>
      </c>
      <c r="G246">
        <f t="shared" si="40"/>
        <v>2.9999999999996696E-3</v>
      </c>
      <c r="H246">
        <f>IF(MOD(COUNTA($C$7:C246)-1,$J$2),H245,ROUND(F246*P246,-2))</f>
        <v>5100</v>
      </c>
      <c r="I246">
        <f t="shared" si="41"/>
        <v>0</v>
      </c>
      <c r="J246">
        <f t="shared" si="42"/>
        <v>0</v>
      </c>
      <c r="K246">
        <f t="shared" si="43"/>
        <v>-10113.624600958066</v>
      </c>
      <c r="L246">
        <f t="shared" si="44"/>
        <v>1040.0753990419325</v>
      </c>
      <c r="M246">
        <f t="shared" si="45"/>
        <v>15.299999999997453</v>
      </c>
      <c r="N246">
        <f t="shared" si="47"/>
        <v>1040.0753990419325</v>
      </c>
      <c r="O246" s="5">
        <f t="shared" si="38"/>
        <v>0.11824241917354983</v>
      </c>
      <c r="P246">
        <f t="shared" si="46"/>
        <v>10000</v>
      </c>
      <c r="Q246">
        <f t="shared" si="39"/>
        <v>1182.4241917354982</v>
      </c>
    </row>
    <row r="247" spans="1:17" x14ac:dyDescent="0.15">
      <c r="A247" s="10">
        <v>45872.399305555969</v>
      </c>
      <c r="B247">
        <f>COUNT(A247:$A$1158)/(48*252)</f>
        <v>7.5396825396825393E-2</v>
      </c>
      <c r="C247">
        <v>2.177</v>
      </c>
      <c r="D247">
        <v>7.5999999999999998E-2</v>
      </c>
      <c r="E247">
        <f t="shared" si="36"/>
        <v>2.202504652513545E-3</v>
      </c>
      <c r="F247">
        <f t="shared" si="37"/>
        <v>0.5008786715182586</v>
      </c>
      <c r="G247">
        <f t="shared" si="40"/>
        <v>-9.9999999999997868E-3</v>
      </c>
      <c r="H247">
        <f>IF(MOD(COUNTA($C$7:C247)-1,$J$2),H246,ROUND(F247*P247,-2))</f>
        <v>5000</v>
      </c>
      <c r="I247">
        <f t="shared" si="41"/>
        <v>-100</v>
      </c>
      <c r="J247">
        <f t="shared" si="42"/>
        <v>0</v>
      </c>
      <c r="K247">
        <f t="shared" si="43"/>
        <v>-9895.9343974580661</v>
      </c>
      <c r="L247">
        <f t="shared" si="44"/>
        <v>989.06560254193391</v>
      </c>
      <c r="M247">
        <f t="shared" si="45"/>
        <v>-51.009796499998629</v>
      </c>
      <c r="N247">
        <f t="shared" si="47"/>
        <v>989.06560254193391</v>
      </c>
      <c r="O247" s="5">
        <f t="shared" si="38"/>
        <v>0.1231041081029236</v>
      </c>
      <c r="P247">
        <f t="shared" si="46"/>
        <v>10000</v>
      </c>
      <c r="Q247">
        <f t="shared" si="39"/>
        <v>1231.041081029236</v>
      </c>
    </row>
    <row r="248" spans="1:17" x14ac:dyDescent="0.15">
      <c r="A248" s="10">
        <v>45872.402777777985</v>
      </c>
      <c r="B248">
        <f>COUNT(A248:$A$1158)/(48*252)</f>
        <v>7.5314153439153445E-2</v>
      </c>
      <c r="C248">
        <v>2.177</v>
      </c>
      <c r="D248">
        <v>7.5999999999999998E-2</v>
      </c>
      <c r="E248">
        <f t="shared" si="36"/>
        <v>2.113049666476022E-3</v>
      </c>
      <c r="F248">
        <f t="shared" si="37"/>
        <v>0.50084298422522755</v>
      </c>
      <c r="G248">
        <f t="shared" si="40"/>
        <v>0</v>
      </c>
      <c r="H248">
        <f>IF(MOD(COUNTA($C$7:C248)-1,$J$2),H247,ROUND(F248*P248,-2))</f>
        <v>5000</v>
      </c>
      <c r="I248">
        <f t="shared" si="41"/>
        <v>0</v>
      </c>
      <c r="J248">
        <f t="shared" si="42"/>
        <v>0</v>
      </c>
      <c r="K248">
        <f t="shared" si="43"/>
        <v>-9895.9343974580661</v>
      </c>
      <c r="L248">
        <f t="shared" si="44"/>
        <v>989.06560254193391</v>
      </c>
      <c r="M248">
        <f t="shared" si="45"/>
        <v>0</v>
      </c>
      <c r="N248">
        <f t="shared" si="47"/>
        <v>989.06560254193391</v>
      </c>
      <c r="O248" s="5">
        <f t="shared" si="38"/>
        <v>0.12304487978832634</v>
      </c>
      <c r="P248">
        <f t="shared" si="46"/>
        <v>10000</v>
      </c>
      <c r="Q248">
        <f t="shared" si="39"/>
        <v>1230.4487978832635</v>
      </c>
    </row>
    <row r="249" spans="1:17" x14ac:dyDescent="0.15">
      <c r="A249" s="10">
        <v>45872.40625</v>
      </c>
      <c r="B249">
        <f>COUNT(A249:$A$1158)/(48*252)</f>
        <v>7.5231481481481483E-2</v>
      </c>
      <c r="C249">
        <v>2.181</v>
      </c>
      <c r="D249">
        <v>7.5999999999999998E-2</v>
      </c>
      <c r="E249">
        <f t="shared" si="36"/>
        <v>1.6088880542109975E-2</v>
      </c>
      <c r="F249">
        <f t="shared" si="37"/>
        <v>0.50641825779482086</v>
      </c>
      <c r="G249">
        <f t="shared" si="40"/>
        <v>4.0000000000000036E-3</v>
      </c>
      <c r="H249">
        <f>IF(MOD(COUNTA($C$7:C249)-1,$J$2),H248,ROUND(F249*P249,-2))</f>
        <v>5000</v>
      </c>
      <c r="I249">
        <f t="shared" si="41"/>
        <v>0</v>
      </c>
      <c r="J249">
        <f t="shared" si="42"/>
        <v>0</v>
      </c>
      <c r="K249">
        <f t="shared" si="43"/>
        <v>-9895.9343974580661</v>
      </c>
      <c r="L249">
        <f t="shared" si="44"/>
        <v>1009.0656025419339</v>
      </c>
      <c r="M249">
        <f t="shared" si="45"/>
        <v>20</v>
      </c>
      <c r="N249">
        <f t="shared" si="47"/>
        <v>1009.0656025419339</v>
      </c>
      <c r="O249" s="5">
        <f t="shared" si="38"/>
        <v>0.12100007204762719</v>
      </c>
      <c r="P249">
        <f t="shared" si="46"/>
        <v>10000</v>
      </c>
      <c r="Q249">
        <f t="shared" si="39"/>
        <v>1210.0007204762719</v>
      </c>
    </row>
    <row r="250" spans="1:17" x14ac:dyDescent="0.15">
      <c r="A250" s="10">
        <v>45872.409722222015</v>
      </c>
      <c r="B250">
        <f>COUNT(A250:$A$1158)/(48*252)</f>
        <v>7.5148809523809521E-2</v>
      </c>
      <c r="C250">
        <v>2.181</v>
      </c>
      <c r="D250">
        <v>7.5999999999999998E-2</v>
      </c>
      <c r="E250">
        <f t="shared" si="36"/>
        <v>1.600696470029591E-2</v>
      </c>
      <c r="F250">
        <f t="shared" si="37"/>
        <v>0.50638558230992048</v>
      </c>
      <c r="G250">
        <f t="shared" si="40"/>
        <v>0</v>
      </c>
      <c r="H250">
        <f>IF(MOD(COUNTA($C$7:C250)-1,$J$2),H249,ROUND(F250*P250,-2))</f>
        <v>5000</v>
      </c>
      <c r="I250">
        <f t="shared" si="41"/>
        <v>0</v>
      </c>
      <c r="J250">
        <f t="shared" si="42"/>
        <v>0</v>
      </c>
      <c r="K250">
        <f t="shared" si="43"/>
        <v>-9895.9343974580661</v>
      </c>
      <c r="L250">
        <f t="shared" si="44"/>
        <v>1009.0656025419339</v>
      </c>
      <c r="M250">
        <f t="shared" si="45"/>
        <v>0</v>
      </c>
      <c r="N250">
        <f t="shared" si="47"/>
        <v>1009.0656025419339</v>
      </c>
      <c r="O250" s="5">
        <f t="shared" si="38"/>
        <v>0.12094063853707304</v>
      </c>
      <c r="P250">
        <f t="shared" si="46"/>
        <v>10000</v>
      </c>
      <c r="Q250">
        <f t="shared" si="39"/>
        <v>1209.4063853707305</v>
      </c>
    </row>
    <row r="251" spans="1:17" x14ac:dyDescent="0.15">
      <c r="A251" s="10">
        <v>45872.413194444962</v>
      </c>
      <c r="B251">
        <f>COUNT(A251:$A$1158)/(48*252)</f>
        <v>7.5066137566137572E-2</v>
      </c>
      <c r="C251">
        <v>2.1829999999999998</v>
      </c>
      <c r="D251">
        <v>7.6999999999999999E-2</v>
      </c>
      <c r="E251">
        <f t="shared" si="36"/>
        <v>2.2955714999093661E-2</v>
      </c>
      <c r="F251">
        <f t="shared" si="37"/>
        <v>0.50915720102907502</v>
      </c>
      <c r="G251">
        <f t="shared" si="40"/>
        <v>1.9999999999997797E-3</v>
      </c>
      <c r="H251">
        <f>IF(MOD(COUNTA($C$7:C251)-1,$J$2),H250,ROUND(F251*P251,-2))</f>
        <v>5000</v>
      </c>
      <c r="I251">
        <f t="shared" si="41"/>
        <v>0</v>
      </c>
      <c r="J251">
        <f t="shared" si="42"/>
        <v>0</v>
      </c>
      <c r="K251">
        <f t="shared" si="43"/>
        <v>-9895.9343974580661</v>
      </c>
      <c r="L251">
        <f t="shared" si="44"/>
        <v>1019.0656025419339</v>
      </c>
      <c r="M251">
        <f t="shared" si="45"/>
        <v>10</v>
      </c>
      <c r="N251">
        <f t="shared" si="47"/>
        <v>1019.0656025419339</v>
      </c>
      <c r="O251" s="5">
        <f t="shared" si="38"/>
        <v>0.11989668120524555</v>
      </c>
      <c r="P251">
        <f t="shared" si="46"/>
        <v>10000</v>
      </c>
      <c r="Q251">
        <f t="shared" si="39"/>
        <v>1198.9668120524555</v>
      </c>
    </row>
    <row r="252" spans="1:17" x14ac:dyDescent="0.15">
      <c r="A252" s="10">
        <v>45872.416666666977</v>
      </c>
      <c r="B252">
        <f>COUNT(A252:$A$1158)/(48*252)</f>
        <v>7.498346560846561E-2</v>
      </c>
      <c r="C252">
        <v>2.1819999999999999</v>
      </c>
      <c r="D252">
        <v>7.8E-2</v>
      </c>
      <c r="E252">
        <f t="shared" si="36"/>
        <v>1.9360995942386224E-2</v>
      </c>
      <c r="F252">
        <f t="shared" si="37"/>
        <v>0.50772343734969927</v>
      </c>
      <c r="G252">
        <f t="shared" si="40"/>
        <v>-9.9999999999988987E-4</v>
      </c>
      <c r="H252">
        <f>IF(MOD(COUNTA($C$7:C252)-1,$J$2),H251,ROUND(F252*P252,-2))</f>
        <v>5000</v>
      </c>
      <c r="I252">
        <f t="shared" si="41"/>
        <v>0</v>
      </c>
      <c r="J252">
        <f t="shared" si="42"/>
        <v>0</v>
      </c>
      <c r="K252">
        <f t="shared" si="43"/>
        <v>-9895.9343974580661</v>
      </c>
      <c r="L252">
        <f t="shared" si="44"/>
        <v>1014.0656025419339</v>
      </c>
      <c r="M252">
        <f t="shared" si="45"/>
        <v>-5</v>
      </c>
      <c r="N252">
        <f t="shared" si="47"/>
        <v>1014.0656025419339</v>
      </c>
      <c r="O252" s="5">
        <f t="shared" si="38"/>
        <v>0.12032869014159675</v>
      </c>
      <c r="P252">
        <f t="shared" si="46"/>
        <v>10000</v>
      </c>
      <c r="Q252">
        <f t="shared" si="39"/>
        <v>1203.2869014159676</v>
      </c>
    </row>
    <row r="253" spans="1:17" x14ac:dyDescent="0.15">
      <c r="A253" s="10">
        <v>45872.420138888992</v>
      </c>
      <c r="B253">
        <f>COUNT(A253:$A$1158)/(48*252)</f>
        <v>7.4900793650793648E-2</v>
      </c>
      <c r="C253">
        <v>2.1800000000000002</v>
      </c>
      <c r="D253">
        <v>7.4999999999999997E-2</v>
      </c>
      <c r="E253">
        <f t="shared" si="36"/>
        <v>1.2239029960020461E-2</v>
      </c>
      <c r="F253">
        <f t="shared" si="37"/>
        <v>0.50488254462598459</v>
      </c>
      <c r="G253">
        <f t="shared" si="40"/>
        <v>-1.9999999999997797E-3</v>
      </c>
      <c r="H253">
        <f>IF(MOD(COUNTA($C$7:C253)-1,$J$2),H252,ROUND(F253*P253,-2))</f>
        <v>5000</v>
      </c>
      <c r="I253">
        <f t="shared" si="41"/>
        <v>0</v>
      </c>
      <c r="J253">
        <f t="shared" si="42"/>
        <v>0</v>
      </c>
      <c r="K253">
        <f t="shared" si="43"/>
        <v>-9895.9343974580661</v>
      </c>
      <c r="L253">
        <f t="shared" si="44"/>
        <v>1004.0656025419339</v>
      </c>
      <c r="M253">
        <f t="shared" si="45"/>
        <v>-10</v>
      </c>
      <c r="N253">
        <f t="shared" si="47"/>
        <v>1004.0656025419339</v>
      </c>
      <c r="O253" s="5">
        <f t="shared" si="38"/>
        <v>0.12125654644835437</v>
      </c>
      <c r="P253">
        <f t="shared" si="46"/>
        <v>10000</v>
      </c>
      <c r="Q253">
        <f t="shared" si="39"/>
        <v>1212.5654644835438</v>
      </c>
    </row>
    <row r="254" spans="1:17" x14ac:dyDescent="0.15">
      <c r="A254" s="10">
        <v>45872.423611111008</v>
      </c>
      <c r="B254">
        <f>COUNT(A254:$A$1158)/(48*252)</f>
        <v>7.4818121693121686E-2</v>
      </c>
      <c r="C254">
        <v>2.181</v>
      </c>
      <c r="D254">
        <v>7.5999999999999998E-2</v>
      </c>
      <c r="E254">
        <f t="shared" si="36"/>
        <v>1.5678446050377916E-2</v>
      </c>
      <c r="F254">
        <f t="shared" si="37"/>
        <v>0.5062545387775832</v>
      </c>
      <c r="G254">
        <f t="shared" si="40"/>
        <v>9.9999999999988987E-4</v>
      </c>
      <c r="H254">
        <f>IF(MOD(COUNTA($C$7:C254)-1,$J$2),H253,ROUND(F254*P254,-2))</f>
        <v>5000</v>
      </c>
      <c r="I254">
        <f t="shared" si="41"/>
        <v>0</v>
      </c>
      <c r="J254">
        <f t="shared" si="42"/>
        <v>0</v>
      </c>
      <c r="K254">
        <f t="shared" si="43"/>
        <v>-9895.9343974580661</v>
      </c>
      <c r="L254">
        <f t="shared" si="44"/>
        <v>1009.0656025419339</v>
      </c>
      <c r="M254">
        <f t="shared" si="45"/>
        <v>5</v>
      </c>
      <c r="N254">
        <f t="shared" si="47"/>
        <v>1009.0656025419339</v>
      </c>
      <c r="O254" s="5">
        <f t="shared" si="38"/>
        <v>0.12070256005678104</v>
      </c>
      <c r="P254">
        <f t="shared" si="46"/>
        <v>10000</v>
      </c>
      <c r="Q254">
        <f t="shared" si="39"/>
        <v>1207.0256005678104</v>
      </c>
    </row>
    <row r="255" spans="1:17" x14ac:dyDescent="0.15">
      <c r="A255" s="10">
        <v>45872.427083333023</v>
      </c>
      <c r="B255">
        <f>COUNT(A255:$A$1158)/(48*252)</f>
        <v>7.4735449735449738E-2</v>
      </c>
      <c r="C255">
        <v>2.1819999999999999</v>
      </c>
      <c r="D255">
        <v>7.5999999999999998E-2</v>
      </c>
      <c r="E255">
        <f t="shared" si="36"/>
        <v>1.9120053369819638E-2</v>
      </c>
      <c r="F255">
        <f t="shared" si="37"/>
        <v>0.50762733296104878</v>
      </c>
      <c r="G255">
        <f t="shared" si="40"/>
        <v>9.9999999999988987E-4</v>
      </c>
      <c r="H255">
        <f>IF(MOD(COUNTA($C$7:C255)-1,$J$2),H254,ROUND(F255*P255,-2))</f>
        <v>5000</v>
      </c>
      <c r="I255">
        <f t="shared" si="41"/>
        <v>0</v>
      </c>
      <c r="J255">
        <f t="shared" si="42"/>
        <v>0</v>
      </c>
      <c r="K255">
        <f t="shared" si="43"/>
        <v>-9895.9343974580661</v>
      </c>
      <c r="L255">
        <f t="shared" si="44"/>
        <v>1014.0656025419339</v>
      </c>
      <c r="M255">
        <f t="shared" si="45"/>
        <v>5</v>
      </c>
      <c r="N255">
        <f t="shared" si="47"/>
        <v>1014.0656025419339</v>
      </c>
      <c r="O255" s="5">
        <f t="shared" si="38"/>
        <v>0.12014987861744553</v>
      </c>
      <c r="P255">
        <f t="shared" si="46"/>
        <v>10000</v>
      </c>
      <c r="Q255">
        <f t="shared" si="39"/>
        <v>1201.4987861744553</v>
      </c>
    </row>
    <row r="256" spans="1:17" x14ac:dyDescent="0.15">
      <c r="A256" s="10">
        <v>45872.430555555969</v>
      </c>
      <c r="B256">
        <f>COUNT(A256:$A$1158)/(48*252)</f>
        <v>7.4652777777777776E-2</v>
      </c>
      <c r="C256">
        <v>2.1850000000000001</v>
      </c>
      <c r="D256">
        <v>7.8E-2</v>
      </c>
      <c r="E256">
        <f t="shared" si="36"/>
        <v>2.9607593557365162E-2</v>
      </c>
      <c r="F256">
        <f t="shared" si="37"/>
        <v>0.51180999540655303</v>
      </c>
      <c r="G256">
        <f t="shared" si="40"/>
        <v>3.0000000000001137E-3</v>
      </c>
      <c r="H256">
        <f>IF(MOD(COUNTA($C$7:C256)-1,$J$2),H255,ROUND(F256*P256,-2))</f>
        <v>5000</v>
      </c>
      <c r="I256">
        <f t="shared" si="41"/>
        <v>0</v>
      </c>
      <c r="J256">
        <f t="shared" si="42"/>
        <v>0</v>
      </c>
      <c r="K256">
        <f t="shared" si="43"/>
        <v>-9895.9343974580661</v>
      </c>
      <c r="L256">
        <f t="shared" si="44"/>
        <v>1029.0656025419339</v>
      </c>
      <c r="M256">
        <f t="shared" si="45"/>
        <v>15</v>
      </c>
      <c r="N256">
        <f t="shared" si="47"/>
        <v>1029.0656025419339</v>
      </c>
      <c r="O256" s="5">
        <f t="shared" si="38"/>
        <v>0.11861931500219036</v>
      </c>
      <c r="P256">
        <f t="shared" si="46"/>
        <v>10000</v>
      </c>
      <c r="Q256">
        <f t="shared" si="39"/>
        <v>1186.1931500219036</v>
      </c>
    </row>
    <row r="257" spans="1:17" x14ac:dyDescent="0.15">
      <c r="A257" s="10">
        <v>45872.434027777985</v>
      </c>
      <c r="B257">
        <f>COUNT(A257:$A$1158)/(48*252)</f>
        <v>7.4570105820105814E-2</v>
      </c>
      <c r="C257">
        <v>2.1840000000000002</v>
      </c>
      <c r="D257">
        <v>7.6999999999999999E-2</v>
      </c>
      <c r="E257">
        <f t="shared" si="36"/>
        <v>2.6009874864099121E-2</v>
      </c>
      <c r="F257">
        <f t="shared" si="37"/>
        <v>0.51037526894297769</v>
      </c>
      <c r="G257">
        <f t="shared" si="40"/>
        <v>-9.9999999999988987E-4</v>
      </c>
      <c r="H257">
        <f>IF(MOD(COUNTA($C$7:C257)-1,$J$2),H256,ROUND(F257*P257,-2))</f>
        <v>5000</v>
      </c>
      <c r="I257">
        <f t="shared" si="41"/>
        <v>0</v>
      </c>
      <c r="J257">
        <f t="shared" si="42"/>
        <v>0</v>
      </c>
      <c r="K257">
        <f t="shared" si="43"/>
        <v>-9895.9343974580661</v>
      </c>
      <c r="L257">
        <f t="shared" si="44"/>
        <v>1024.0656025419339</v>
      </c>
      <c r="M257">
        <f t="shared" si="45"/>
        <v>-5</v>
      </c>
      <c r="N257">
        <f t="shared" si="47"/>
        <v>1024.0656025419339</v>
      </c>
      <c r="O257" s="5">
        <f t="shared" si="38"/>
        <v>0.11904843637617568</v>
      </c>
      <c r="P257">
        <f t="shared" si="46"/>
        <v>10000</v>
      </c>
      <c r="Q257">
        <f t="shared" si="39"/>
        <v>1190.4843637617569</v>
      </c>
    </row>
    <row r="258" spans="1:17" x14ac:dyDescent="0.15">
      <c r="A258" s="10">
        <v>45872.4375</v>
      </c>
      <c r="B258">
        <f>COUNT(A258:$A$1158)/(48*252)</f>
        <v>7.4487433862433866E-2</v>
      </c>
      <c r="C258">
        <v>2.1840000000000002</v>
      </c>
      <c r="D258">
        <v>7.6999999999999999E-2</v>
      </c>
      <c r="E258">
        <f t="shared" si="36"/>
        <v>2.5933139521979745E-2</v>
      </c>
      <c r="F258">
        <f t="shared" si="37"/>
        <v>0.51034466629339048</v>
      </c>
      <c r="G258">
        <f t="shared" si="40"/>
        <v>0</v>
      </c>
      <c r="H258">
        <f>IF(MOD(COUNTA($C$7:C258)-1,$J$2),H257,ROUND(F258*P258,-2))</f>
        <v>5000</v>
      </c>
      <c r="I258">
        <f t="shared" si="41"/>
        <v>0</v>
      </c>
      <c r="J258">
        <f t="shared" si="42"/>
        <v>0</v>
      </c>
      <c r="K258">
        <f t="shared" si="43"/>
        <v>-9895.9343974580661</v>
      </c>
      <c r="L258">
        <f t="shared" si="44"/>
        <v>1024.0656025419339</v>
      </c>
      <c r="M258">
        <f t="shared" si="45"/>
        <v>0</v>
      </c>
      <c r="N258">
        <f t="shared" si="47"/>
        <v>1024.0656025419339</v>
      </c>
      <c r="O258" s="5">
        <f t="shared" si="38"/>
        <v>0.11898863084978295</v>
      </c>
      <c r="P258">
        <f t="shared" si="46"/>
        <v>10000</v>
      </c>
      <c r="Q258">
        <f t="shared" si="39"/>
        <v>1189.8863084978295</v>
      </c>
    </row>
    <row r="259" spans="1:17" x14ac:dyDescent="0.15">
      <c r="A259" s="10">
        <v>45872.440972222015</v>
      </c>
      <c r="B259">
        <f>COUNT(A259:$A$1158)/(48*252)</f>
        <v>7.4404761904761904E-2</v>
      </c>
      <c r="C259">
        <v>2.1800000000000002</v>
      </c>
      <c r="D259">
        <v>7.4999999999999997E-2</v>
      </c>
      <c r="E259">
        <f t="shared" si="36"/>
        <v>1.1732463764727766E-2</v>
      </c>
      <c r="F259">
        <f t="shared" si="37"/>
        <v>0.50468046847048309</v>
      </c>
      <c r="G259">
        <f t="shared" si="40"/>
        <v>-4.0000000000000036E-3</v>
      </c>
      <c r="H259">
        <f>IF(MOD(COUNTA($C$7:C259)-1,$J$2),H258,ROUND(F259*P259,-2))</f>
        <v>5000</v>
      </c>
      <c r="I259">
        <f t="shared" si="41"/>
        <v>0</v>
      </c>
      <c r="J259">
        <f t="shared" si="42"/>
        <v>0</v>
      </c>
      <c r="K259">
        <f t="shared" si="43"/>
        <v>-9895.9343974580661</v>
      </c>
      <c r="L259">
        <f t="shared" si="44"/>
        <v>1004.0656025419339</v>
      </c>
      <c r="M259">
        <f t="shared" si="45"/>
        <v>-20</v>
      </c>
      <c r="N259">
        <f t="shared" si="47"/>
        <v>1004.0656025419339</v>
      </c>
      <c r="O259" s="5">
        <f t="shared" si="38"/>
        <v>0.12089879743869725</v>
      </c>
      <c r="P259">
        <f t="shared" si="46"/>
        <v>10000</v>
      </c>
      <c r="Q259">
        <f t="shared" si="39"/>
        <v>1208.9879743869724</v>
      </c>
    </row>
    <row r="260" spans="1:17" x14ac:dyDescent="0.15">
      <c r="A260" s="10">
        <v>45872.444444444962</v>
      </c>
      <c r="B260">
        <f>COUNT(A260:$A$1158)/(48*252)</f>
        <v>7.4322089947089942E-2</v>
      </c>
      <c r="C260">
        <v>2.1789999999999998</v>
      </c>
      <c r="D260">
        <v>7.3999999999999996E-2</v>
      </c>
      <c r="E260">
        <f t="shared" si="36"/>
        <v>8.1107400466646235E-3</v>
      </c>
      <c r="F260">
        <f t="shared" si="37"/>
        <v>0.50323568165385091</v>
      </c>
      <c r="G260">
        <f t="shared" si="40"/>
        <v>-1.000000000000334E-3</v>
      </c>
      <c r="H260">
        <f>IF(MOD(COUNTA($C$7:C260)-1,$J$2),H259,ROUND(F260*P260,-2))</f>
        <v>5000</v>
      </c>
      <c r="I260">
        <f t="shared" si="41"/>
        <v>0</v>
      </c>
      <c r="J260">
        <f t="shared" si="42"/>
        <v>0</v>
      </c>
      <c r="K260">
        <f t="shared" si="43"/>
        <v>-9895.9343974580661</v>
      </c>
      <c r="L260">
        <f t="shared" si="44"/>
        <v>999.06560254193391</v>
      </c>
      <c r="M260">
        <f t="shared" si="45"/>
        <v>-5</v>
      </c>
      <c r="N260">
        <f t="shared" si="47"/>
        <v>999.06560254193391</v>
      </c>
      <c r="O260" s="5">
        <f t="shared" si="38"/>
        <v>0.12133510968060079</v>
      </c>
      <c r="P260">
        <f t="shared" si="46"/>
        <v>10000</v>
      </c>
      <c r="Q260">
        <f t="shared" si="39"/>
        <v>1213.3510968060079</v>
      </c>
    </row>
    <row r="261" spans="1:17" x14ac:dyDescent="0.15">
      <c r="A261" s="10">
        <v>45872.447916666977</v>
      </c>
      <c r="B261">
        <f>COUNT(A261:$A$1158)/(48*252)</f>
        <v>7.4239417989417994E-2</v>
      </c>
      <c r="C261">
        <v>2.1739999999999999</v>
      </c>
      <c r="D261">
        <v>7.1999999999999995E-2</v>
      </c>
      <c r="E261">
        <f t="shared" si="36"/>
        <v>-9.6952069254194039E-3</v>
      </c>
      <c r="F261">
        <f t="shared" si="37"/>
        <v>0.4961322326334166</v>
      </c>
      <c r="G261">
        <f t="shared" si="40"/>
        <v>-4.9999999999998934E-3</v>
      </c>
      <c r="H261">
        <f>IF(MOD(COUNTA($C$7:C261)-1,$J$2),H260,ROUND(F261*P261,-2))</f>
        <v>5000</v>
      </c>
      <c r="I261">
        <f t="shared" si="41"/>
        <v>0</v>
      </c>
      <c r="J261">
        <f t="shared" si="42"/>
        <v>0</v>
      </c>
      <c r="K261">
        <f t="shared" si="43"/>
        <v>-9895.9343974580661</v>
      </c>
      <c r="L261">
        <f t="shared" si="44"/>
        <v>974.06560254193391</v>
      </c>
      <c r="M261">
        <f t="shared" si="45"/>
        <v>-25</v>
      </c>
      <c r="N261">
        <f t="shared" si="47"/>
        <v>974.06560254193391</v>
      </c>
      <c r="O261" s="5">
        <f t="shared" si="38"/>
        <v>0.12377702252697742</v>
      </c>
      <c r="P261">
        <f t="shared" si="46"/>
        <v>10000</v>
      </c>
      <c r="Q261">
        <f t="shared" si="39"/>
        <v>1237.7702252697743</v>
      </c>
    </row>
    <row r="262" spans="1:17" x14ac:dyDescent="0.15">
      <c r="A262" s="10">
        <v>45872.451388888992</v>
      </c>
      <c r="B262">
        <f>COUNT(A262:$A$1158)/(48*252)</f>
        <v>7.4156746031746032E-2</v>
      </c>
      <c r="C262">
        <v>2.1739999999999999</v>
      </c>
      <c r="D262">
        <v>7.0999999999999994E-2</v>
      </c>
      <c r="E262">
        <f t="shared" si="36"/>
        <v>-9.7919779333183344E-3</v>
      </c>
      <c r="F262">
        <f t="shared" si="37"/>
        <v>0.4960936284194028</v>
      </c>
      <c r="G262">
        <f t="shared" si="40"/>
        <v>0</v>
      </c>
      <c r="H262">
        <f>IF(MOD(COUNTA($C$7:C262)-1,$J$2),H261,ROUND(F262*P262,-2))</f>
        <v>5000</v>
      </c>
      <c r="I262">
        <f t="shared" si="41"/>
        <v>0</v>
      </c>
      <c r="J262">
        <f t="shared" si="42"/>
        <v>0</v>
      </c>
      <c r="K262">
        <f t="shared" si="43"/>
        <v>-9895.9343974580661</v>
      </c>
      <c r="L262">
        <f t="shared" si="44"/>
        <v>974.06560254193391</v>
      </c>
      <c r="M262">
        <f t="shared" si="45"/>
        <v>0</v>
      </c>
      <c r="N262">
        <f t="shared" si="47"/>
        <v>974.06560254193391</v>
      </c>
      <c r="O262" s="5">
        <f t="shared" si="38"/>
        <v>0.12371742354373771</v>
      </c>
      <c r="P262">
        <f t="shared" si="46"/>
        <v>10000</v>
      </c>
      <c r="Q262">
        <f t="shared" si="39"/>
        <v>1237.1742354373771</v>
      </c>
    </row>
    <row r="263" spans="1:17" x14ac:dyDescent="0.15">
      <c r="A263" s="10">
        <v>45872.454861111008</v>
      </c>
      <c r="B263">
        <f>COUNT(A263:$A$1158)/(48*252)</f>
        <v>7.407407407407407E-2</v>
      </c>
      <c r="C263">
        <v>2.173</v>
      </c>
      <c r="D263">
        <v>7.0999999999999994E-2</v>
      </c>
      <c r="E263">
        <f t="shared" si="36"/>
        <v>-1.3441537126017387E-2</v>
      </c>
      <c r="F263">
        <f t="shared" si="37"/>
        <v>0.49463776399759274</v>
      </c>
      <c r="G263">
        <f t="shared" si="40"/>
        <v>-9.9999999999988987E-4</v>
      </c>
      <c r="H263">
        <f>IF(MOD(COUNTA($C$7:C263)-1,$J$2),H262,ROUND(F263*P263,-2))</f>
        <v>5000</v>
      </c>
      <c r="I263">
        <f t="shared" si="41"/>
        <v>0</v>
      </c>
      <c r="J263">
        <f t="shared" si="42"/>
        <v>0</v>
      </c>
      <c r="K263">
        <f t="shared" si="43"/>
        <v>-9895.9343974580661</v>
      </c>
      <c r="L263">
        <f t="shared" si="44"/>
        <v>969.06560254193391</v>
      </c>
      <c r="M263">
        <f t="shared" si="45"/>
        <v>-5</v>
      </c>
      <c r="N263">
        <f t="shared" si="47"/>
        <v>969.06560254193391</v>
      </c>
      <c r="O263" s="5">
        <f t="shared" si="38"/>
        <v>0.1241624433423576</v>
      </c>
      <c r="P263">
        <f t="shared" si="46"/>
        <v>10000</v>
      </c>
      <c r="Q263">
        <f t="shared" si="39"/>
        <v>1241.624433423576</v>
      </c>
    </row>
    <row r="264" spans="1:17" x14ac:dyDescent="0.15">
      <c r="A264" s="10">
        <v>45872.458333333023</v>
      </c>
      <c r="B264">
        <f>COUNT(A264:$A$1158)/(48*252)</f>
        <v>7.3991402116402122E-2</v>
      </c>
      <c r="C264">
        <v>2.1739999999999999</v>
      </c>
      <c r="D264">
        <v>7.0999999999999994E-2</v>
      </c>
      <c r="E264">
        <f t="shared" ref="E264:E327" si="48">(LN(C264/$B$2)+($B$1+0.5*$D$1*$D$1)*B264)/($D$1*SQRT(B264))</f>
        <v>-9.9858531925348087E-3</v>
      </c>
      <c r="F264">
        <f t="shared" ref="F264:F327" si="49">NORMSDIST(E264)</f>
        <v>0.49601628716321705</v>
      </c>
      <c r="G264">
        <f t="shared" si="40"/>
        <v>9.9999999999988987E-4</v>
      </c>
      <c r="H264">
        <f>IF(MOD(COUNTA($C$7:C264)-1,$J$2),H263,ROUND(F264*P264,-2))</f>
        <v>5000</v>
      </c>
      <c r="I264">
        <f t="shared" si="41"/>
        <v>0</v>
      </c>
      <c r="J264">
        <f t="shared" si="42"/>
        <v>0</v>
      </c>
      <c r="K264">
        <f t="shared" si="43"/>
        <v>-9895.9343974580661</v>
      </c>
      <c r="L264">
        <f t="shared" si="44"/>
        <v>974.06560254193391</v>
      </c>
      <c r="M264">
        <f t="shared" si="45"/>
        <v>5</v>
      </c>
      <c r="N264">
        <f t="shared" si="47"/>
        <v>974.06560254193391</v>
      </c>
      <c r="O264" s="5">
        <f t="shared" ref="O264:O327" si="50">put_bs($B$1,$J$1,C264,$B$2,B264)</f>
        <v>0.12359812112951651</v>
      </c>
      <c r="P264">
        <f t="shared" si="46"/>
        <v>10000</v>
      </c>
      <c r="Q264">
        <f t="shared" ref="Q264:Q327" si="51">P264*O264</f>
        <v>1235.9812112951652</v>
      </c>
    </row>
    <row r="265" spans="1:17" x14ac:dyDescent="0.15">
      <c r="A265" s="10">
        <v>45872.461805555969</v>
      </c>
      <c r="B265">
        <f>COUNT(A265:$A$1158)/(48*252)</f>
        <v>7.390873015873016E-2</v>
      </c>
      <c r="C265">
        <v>2.1640000000000001</v>
      </c>
      <c r="D265">
        <v>6.7000000000000004E-2</v>
      </c>
      <c r="E265">
        <f t="shared" si="48"/>
        <v>-4.5723298798841808E-2</v>
      </c>
      <c r="F265">
        <f t="shared" si="49"/>
        <v>0.48176539673551633</v>
      </c>
      <c r="G265">
        <f t="shared" ref="G265:G328" si="52">C265-C264</f>
        <v>-9.9999999999997868E-3</v>
      </c>
      <c r="H265">
        <f>IF(MOD(COUNTA($C$7:C265)-1,$J$2),H264,ROUND(F265*P265,-2))</f>
        <v>4800</v>
      </c>
      <c r="I265">
        <f t="shared" ref="I265:I328" si="53">H265-H264</f>
        <v>-200</v>
      </c>
      <c r="J265">
        <f t="shared" ref="J265:J328" si="54">J264</f>
        <v>0</v>
      </c>
      <c r="K265">
        <f t="shared" ref="K265:K328" si="55">K264-I265*C265-ABS(I265*C265*$F$2)</f>
        <v>-9463.1538734580663</v>
      </c>
      <c r="L265">
        <f t="shared" ref="L265:L328" si="56">K265+H265*C265</f>
        <v>924.04612654193443</v>
      </c>
      <c r="M265">
        <f t="shared" ref="M265:M328" si="57">L265-L264</f>
        <v>-50.019475999999486</v>
      </c>
      <c r="N265">
        <f t="shared" si="47"/>
        <v>924.04612654193443</v>
      </c>
      <c r="O265" s="5">
        <f t="shared" si="50"/>
        <v>0.12864966002301403</v>
      </c>
      <c r="P265">
        <f t="shared" ref="P265:P328" si="58">P264</f>
        <v>10000</v>
      </c>
      <c r="Q265">
        <f t="shared" si="51"/>
        <v>1286.4966002301403</v>
      </c>
    </row>
    <row r="266" spans="1:17" x14ac:dyDescent="0.15">
      <c r="A266" s="10">
        <v>45872.465277777985</v>
      </c>
      <c r="B266">
        <f>COUNT(A266:$A$1158)/(48*252)</f>
        <v>7.3826058201058198E-2</v>
      </c>
      <c r="C266">
        <v>2.165</v>
      </c>
      <c r="D266">
        <v>6.7000000000000004E-2</v>
      </c>
      <c r="E266">
        <f t="shared" si="48"/>
        <v>-4.2267028687330947E-2</v>
      </c>
      <c r="F266">
        <f t="shared" si="49"/>
        <v>0.48314291454107144</v>
      </c>
      <c r="G266">
        <f t="shared" si="52"/>
        <v>9.9999999999988987E-4</v>
      </c>
      <c r="H266">
        <f>IF(MOD(COUNTA($C$7:C266)-1,$J$2),H265,ROUND(F266*P266,-2))</f>
        <v>4800</v>
      </c>
      <c r="I266">
        <f t="shared" si="53"/>
        <v>0</v>
      </c>
      <c r="J266">
        <f t="shared" si="54"/>
        <v>0</v>
      </c>
      <c r="K266">
        <f t="shared" si="55"/>
        <v>-9463.1538734580663</v>
      </c>
      <c r="L266">
        <f t="shared" si="56"/>
        <v>928.8461265419337</v>
      </c>
      <c r="M266">
        <f t="shared" si="57"/>
        <v>4.7999999999992724</v>
      </c>
      <c r="N266">
        <f t="shared" ref="N266:N329" si="59">L266-$F$1</f>
        <v>928.8461265419337</v>
      </c>
      <c r="O266" s="5">
        <f t="shared" si="50"/>
        <v>0.12807277975738152</v>
      </c>
      <c r="P266">
        <f t="shared" si="58"/>
        <v>10000</v>
      </c>
      <c r="Q266">
        <f t="shared" si="51"/>
        <v>1280.7277975738152</v>
      </c>
    </row>
    <row r="267" spans="1:17" x14ac:dyDescent="0.15">
      <c r="A267" s="10">
        <v>45872.46875</v>
      </c>
      <c r="B267">
        <f>COUNT(A267:$A$1158)/(48*252)</f>
        <v>7.374338624338625E-2</v>
      </c>
      <c r="C267">
        <v>2.1629999999999998</v>
      </c>
      <c r="D267">
        <v>6.5000000000000002E-2</v>
      </c>
      <c r="E267">
        <f t="shared" si="48"/>
        <v>-4.9534869066789541E-2</v>
      </c>
      <c r="F267">
        <f t="shared" si="49"/>
        <v>0.48024652489960801</v>
      </c>
      <c r="G267">
        <f t="shared" si="52"/>
        <v>-2.0000000000002238E-3</v>
      </c>
      <c r="H267">
        <f>IF(MOD(COUNTA($C$7:C267)-1,$J$2),H266,ROUND(F267*P267,-2))</f>
        <v>4800</v>
      </c>
      <c r="I267">
        <f t="shared" si="53"/>
        <v>0</v>
      </c>
      <c r="J267">
        <f t="shared" si="54"/>
        <v>0</v>
      </c>
      <c r="K267">
        <f t="shared" si="55"/>
        <v>-9463.1538734580663</v>
      </c>
      <c r="L267">
        <f t="shared" si="56"/>
        <v>919.24612654193334</v>
      </c>
      <c r="M267">
        <f t="shared" si="57"/>
        <v>-9.6000000000003638</v>
      </c>
      <c r="N267">
        <f t="shared" si="59"/>
        <v>919.24612654193334</v>
      </c>
      <c r="O267" s="5">
        <f t="shared" si="50"/>
        <v>0.12905004401354159</v>
      </c>
      <c r="P267">
        <f t="shared" si="58"/>
        <v>10000</v>
      </c>
      <c r="Q267">
        <f t="shared" si="51"/>
        <v>1290.5004401354158</v>
      </c>
    </row>
    <row r="268" spans="1:17" x14ac:dyDescent="0.15">
      <c r="A268" s="10">
        <v>45872.472222222015</v>
      </c>
      <c r="B268">
        <f>COUNT(A268:$A$1158)/(48*252)</f>
        <v>7.3660714285714288E-2</v>
      </c>
      <c r="C268">
        <v>2.1539999999999999</v>
      </c>
      <c r="D268">
        <v>6.2E-2</v>
      </c>
      <c r="E268">
        <f t="shared" si="48"/>
        <v>-8.1940882758930259E-2</v>
      </c>
      <c r="F268">
        <f t="shared" si="49"/>
        <v>0.46734686199500713</v>
      </c>
      <c r="G268">
        <f t="shared" si="52"/>
        <v>-8.999999999999897E-3</v>
      </c>
      <c r="H268">
        <f>IF(MOD(COUNTA($C$7:C268)-1,$J$2),H267,ROUND(F268*P268,-2))</f>
        <v>4800</v>
      </c>
      <c r="I268">
        <f t="shared" si="53"/>
        <v>0</v>
      </c>
      <c r="J268">
        <f t="shared" si="54"/>
        <v>0</v>
      </c>
      <c r="K268">
        <f t="shared" si="55"/>
        <v>-9463.1538734580663</v>
      </c>
      <c r="L268">
        <f t="shared" si="56"/>
        <v>876.04612654193261</v>
      </c>
      <c r="M268">
        <f t="shared" si="57"/>
        <v>-43.200000000000728</v>
      </c>
      <c r="N268">
        <f t="shared" si="59"/>
        <v>876.04612654193261</v>
      </c>
      <c r="O268" s="5">
        <f t="shared" si="50"/>
        <v>0.13372673526892109</v>
      </c>
      <c r="P268">
        <f t="shared" si="58"/>
        <v>10000</v>
      </c>
      <c r="Q268">
        <f t="shared" si="51"/>
        <v>1337.2673526892108</v>
      </c>
    </row>
    <row r="269" spans="1:17" x14ac:dyDescent="0.15">
      <c r="A269" s="10">
        <v>45872.475694444962</v>
      </c>
      <c r="B269">
        <f>COUNT(A269:$A$1158)/(48*252)</f>
        <v>7.3578042328042326E-2</v>
      </c>
      <c r="C269">
        <v>2.15</v>
      </c>
      <c r="D269">
        <v>6.2E-2</v>
      </c>
      <c r="E269">
        <f t="shared" si="48"/>
        <v>-9.6479617189661096E-2</v>
      </c>
      <c r="F269">
        <f t="shared" si="49"/>
        <v>0.46156983076286989</v>
      </c>
      <c r="G269">
        <f t="shared" si="52"/>
        <v>-4.0000000000000036E-3</v>
      </c>
      <c r="H269">
        <f>IF(MOD(COUNTA($C$7:C269)-1,$J$2),H268,ROUND(F269*P269,-2))</f>
        <v>4800</v>
      </c>
      <c r="I269">
        <f t="shared" si="53"/>
        <v>0</v>
      </c>
      <c r="J269">
        <f t="shared" si="54"/>
        <v>0</v>
      </c>
      <c r="K269">
        <f t="shared" si="55"/>
        <v>-9463.1538734580663</v>
      </c>
      <c r="L269">
        <f t="shared" si="56"/>
        <v>856.8461265419337</v>
      </c>
      <c r="M269">
        <f t="shared" si="57"/>
        <v>-19.199999999998909</v>
      </c>
      <c r="N269">
        <f t="shared" si="59"/>
        <v>856.8461265419337</v>
      </c>
      <c r="O269" s="5">
        <f t="shared" si="50"/>
        <v>0.13581010373815428</v>
      </c>
      <c r="P269">
        <f t="shared" si="58"/>
        <v>10000</v>
      </c>
      <c r="Q269">
        <f t="shared" si="51"/>
        <v>1358.1010373815427</v>
      </c>
    </row>
    <row r="270" spans="1:17" x14ac:dyDescent="0.15">
      <c r="A270" s="10">
        <v>45872.479166666977</v>
      </c>
      <c r="B270">
        <f>COUNT(A270:$A$1158)/(48*252)</f>
        <v>7.3495370370370364E-2</v>
      </c>
      <c r="C270">
        <v>2.157</v>
      </c>
      <c r="D270">
        <v>6.3E-2</v>
      </c>
      <c r="E270">
        <f t="shared" si="48"/>
        <v>-7.1427296175685731E-2</v>
      </c>
      <c r="F270">
        <f t="shared" si="49"/>
        <v>0.47152884293965541</v>
      </c>
      <c r="G270">
        <f t="shared" si="52"/>
        <v>7.0000000000001172E-3</v>
      </c>
      <c r="H270">
        <f>IF(MOD(COUNTA($C$7:C270)-1,$J$2),H269,ROUND(F270*P270,-2))</f>
        <v>4800</v>
      </c>
      <c r="I270">
        <f t="shared" si="53"/>
        <v>0</v>
      </c>
      <c r="J270">
        <f t="shared" si="54"/>
        <v>0</v>
      </c>
      <c r="K270">
        <f t="shared" si="55"/>
        <v>-9463.1538734580663</v>
      </c>
      <c r="L270">
        <f t="shared" si="56"/>
        <v>890.44612654193406</v>
      </c>
      <c r="M270">
        <f t="shared" si="57"/>
        <v>33.600000000000364</v>
      </c>
      <c r="N270">
        <f t="shared" si="59"/>
        <v>890.44612654193406</v>
      </c>
      <c r="O270" s="5">
        <f t="shared" si="50"/>
        <v>0.13201703779645668</v>
      </c>
      <c r="P270">
        <f t="shared" si="58"/>
        <v>10000</v>
      </c>
      <c r="Q270">
        <f t="shared" si="51"/>
        <v>1320.1703779645668</v>
      </c>
    </row>
    <row r="271" spans="1:17" x14ac:dyDescent="0.15">
      <c r="A271" s="10">
        <v>45872.545138888992</v>
      </c>
      <c r="B271">
        <f>COUNT(A271:$A$1158)/(48*252)</f>
        <v>7.3412698412698416E-2</v>
      </c>
      <c r="C271">
        <v>2.1539999999999999</v>
      </c>
      <c r="D271">
        <v>6.0999999999999999E-2</v>
      </c>
      <c r="E271">
        <f t="shared" si="48"/>
        <v>-8.2354670067912181E-2</v>
      </c>
      <c r="F271">
        <f t="shared" si="49"/>
        <v>0.46718234079677823</v>
      </c>
      <c r="G271">
        <f t="shared" si="52"/>
        <v>-3.0000000000001137E-3</v>
      </c>
      <c r="H271">
        <f>IF(MOD(COUNTA($C$7:C271)-1,$J$2),H270,ROUND(F271*P271,-2))</f>
        <v>4700</v>
      </c>
      <c r="I271">
        <f t="shared" si="53"/>
        <v>-100</v>
      </c>
      <c r="J271">
        <f t="shared" si="54"/>
        <v>0</v>
      </c>
      <c r="K271">
        <f t="shared" si="55"/>
        <v>-9247.7635664580666</v>
      </c>
      <c r="L271">
        <f t="shared" si="56"/>
        <v>876.03643354193264</v>
      </c>
      <c r="M271">
        <f t="shared" si="57"/>
        <v>-14.409693000001425</v>
      </c>
      <c r="N271">
        <f t="shared" si="59"/>
        <v>876.03643354193264</v>
      </c>
      <c r="O271" s="5">
        <f t="shared" si="50"/>
        <v>0.13354991332517141</v>
      </c>
      <c r="P271">
        <f t="shared" si="58"/>
        <v>10000</v>
      </c>
      <c r="Q271">
        <f t="shared" si="51"/>
        <v>1335.4991332517141</v>
      </c>
    </row>
    <row r="272" spans="1:17" x14ac:dyDescent="0.15">
      <c r="A272" s="10">
        <v>45872.548611111008</v>
      </c>
      <c r="B272">
        <f>COUNT(A272:$A$1158)/(48*252)</f>
        <v>7.3330026455026454E-2</v>
      </c>
      <c r="C272">
        <v>2.161</v>
      </c>
      <c r="D272">
        <v>6.4000000000000001E-2</v>
      </c>
      <c r="E272">
        <f t="shared" si="48"/>
        <v>-5.7312992675893175E-2</v>
      </c>
      <c r="F272">
        <f t="shared" si="49"/>
        <v>0.47714793535374139</v>
      </c>
      <c r="G272">
        <f t="shared" si="52"/>
        <v>7.0000000000001172E-3</v>
      </c>
      <c r="H272">
        <f>IF(MOD(COUNTA($C$7:C272)-1,$J$2),H271,ROUND(F272*P272,-2))</f>
        <v>4700</v>
      </c>
      <c r="I272">
        <f t="shared" si="53"/>
        <v>0</v>
      </c>
      <c r="J272">
        <f t="shared" si="54"/>
        <v>0</v>
      </c>
      <c r="K272">
        <f t="shared" si="55"/>
        <v>-9247.7635664580666</v>
      </c>
      <c r="L272">
        <f t="shared" si="56"/>
        <v>908.93643354193409</v>
      </c>
      <c r="M272">
        <f t="shared" si="57"/>
        <v>32.900000000001455</v>
      </c>
      <c r="N272">
        <f t="shared" si="59"/>
        <v>908.93643354193409</v>
      </c>
      <c r="O272" s="5">
        <f t="shared" si="50"/>
        <v>0.12979587665209569</v>
      </c>
      <c r="P272">
        <f t="shared" si="58"/>
        <v>10000</v>
      </c>
      <c r="Q272">
        <f t="shared" si="51"/>
        <v>1297.9587665209569</v>
      </c>
    </row>
    <row r="273" spans="1:17" x14ac:dyDescent="0.15">
      <c r="A273" s="10">
        <v>45872.552083333023</v>
      </c>
      <c r="B273">
        <f>COUNT(A273:$A$1158)/(48*252)</f>
        <v>7.3247354497354492E-2</v>
      </c>
      <c r="C273">
        <v>2.1560000000000001</v>
      </c>
      <c r="D273">
        <v>6.0999999999999999E-2</v>
      </c>
      <c r="E273">
        <f t="shared" si="48"/>
        <v>-7.5424755465395371E-2</v>
      </c>
      <c r="F273">
        <f t="shared" si="49"/>
        <v>0.46993838164645008</v>
      </c>
      <c r="G273">
        <f t="shared" si="52"/>
        <v>-4.9999999999998934E-3</v>
      </c>
      <c r="H273">
        <f>IF(MOD(COUNTA($C$7:C273)-1,$J$2),H272,ROUND(F273*P273,-2))</f>
        <v>4700</v>
      </c>
      <c r="I273">
        <f t="shared" si="53"/>
        <v>0</v>
      </c>
      <c r="J273">
        <f t="shared" si="54"/>
        <v>0</v>
      </c>
      <c r="K273">
        <f t="shared" si="55"/>
        <v>-9247.7635664580666</v>
      </c>
      <c r="L273">
        <f t="shared" si="56"/>
        <v>885.43643354193409</v>
      </c>
      <c r="M273">
        <f t="shared" si="57"/>
        <v>-23.5</v>
      </c>
      <c r="N273">
        <f t="shared" si="59"/>
        <v>885.43643354193409</v>
      </c>
      <c r="O273" s="5">
        <f t="shared" si="50"/>
        <v>0.13236887222459526</v>
      </c>
      <c r="P273">
        <f t="shared" si="58"/>
        <v>10000</v>
      </c>
      <c r="Q273">
        <f t="shared" si="51"/>
        <v>1323.6887222459525</v>
      </c>
    </row>
    <row r="274" spans="1:17" x14ac:dyDescent="0.15">
      <c r="A274" s="10">
        <v>45872.555555555969</v>
      </c>
      <c r="B274">
        <f>COUNT(A274:$A$1158)/(48*252)</f>
        <v>7.3164682539682543E-2</v>
      </c>
      <c r="C274">
        <v>2.1539999999999999</v>
      </c>
      <c r="D274">
        <v>0.06</v>
      </c>
      <c r="E274">
        <f t="shared" si="48"/>
        <v>-8.2770093062675881E-2</v>
      </c>
      <c r="F274">
        <f t="shared" si="49"/>
        <v>0.46701717489206479</v>
      </c>
      <c r="G274">
        <f t="shared" si="52"/>
        <v>-2.0000000000002238E-3</v>
      </c>
      <c r="H274">
        <f>IF(MOD(COUNTA($C$7:C274)-1,$J$2),H273,ROUND(F274*P274,-2))</f>
        <v>4700</v>
      </c>
      <c r="I274">
        <f t="shared" si="53"/>
        <v>0</v>
      </c>
      <c r="J274">
        <f t="shared" si="54"/>
        <v>0</v>
      </c>
      <c r="K274">
        <f t="shared" si="55"/>
        <v>-9247.7635664580666</v>
      </c>
      <c r="L274">
        <f t="shared" si="56"/>
        <v>876.03643354193264</v>
      </c>
      <c r="M274">
        <f t="shared" si="57"/>
        <v>-9.4000000000014552</v>
      </c>
      <c r="N274">
        <f t="shared" si="59"/>
        <v>876.03643354193264</v>
      </c>
      <c r="O274" s="5">
        <f t="shared" si="50"/>
        <v>0.13337278402576969</v>
      </c>
      <c r="P274">
        <f t="shared" si="58"/>
        <v>10000</v>
      </c>
      <c r="Q274">
        <f t="shared" si="51"/>
        <v>1333.7278402576969</v>
      </c>
    </row>
    <row r="275" spans="1:17" x14ac:dyDescent="0.15">
      <c r="A275" s="10">
        <v>45872.559027777985</v>
      </c>
      <c r="B275">
        <f>COUNT(A275:$A$1158)/(48*252)</f>
        <v>7.3082010582010581E-2</v>
      </c>
      <c r="C275">
        <v>2.1549999999999998</v>
      </c>
      <c r="D275">
        <v>6.0999999999999999E-2</v>
      </c>
      <c r="E275">
        <f t="shared" si="48"/>
        <v>-7.9300681921017274E-2</v>
      </c>
      <c r="F275">
        <f t="shared" si="49"/>
        <v>0.46839673195849008</v>
      </c>
      <c r="G275">
        <f t="shared" si="52"/>
        <v>9.9999999999988987E-4</v>
      </c>
      <c r="H275">
        <f>IF(MOD(COUNTA($C$7:C275)-1,$J$2),H274,ROUND(F275*P275,-2))</f>
        <v>4700</v>
      </c>
      <c r="I275">
        <f t="shared" si="53"/>
        <v>0</v>
      </c>
      <c r="J275">
        <f t="shared" si="54"/>
        <v>0</v>
      </c>
      <c r="K275">
        <f t="shared" si="55"/>
        <v>-9247.7635664580666</v>
      </c>
      <c r="L275">
        <f t="shared" si="56"/>
        <v>880.73643354193155</v>
      </c>
      <c r="M275">
        <f t="shared" si="57"/>
        <v>4.6999999999989086</v>
      </c>
      <c r="N275">
        <f t="shared" si="59"/>
        <v>880.73643354193155</v>
      </c>
      <c r="O275" s="5">
        <f t="shared" si="50"/>
        <v>0.13278135173721251</v>
      </c>
      <c r="P275">
        <f t="shared" si="58"/>
        <v>10000</v>
      </c>
      <c r="Q275">
        <f t="shared" si="51"/>
        <v>1327.813517372125</v>
      </c>
    </row>
    <row r="276" spans="1:17" x14ac:dyDescent="0.15">
      <c r="A276" s="10">
        <v>45872.5625</v>
      </c>
      <c r="B276">
        <f>COUNT(A276:$A$1158)/(48*252)</f>
        <v>7.2999338624338619E-2</v>
      </c>
      <c r="C276">
        <v>2.1589999999999998</v>
      </c>
      <c r="D276">
        <v>6.2E-2</v>
      </c>
      <c r="E276">
        <f t="shared" si="48"/>
        <v>-6.501322150649097E-2</v>
      </c>
      <c r="F276">
        <f t="shared" si="49"/>
        <v>0.47408173664330755</v>
      </c>
      <c r="G276">
        <f t="shared" si="52"/>
        <v>4.0000000000000036E-3</v>
      </c>
      <c r="H276">
        <f>IF(MOD(COUNTA($C$7:C276)-1,$J$2),H275,ROUND(F276*P276,-2))</f>
        <v>4700</v>
      </c>
      <c r="I276">
        <f t="shared" si="53"/>
        <v>0</v>
      </c>
      <c r="J276">
        <f t="shared" si="54"/>
        <v>0</v>
      </c>
      <c r="K276">
        <f t="shared" si="55"/>
        <v>-9247.7635664580666</v>
      </c>
      <c r="L276">
        <f t="shared" si="56"/>
        <v>899.53643354193264</v>
      </c>
      <c r="M276">
        <f t="shared" si="57"/>
        <v>18.800000000001091</v>
      </c>
      <c r="N276">
        <f t="shared" si="59"/>
        <v>899.53643354193264</v>
      </c>
      <c r="O276" s="5">
        <f t="shared" si="50"/>
        <v>0.13060700036558526</v>
      </c>
      <c r="P276">
        <f t="shared" si="58"/>
        <v>10000</v>
      </c>
      <c r="Q276">
        <f t="shared" si="51"/>
        <v>1306.0700036558526</v>
      </c>
    </row>
    <row r="277" spans="1:17" x14ac:dyDescent="0.15">
      <c r="A277" s="10">
        <v>45872.565972222015</v>
      </c>
      <c r="B277">
        <f>COUNT(A277:$A$1158)/(48*252)</f>
        <v>7.2916666666666671E-2</v>
      </c>
      <c r="C277">
        <v>2.16</v>
      </c>
      <c r="D277">
        <v>6.2E-2</v>
      </c>
      <c r="E277">
        <f t="shared" si="48"/>
        <v>-6.1538232515652776E-2</v>
      </c>
      <c r="F277">
        <f t="shared" si="49"/>
        <v>0.4754652834721308</v>
      </c>
      <c r="G277">
        <f t="shared" si="52"/>
        <v>1.000000000000334E-3</v>
      </c>
      <c r="H277">
        <f>IF(MOD(COUNTA($C$7:C277)-1,$J$2),H276,ROUND(F277*P277,-2))</f>
        <v>4800</v>
      </c>
      <c r="I277">
        <f t="shared" si="53"/>
        <v>100</v>
      </c>
      <c r="J277">
        <f t="shared" si="54"/>
        <v>0</v>
      </c>
      <c r="K277">
        <f t="shared" si="55"/>
        <v>-9463.7732864580667</v>
      </c>
      <c r="L277">
        <f t="shared" si="56"/>
        <v>904.22671354193335</v>
      </c>
      <c r="M277">
        <f t="shared" si="57"/>
        <v>4.6902800000007119</v>
      </c>
      <c r="N277">
        <f t="shared" si="59"/>
        <v>904.22671354193335</v>
      </c>
      <c r="O277" s="5">
        <f t="shared" si="50"/>
        <v>0.13002230101584966</v>
      </c>
      <c r="P277">
        <f t="shared" si="58"/>
        <v>10000</v>
      </c>
      <c r="Q277">
        <f t="shared" si="51"/>
        <v>1300.2230101584967</v>
      </c>
    </row>
    <row r="278" spans="1:17" x14ac:dyDescent="0.15">
      <c r="A278" s="10">
        <v>45872.569444444962</v>
      </c>
      <c r="B278">
        <f>COUNT(A278:$A$1158)/(48*252)</f>
        <v>7.2833994708994709E-2</v>
      </c>
      <c r="C278">
        <v>2.1589999999999998</v>
      </c>
      <c r="D278">
        <v>6.0999999999999999E-2</v>
      </c>
      <c r="E278">
        <f t="shared" si="48"/>
        <v>-6.5271362911248743E-2</v>
      </c>
      <c r="F278">
        <f t="shared" si="49"/>
        <v>0.47397897139749057</v>
      </c>
      <c r="G278">
        <f t="shared" si="52"/>
        <v>-1.000000000000334E-3</v>
      </c>
      <c r="H278">
        <f>IF(MOD(COUNTA($C$7:C278)-1,$J$2),H277,ROUND(F278*P278,-2))</f>
        <v>4800</v>
      </c>
      <c r="I278">
        <f t="shared" si="53"/>
        <v>0</v>
      </c>
      <c r="J278">
        <f t="shared" si="54"/>
        <v>0</v>
      </c>
      <c r="K278">
        <f t="shared" si="55"/>
        <v>-9463.7732864580667</v>
      </c>
      <c r="L278">
        <f t="shared" si="56"/>
        <v>899.42671354193226</v>
      </c>
      <c r="M278">
        <f t="shared" si="57"/>
        <v>-4.8000000000010914</v>
      </c>
      <c r="N278">
        <f t="shared" si="59"/>
        <v>899.42671354193226</v>
      </c>
      <c r="O278" s="5">
        <f t="shared" si="50"/>
        <v>0.13048807110316685</v>
      </c>
      <c r="P278">
        <f t="shared" si="58"/>
        <v>10000</v>
      </c>
      <c r="Q278">
        <f t="shared" si="51"/>
        <v>1304.8807110316684</v>
      </c>
    </row>
    <row r="279" spans="1:17" x14ac:dyDescent="0.15">
      <c r="A279" s="10">
        <v>45872.572916666977</v>
      </c>
      <c r="B279">
        <f>COUNT(A279:$A$1158)/(48*252)</f>
        <v>7.2751322751322747E-2</v>
      </c>
      <c r="C279">
        <v>2.157</v>
      </c>
      <c r="D279">
        <v>6.0999999999999999E-2</v>
      </c>
      <c r="E279">
        <f t="shared" si="48"/>
        <v>-7.2621839527480747E-2</v>
      </c>
      <c r="F279">
        <f t="shared" si="49"/>
        <v>0.47105352358799879</v>
      </c>
      <c r="G279">
        <f t="shared" si="52"/>
        <v>-1.9999999999997797E-3</v>
      </c>
      <c r="H279">
        <f>IF(MOD(COUNTA($C$7:C279)-1,$J$2),H278,ROUND(F279*P279,-2))</f>
        <v>4800</v>
      </c>
      <c r="I279">
        <f t="shared" si="53"/>
        <v>0</v>
      </c>
      <c r="J279">
        <f t="shared" si="54"/>
        <v>0</v>
      </c>
      <c r="K279">
        <f t="shared" si="55"/>
        <v>-9463.7732864580667</v>
      </c>
      <c r="L279">
        <f t="shared" si="56"/>
        <v>889.82671354193371</v>
      </c>
      <c r="M279">
        <f t="shared" si="57"/>
        <v>-9.5999999999985448</v>
      </c>
      <c r="N279">
        <f t="shared" si="59"/>
        <v>889.82671354193371</v>
      </c>
      <c r="O279" s="5">
        <f t="shared" si="50"/>
        <v>0.13148357294159618</v>
      </c>
      <c r="P279">
        <f t="shared" si="58"/>
        <v>10000</v>
      </c>
      <c r="Q279">
        <f t="shared" si="51"/>
        <v>1314.8357294159619</v>
      </c>
    </row>
    <row r="280" spans="1:17" x14ac:dyDescent="0.15">
      <c r="A280" s="10">
        <v>45872.576388888992</v>
      </c>
      <c r="B280">
        <f>COUNT(A280:$A$1158)/(48*252)</f>
        <v>7.2668650793650799E-2</v>
      </c>
      <c r="C280">
        <v>2.1560000000000001</v>
      </c>
      <c r="D280">
        <v>0.06</v>
      </c>
      <c r="E280">
        <f t="shared" si="48"/>
        <v>-7.6370579322537324E-2</v>
      </c>
      <c r="F280">
        <f t="shared" si="49"/>
        <v>0.46956213776426092</v>
      </c>
      <c r="G280">
        <f t="shared" si="52"/>
        <v>-9.9999999999988987E-4</v>
      </c>
      <c r="H280">
        <f>IF(MOD(COUNTA($C$7:C280)-1,$J$2),H279,ROUND(F280*P280,-2))</f>
        <v>4800</v>
      </c>
      <c r="I280">
        <f t="shared" si="53"/>
        <v>0</v>
      </c>
      <c r="J280">
        <f t="shared" si="54"/>
        <v>0</v>
      </c>
      <c r="K280">
        <f t="shared" si="55"/>
        <v>-9463.7732864580667</v>
      </c>
      <c r="L280">
        <f t="shared" si="56"/>
        <v>885.02671354193444</v>
      </c>
      <c r="M280">
        <f t="shared" si="57"/>
        <v>-4.7999999999992724</v>
      </c>
      <c r="N280">
        <f t="shared" si="59"/>
        <v>885.02671354193444</v>
      </c>
      <c r="O280" s="5">
        <f t="shared" si="50"/>
        <v>0.131953844476288</v>
      </c>
      <c r="P280">
        <f t="shared" si="58"/>
        <v>10000</v>
      </c>
      <c r="Q280">
        <f t="shared" si="51"/>
        <v>1319.5384447628799</v>
      </c>
    </row>
    <row r="281" spans="1:17" x14ac:dyDescent="0.15">
      <c r="A281" s="10">
        <v>45872.579861111008</v>
      </c>
      <c r="B281">
        <f>COUNT(A281:$A$1158)/(48*252)</f>
        <v>7.2585978835978837E-2</v>
      </c>
      <c r="C281">
        <v>2.1619999999999999</v>
      </c>
      <c r="D281">
        <v>6.2E-2</v>
      </c>
      <c r="E281">
        <f t="shared" si="48"/>
        <v>-5.4828319513944096E-2</v>
      </c>
      <c r="F281">
        <f t="shared" si="49"/>
        <v>0.47813761931058174</v>
      </c>
      <c r="G281">
        <f t="shared" si="52"/>
        <v>5.9999999999997833E-3</v>
      </c>
      <c r="H281">
        <f>IF(MOD(COUNTA($C$7:C281)-1,$J$2),H280,ROUND(F281*P281,-2))</f>
        <v>4800</v>
      </c>
      <c r="I281">
        <f t="shared" si="53"/>
        <v>0</v>
      </c>
      <c r="J281">
        <f t="shared" si="54"/>
        <v>0</v>
      </c>
      <c r="K281">
        <f t="shared" si="55"/>
        <v>-9463.7732864580667</v>
      </c>
      <c r="L281">
        <f t="shared" si="56"/>
        <v>913.82671354193371</v>
      </c>
      <c r="M281">
        <f t="shared" si="57"/>
        <v>28.799999999999272</v>
      </c>
      <c r="N281">
        <f t="shared" si="59"/>
        <v>913.82671354193371</v>
      </c>
      <c r="O281" s="5">
        <f t="shared" si="50"/>
        <v>0.12873735906955752</v>
      </c>
      <c r="P281">
        <f t="shared" si="58"/>
        <v>10000</v>
      </c>
      <c r="Q281">
        <f t="shared" si="51"/>
        <v>1287.3735906955753</v>
      </c>
    </row>
    <row r="282" spans="1:17" x14ac:dyDescent="0.15">
      <c r="A282" s="10">
        <v>45872.583333333023</v>
      </c>
      <c r="B282">
        <f>COUNT(A282:$A$1158)/(48*252)</f>
        <v>7.2503306878306875E-2</v>
      </c>
      <c r="C282">
        <v>2.1619999999999999</v>
      </c>
      <c r="D282">
        <v>6.2E-2</v>
      </c>
      <c r="E282">
        <f t="shared" si="48"/>
        <v>-5.4951973854970686E-2</v>
      </c>
      <c r="F282">
        <f t="shared" si="49"/>
        <v>0.47808836262517118</v>
      </c>
      <c r="G282">
        <f t="shared" si="52"/>
        <v>0</v>
      </c>
      <c r="H282">
        <f>IF(MOD(COUNTA($C$7:C282)-1,$J$2),H281,ROUND(F282*P282,-2))</f>
        <v>4800</v>
      </c>
      <c r="I282">
        <f t="shared" si="53"/>
        <v>0</v>
      </c>
      <c r="J282">
        <f t="shared" si="54"/>
        <v>0</v>
      </c>
      <c r="K282">
        <f t="shared" si="55"/>
        <v>-9463.7732864580667</v>
      </c>
      <c r="L282">
        <f t="shared" si="56"/>
        <v>913.82671354193371</v>
      </c>
      <c r="M282">
        <f t="shared" si="57"/>
        <v>0</v>
      </c>
      <c r="N282">
        <f t="shared" si="59"/>
        <v>913.82671354193371</v>
      </c>
      <c r="O282" s="5">
        <f t="shared" si="50"/>
        <v>0.12867758568559995</v>
      </c>
      <c r="P282">
        <f t="shared" si="58"/>
        <v>10000</v>
      </c>
      <c r="Q282">
        <f t="shared" si="51"/>
        <v>1286.7758568559996</v>
      </c>
    </row>
    <row r="283" spans="1:17" x14ac:dyDescent="0.15">
      <c r="A283" s="10">
        <v>45872.586805555969</v>
      </c>
      <c r="B283">
        <f>COUNT(A283:$A$1158)/(48*252)</f>
        <v>7.2420634920634927E-2</v>
      </c>
      <c r="C283">
        <v>2.1589999999999998</v>
      </c>
      <c r="D283">
        <v>0.06</v>
      </c>
      <c r="E283">
        <f t="shared" si="48"/>
        <v>-6.5919659355542254E-2</v>
      </c>
      <c r="F283">
        <f t="shared" si="49"/>
        <v>0.47372089436102033</v>
      </c>
      <c r="G283">
        <f t="shared" si="52"/>
        <v>-3.0000000000001137E-3</v>
      </c>
      <c r="H283">
        <f>IF(MOD(COUNTA($C$7:C283)-1,$J$2),H282,ROUND(F283*P283,-2))</f>
        <v>4700</v>
      </c>
      <c r="I283">
        <f t="shared" si="53"/>
        <v>-100</v>
      </c>
      <c r="J283">
        <f t="shared" si="54"/>
        <v>0</v>
      </c>
      <c r="K283">
        <f t="shared" si="55"/>
        <v>-9247.8830019580673</v>
      </c>
      <c r="L283">
        <f t="shared" si="56"/>
        <v>899.41699804193195</v>
      </c>
      <c r="M283">
        <f t="shared" si="57"/>
        <v>-14.409715500001766</v>
      </c>
      <c r="N283">
        <f t="shared" si="59"/>
        <v>899.41699804193195</v>
      </c>
      <c r="O283" s="5">
        <f t="shared" si="50"/>
        <v>0.13019013628271936</v>
      </c>
      <c r="P283">
        <f t="shared" si="58"/>
        <v>10000</v>
      </c>
      <c r="Q283">
        <f t="shared" si="51"/>
        <v>1301.9013628271937</v>
      </c>
    </row>
    <row r="284" spans="1:17" x14ac:dyDescent="0.15">
      <c r="A284" s="10">
        <v>45872.590277777985</v>
      </c>
      <c r="B284">
        <f>COUNT(A284:$A$1158)/(48*252)</f>
        <v>7.2337962962962965E-2</v>
      </c>
      <c r="C284">
        <v>2.1619999999999999</v>
      </c>
      <c r="D284">
        <v>6.0999999999999999E-2</v>
      </c>
      <c r="E284">
        <f t="shared" si="48"/>
        <v>-5.5199759809113666E-2</v>
      </c>
      <c r="F284">
        <f t="shared" si="49"/>
        <v>0.47798966014504507</v>
      </c>
      <c r="G284">
        <f t="shared" si="52"/>
        <v>3.0000000000001137E-3</v>
      </c>
      <c r="H284">
        <f>IF(MOD(COUNTA($C$7:C284)-1,$J$2),H283,ROUND(F284*P284,-2))</f>
        <v>4700</v>
      </c>
      <c r="I284">
        <f t="shared" si="53"/>
        <v>0</v>
      </c>
      <c r="J284">
        <f t="shared" si="54"/>
        <v>0</v>
      </c>
      <c r="K284">
        <f t="shared" si="55"/>
        <v>-9247.8830019580673</v>
      </c>
      <c r="L284">
        <f t="shared" si="56"/>
        <v>913.51699804193231</v>
      </c>
      <c r="M284">
        <f t="shared" si="57"/>
        <v>14.100000000000364</v>
      </c>
      <c r="N284">
        <f t="shared" si="59"/>
        <v>913.51699804193231</v>
      </c>
      <c r="O284" s="5">
        <f t="shared" si="50"/>
        <v>0.12855793289209916</v>
      </c>
      <c r="P284">
        <f t="shared" si="58"/>
        <v>10000</v>
      </c>
      <c r="Q284">
        <f t="shared" si="51"/>
        <v>1285.5793289209917</v>
      </c>
    </row>
    <row r="285" spans="1:17" x14ac:dyDescent="0.15">
      <c r="A285" s="10">
        <v>45872.59375</v>
      </c>
      <c r="B285">
        <f>COUNT(A285:$A$1158)/(48*252)</f>
        <v>7.2255291005291003E-2</v>
      </c>
      <c r="C285">
        <v>2.169</v>
      </c>
      <c r="D285">
        <v>6.3E-2</v>
      </c>
      <c r="E285">
        <f t="shared" si="48"/>
        <v>-3.0051060644577597E-2</v>
      </c>
      <c r="F285">
        <f t="shared" si="49"/>
        <v>0.48801316551605473</v>
      </c>
      <c r="G285">
        <f t="shared" si="52"/>
        <v>7.0000000000001172E-3</v>
      </c>
      <c r="H285">
        <f>IF(MOD(COUNTA($C$7:C285)-1,$J$2),H284,ROUND(F285*P285,-2))</f>
        <v>4700</v>
      </c>
      <c r="I285">
        <f t="shared" si="53"/>
        <v>0</v>
      </c>
      <c r="J285">
        <f t="shared" si="54"/>
        <v>0</v>
      </c>
      <c r="K285">
        <f t="shared" si="55"/>
        <v>-9247.8830019580673</v>
      </c>
      <c r="L285">
        <f t="shared" si="56"/>
        <v>946.41699804193377</v>
      </c>
      <c r="M285">
        <f t="shared" si="57"/>
        <v>32.900000000001455</v>
      </c>
      <c r="N285">
        <f t="shared" si="59"/>
        <v>946.41699804193377</v>
      </c>
      <c r="O285" s="5">
        <f t="shared" si="50"/>
        <v>0.12487890284750791</v>
      </c>
      <c r="P285">
        <f t="shared" si="58"/>
        <v>10000</v>
      </c>
      <c r="Q285">
        <f t="shared" si="51"/>
        <v>1248.789028475079</v>
      </c>
    </row>
    <row r="286" spans="1:17" x14ac:dyDescent="0.15">
      <c r="A286" s="10">
        <v>45872.597222222015</v>
      </c>
      <c r="B286">
        <f>COUNT(A286:$A$1158)/(48*252)</f>
        <v>7.2172619047619041E-2</v>
      </c>
      <c r="C286">
        <v>2.165</v>
      </c>
      <c r="D286">
        <v>6.2E-2</v>
      </c>
      <c r="E286">
        <f t="shared" si="48"/>
        <v>-4.4600759034247837E-2</v>
      </c>
      <c r="F286">
        <f t="shared" si="49"/>
        <v>0.48221276882083353</v>
      </c>
      <c r="G286">
        <f t="shared" si="52"/>
        <v>-4.0000000000000036E-3</v>
      </c>
      <c r="H286">
        <f>IF(MOD(COUNTA($C$7:C286)-1,$J$2),H285,ROUND(F286*P286,-2))</f>
        <v>4700</v>
      </c>
      <c r="I286">
        <f t="shared" si="53"/>
        <v>0</v>
      </c>
      <c r="J286">
        <f t="shared" si="54"/>
        <v>0</v>
      </c>
      <c r="K286">
        <f t="shared" si="55"/>
        <v>-9247.8830019580673</v>
      </c>
      <c r="L286">
        <f t="shared" si="56"/>
        <v>927.61699804193267</v>
      </c>
      <c r="M286">
        <f t="shared" si="57"/>
        <v>-18.800000000001091</v>
      </c>
      <c r="N286">
        <f t="shared" si="59"/>
        <v>927.61699804193267</v>
      </c>
      <c r="O286" s="5">
        <f t="shared" si="50"/>
        <v>0.12687829445759635</v>
      </c>
      <c r="P286">
        <f t="shared" si="58"/>
        <v>10000</v>
      </c>
      <c r="Q286">
        <f t="shared" si="51"/>
        <v>1268.7829445759635</v>
      </c>
    </row>
    <row r="287" spans="1:17" x14ac:dyDescent="0.15">
      <c r="A287" s="10">
        <v>45872.600694444962</v>
      </c>
      <c r="B287">
        <f>COUNT(A287:$A$1158)/(48*252)</f>
        <v>7.2089947089947093E-2</v>
      </c>
      <c r="C287">
        <v>2.165</v>
      </c>
      <c r="D287">
        <v>6.2E-2</v>
      </c>
      <c r="E287">
        <f t="shared" si="48"/>
        <v>-4.471899430554991E-2</v>
      </c>
      <c r="F287">
        <f t="shared" si="49"/>
        <v>0.48216564678809848</v>
      </c>
      <c r="G287">
        <f t="shared" si="52"/>
        <v>0</v>
      </c>
      <c r="H287">
        <f>IF(MOD(COUNTA($C$7:C287)-1,$J$2),H286,ROUND(F287*P287,-2))</f>
        <v>4700</v>
      </c>
      <c r="I287">
        <f t="shared" si="53"/>
        <v>0</v>
      </c>
      <c r="J287">
        <f t="shared" si="54"/>
        <v>0</v>
      </c>
      <c r="K287">
        <f t="shared" si="55"/>
        <v>-9247.8830019580673</v>
      </c>
      <c r="L287">
        <f t="shared" si="56"/>
        <v>927.61699804193267</v>
      </c>
      <c r="M287">
        <f t="shared" si="57"/>
        <v>0</v>
      </c>
      <c r="N287">
        <f t="shared" si="59"/>
        <v>927.61699804193267</v>
      </c>
      <c r="O287" s="5">
        <f t="shared" si="50"/>
        <v>0.12681819882531942</v>
      </c>
      <c r="P287">
        <f t="shared" si="58"/>
        <v>10000</v>
      </c>
      <c r="Q287">
        <f t="shared" si="51"/>
        <v>1268.1819882531943</v>
      </c>
    </row>
    <row r="288" spans="1:17" x14ac:dyDescent="0.15">
      <c r="A288" s="10">
        <v>45872.604166666977</v>
      </c>
      <c r="B288">
        <f>COUNT(A288:$A$1158)/(48*252)</f>
        <v>7.2007275132275131E-2</v>
      </c>
      <c r="C288">
        <v>2.1560000000000001</v>
      </c>
      <c r="D288">
        <v>5.8999999999999997E-2</v>
      </c>
      <c r="E288">
        <f t="shared" si="48"/>
        <v>-7.746227923270349E-2</v>
      </c>
      <c r="F288">
        <f t="shared" si="49"/>
        <v>0.4691278989439871</v>
      </c>
      <c r="G288">
        <f t="shared" si="52"/>
        <v>-8.999999999999897E-3</v>
      </c>
      <c r="H288">
        <f>IF(MOD(COUNTA($C$7:C288)-1,$J$2),H287,ROUND(F288*P288,-2))</f>
        <v>4700</v>
      </c>
      <c r="I288">
        <f t="shared" si="53"/>
        <v>0</v>
      </c>
      <c r="J288">
        <f t="shared" si="54"/>
        <v>0</v>
      </c>
      <c r="K288">
        <f t="shared" si="55"/>
        <v>-9247.8830019580673</v>
      </c>
      <c r="L288">
        <f t="shared" si="56"/>
        <v>885.3169980419334</v>
      </c>
      <c r="M288">
        <f t="shared" si="57"/>
        <v>-42.299999999999272</v>
      </c>
      <c r="N288">
        <f t="shared" si="59"/>
        <v>885.3169980419334</v>
      </c>
      <c r="O288" s="5">
        <f t="shared" si="50"/>
        <v>0.13147743759963038</v>
      </c>
      <c r="P288">
        <f t="shared" si="58"/>
        <v>10000</v>
      </c>
      <c r="Q288">
        <f t="shared" si="51"/>
        <v>1314.7743759963037</v>
      </c>
    </row>
    <row r="289" spans="1:17" x14ac:dyDescent="0.15">
      <c r="A289" s="10">
        <v>45872.607638888992</v>
      </c>
      <c r="B289">
        <f>COUNT(A289:$A$1158)/(48*252)</f>
        <v>7.1924603174603169E-2</v>
      </c>
      <c r="C289">
        <v>2.1579999999999999</v>
      </c>
      <c r="D289">
        <v>5.8999999999999997E-2</v>
      </c>
      <c r="E289">
        <f t="shared" si="48"/>
        <v>-7.0333656388471152E-2</v>
      </c>
      <c r="F289">
        <f t="shared" si="49"/>
        <v>0.47196404745154041</v>
      </c>
      <c r="G289">
        <f t="shared" si="52"/>
        <v>1.9999999999997797E-3</v>
      </c>
      <c r="H289">
        <f>IF(MOD(COUNTA($C$7:C289)-1,$J$2),H288,ROUND(F289*P289,-2))</f>
        <v>4700</v>
      </c>
      <c r="I289">
        <f t="shared" si="53"/>
        <v>0</v>
      </c>
      <c r="J289">
        <f t="shared" si="54"/>
        <v>0</v>
      </c>
      <c r="K289">
        <f t="shared" si="55"/>
        <v>-9247.8830019580673</v>
      </c>
      <c r="L289">
        <f t="shared" si="56"/>
        <v>894.71699804193304</v>
      </c>
      <c r="M289">
        <f t="shared" si="57"/>
        <v>9.3999999999996362</v>
      </c>
      <c r="N289">
        <f t="shared" si="59"/>
        <v>894.71699804193304</v>
      </c>
      <c r="O289" s="5">
        <f t="shared" si="50"/>
        <v>0.13035876616793773</v>
      </c>
      <c r="P289">
        <f t="shared" si="58"/>
        <v>10000</v>
      </c>
      <c r="Q289">
        <f t="shared" si="51"/>
        <v>1303.5876616793773</v>
      </c>
    </row>
    <row r="290" spans="1:17" x14ac:dyDescent="0.15">
      <c r="A290" s="10">
        <v>45872.611111111008</v>
      </c>
      <c r="B290">
        <f>COUNT(A290:$A$1158)/(48*252)</f>
        <v>7.1841931216931221E-2</v>
      </c>
      <c r="C290">
        <v>2.153</v>
      </c>
      <c r="D290">
        <v>5.7000000000000002E-2</v>
      </c>
      <c r="E290">
        <f t="shared" si="48"/>
        <v>-8.8654804484196201E-2</v>
      </c>
      <c r="F290">
        <f t="shared" si="49"/>
        <v>0.46467812591714336</v>
      </c>
      <c r="G290">
        <f t="shared" si="52"/>
        <v>-4.9999999999998934E-3</v>
      </c>
      <c r="H290">
        <f>IF(MOD(COUNTA($C$7:C290)-1,$J$2),H289,ROUND(F290*P290,-2))</f>
        <v>4700</v>
      </c>
      <c r="I290">
        <f t="shared" si="53"/>
        <v>0</v>
      </c>
      <c r="J290">
        <f t="shared" si="54"/>
        <v>0</v>
      </c>
      <c r="K290">
        <f t="shared" si="55"/>
        <v>-9247.8830019580673</v>
      </c>
      <c r="L290">
        <f t="shared" si="56"/>
        <v>871.21699804193304</v>
      </c>
      <c r="M290">
        <f t="shared" si="57"/>
        <v>-23.5</v>
      </c>
      <c r="N290">
        <f t="shared" si="59"/>
        <v>871.21699804193304</v>
      </c>
      <c r="O290" s="5">
        <f t="shared" si="50"/>
        <v>0.1329574386979202</v>
      </c>
      <c r="P290">
        <f t="shared" si="58"/>
        <v>10000</v>
      </c>
      <c r="Q290">
        <f t="shared" si="51"/>
        <v>1329.574386979202</v>
      </c>
    </row>
    <row r="291" spans="1:17" x14ac:dyDescent="0.15">
      <c r="A291" s="10">
        <v>45872.614583333023</v>
      </c>
      <c r="B291">
        <f>COUNT(A291:$A$1158)/(48*252)</f>
        <v>7.1759259259259259E-2</v>
      </c>
      <c r="C291">
        <v>2.1560000000000001</v>
      </c>
      <c r="D291">
        <v>5.7000000000000002E-2</v>
      </c>
      <c r="E291">
        <f t="shared" si="48"/>
        <v>-7.7874673291780994E-2</v>
      </c>
      <c r="F291">
        <f t="shared" si="49"/>
        <v>0.46896387300006492</v>
      </c>
      <c r="G291">
        <f t="shared" si="52"/>
        <v>3.0000000000001137E-3</v>
      </c>
      <c r="H291">
        <f>IF(MOD(COUNTA($C$7:C291)-1,$J$2),H290,ROUND(F291*P291,-2))</f>
        <v>4700</v>
      </c>
      <c r="I291">
        <f t="shared" si="53"/>
        <v>0</v>
      </c>
      <c r="J291">
        <f t="shared" si="54"/>
        <v>0</v>
      </c>
      <c r="K291">
        <f t="shared" si="55"/>
        <v>-9247.8830019580673</v>
      </c>
      <c r="L291">
        <f t="shared" si="56"/>
        <v>885.3169980419334</v>
      </c>
      <c r="M291">
        <f t="shared" si="57"/>
        <v>14.100000000000364</v>
      </c>
      <c r="N291">
        <f t="shared" si="59"/>
        <v>885.3169980419334</v>
      </c>
      <c r="O291" s="5">
        <f t="shared" si="50"/>
        <v>0.1312982046608937</v>
      </c>
      <c r="P291">
        <f t="shared" si="58"/>
        <v>10000</v>
      </c>
      <c r="Q291">
        <f t="shared" si="51"/>
        <v>1312.982046608937</v>
      </c>
    </row>
    <row r="292" spans="1:17" x14ac:dyDescent="0.15">
      <c r="A292" s="10">
        <v>45872.618055555969</v>
      </c>
      <c r="B292">
        <f>COUNT(A292:$A$1158)/(48*252)</f>
        <v>7.1676587301587297E-2</v>
      </c>
      <c r="C292">
        <v>2.1520000000000001</v>
      </c>
      <c r="D292">
        <v>5.3999999999999999E-2</v>
      </c>
      <c r="E292">
        <f t="shared" si="48"/>
        <v>-9.2589711278305134E-2</v>
      </c>
      <c r="F292">
        <f t="shared" si="49"/>
        <v>0.46311475892244397</v>
      </c>
      <c r="G292">
        <f t="shared" si="52"/>
        <v>-4.0000000000000036E-3</v>
      </c>
      <c r="H292">
        <f>IF(MOD(COUNTA($C$7:C292)-1,$J$2),H291,ROUND(F292*P292,-2))</f>
        <v>4700</v>
      </c>
      <c r="I292">
        <f t="shared" si="53"/>
        <v>0</v>
      </c>
      <c r="J292">
        <f t="shared" si="54"/>
        <v>0</v>
      </c>
      <c r="K292">
        <f t="shared" si="55"/>
        <v>-9247.8830019580673</v>
      </c>
      <c r="L292">
        <f t="shared" si="56"/>
        <v>866.51699804193413</v>
      </c>
      <c r="M292">
        <f t="shared" si="57"/>
        <v>-18.799999999999272</v>
      </c>
      <c r="N292">
        <f t="shared" si="59"/>
        <v>866.51699804193413</v>
      </c>
      <c r="O292" s="5">
        <f t="shared" si="50"/>
        <v>0.1333743407219834</v>
      </c>
      <c r="P292">
        <f t="shared" si="58"/>
        <v>10000</v>
      </c>
      <c r="Q292">
        <f t="shared" si="51"/>
        <v>1333.7434072198339</v>
      </c>
    </row>
    <row r="293" spans="1:17" x14ac:dyDescent="0.15">
      <c r="A293" s="10">
        <v>45872.621527777985</v>
      </c>
      <c r="B293">
        <f>COUNT(A293:$A$1158)/(48*252)</f>
        <v>7.1593915343915349E-2</v>
      </c>
      <c r="C293">
        <v>2.1680000000000001</v>
      </c>
      <c r="D293">
        <v>5.8000000000000003E-2</v>
      </c>
      <c r="E293">
        <f t="shared" si="48"/>
        <v>-3.4555480950256581E-2</v>
      </c>
      <c r="F293">
        <f t="shared" si="49"/>
        <v>0.48621710066755047</v>
      </c>
      <c r="G293">
        <f t="shared" si="52"/>
        <v>1.6000000000000014E-2</v>
      </c>
      <c r="H293">
        <f>IF(MOD(COUNTA($C$7:C293)-1,$J$2),H292,ROUND(F293*P293,-2))</f>
        <v>4700</v>
      </c>
      <c r="I293">
        <f t="shared" si="53"/>
        <v>0</v>
      </c>
      <c r="J293">
        <f t="shared" si="54"/>
        <v>0</v>
      </c>
      <c r="K293">
        <f t="shared" si="55"/>
        <v>-9247.8830019580673</v>
      </c>
      <c r="L293">
        <f t="shared" si="56"/>
        <v>941.71699804193304</v>
      </c>
      <c r="M293">
        <f t="shared" si="57"/>
        <v>75.199999999998909</v>
      </c>
      <c r="N293">
        <f t="shared" si="59"/>
        <v>941.71699804193304</v>
      </c>
      <c r="O293" s="5">
        <f t="shared" si="50"/>
        <v>0.12490902016767302</v>
      </c>
      <c r="P293">
        <f t="shared" si="58"/>
        <v>10000</v>
      </c>
      <c r="Q293">
        <f t="shared" si="51"/>
        <v>1249.0902016767302</v>
      </c>
    </row>
    <row r="294" spans="1:17" x14ac:dyDescent="0.15">
      <c r="A294" s="10">
        <v>45872.625</v>
      </c>
      <c r="B294">
        <f>COUNT(A294:$A$1158)/(48*252)</f>
        <v>7.1511243386243387E-2</v>
      </c>
      <c r="C294">
        <v>2.1709999999999998</v>
      </c>
      <c r="D294">
        <v>5.7000000000000002E-2</v>
      </c>
      <c r="E294">
        <f t="shared" si="48"/>
        <v>-2.3801158648089384E-2</v>
      </c>
      <c r="F294">
        <f t="shared" si="49"/>
        <v>0.49050560792237941</v>
      </c>
      <c r="G294">
        <f t="shared" si="52"/>
        <v>2.9999999999996696E-3</v>
      </c>
      <c r="H294">
        <f>IF(MOD(COUNTA($C$7:C294)-1,$J$2),H293,ROUND(F294*P294,-2))</f>
        <v>4700</v>
      </c>
      <c r="I294">
        <f t="shared" si="53"/>
        <v>0</v>
      </c>
      <c r="J294">
        <f t="shared" si="54"/>
        <v>0</v>
      </c>
      <c r="K294">
        <f t="shared" si="55"/>
        <v>-9247.8830019580673</v>
      </c>
      <c r="L294">
        <f t="shared" si="56"/>
        <v>955.81699804193158</v>
      </c>
      <c r="M294">
        <f t="shared" si="57"/>
        <v>14.099999999998545</v>
      </c>
      <c r="N294">
        <f t="shared" si="59"/>
        <v>955.81699804193158</v>
      </c>
      <c r="O294" s="5">
        <f t="shared" si="50"/>
        <v>0.12331355135086119</v>
      </c>
      <c r="P294">
        <f t="shared" si="58"/>
        <v>10000</v>
      </c>
      <c r="Q294">
        <f t="shared" si="51"/>
        <v>1233.1355135086119</v>
      </c>
    </row>
    <row r="295" spans="1:17" x14ac:dyDescent="0.15">
      <c r="A295" s="10">
        <v>45875.399305555969</v>
      </c>
      <c r="B295">
        <f>COUNT(A295:$A$1158)/(48*252)</f>
        <v>7.1428571428571425E-2</v>
      </c>
      <c r="C295">
        <v>2.1659999999999999</v>
      </c>
      <c r="D295">
        <v>5.7000000000000002E-2</v>
      </c>
      <c r="E295">
        <f t="shared" si="48"/>
        <v>-4.2039089216992717E-2</v>
      </c>
      <c r="F295">
        <f t="shared" si="49"/>
        <v>0.48323376847880817</v>
      </c>
      <c r="G295">
        <f t="shared" si="52"/>
        <v>-4.9999999999998934E-3</v>
      </c>
      <c r="H295">
        <f>IF(MOD(COUNTA($C$7:C295)-1,$J$2),H294,ROUND(F295*P295,-2))</f>
        <v>4800</v>
      </c>
      <c r="I295">
        <f t="shared" si="53"/>
        <v>100</v>
      </c>
      <c r="J295">
        <f t="shared" si="54"/>
        <v>0</v>
      </c>
      <c r="K295">
        <f t="shared" si="55"/>
        <v>-9464.4927489580678</v>
      </c>
      <c r="L295">
        <f t="shared" si="56"/>
        <v>932.30725104193152</v>
      </c>
      <c r="M295">
        <f t="shared" si="57"/>
        <v>-23.509747000000061</v>
      </c>
      <c r="N295">
        <f t="shared" si="59"/>
        <v>932.30725104193152</v>
      </c>
      <c r="O295" s="5">
        <f t="shared" si="50"/>
        <v>0.12581864985932278</v>
      </c>
      <c r="P295">
        <f t="shared" si="58"/>
        <v>10000</v>
      </c>
      <c r="Q295">
        <f t="shared" si="51"/>
        <v>1258.186498593228</v>
      </c>
    </row>
    <row r="296" spans="1:17" x14ac:dyDescent="0.15">
      <c r="A296" s="10">
        <v>45875.402777777985</v>
      </c>
      <c r="B296">
        <f>COUNT(A296:$A$1158)/(48*252)</f>
        <v>7.1345899470899476E-2</v>
      </c>
      <c r="C296">
        <v>2.1659999999999999</v>
      </c>
      <c r="D296">
        <v>5.8000000000000003E-2</v>
      </c>
      <c r="E296">
        <f t="shared" si="48"/>
        <v>-4.2156589257368697E-2</v>
      </c>
      <c r="F296">
        <f t="shared" si="49"/>
        <v>0.48318693426362813</v>
      </c>
      <c r="G296">
        <f t="shared" si="52"/>
        <v>0</v>
      </c>
      <c r="H296">
        <f>IF(MOD(COUNTA($C$7:C296)-1,$J$2),H295,ROUND(F296*P296,-2))</f>
        <v>4800</v>
      </c>
      <c r="I296">
        <f t="shared" si="53"/>
        <v>0</v>
      </c>
      <c r="J296">
        <f t="shared" si="54"/>
        <v>0</v>
      </c>
      <c r="K296">
        <f t="shared" si="55"/>
        <v>-9464.4927489580678</v>
      </c>
      <c r="L296">
        <f t="shared" si="56"/>
        <v>932.30725104193152</v>
      </c>
      <c r="M296">
        <f t="shared" si="57"/>
        <v>0</v>
      </c>
      <c r="N296">
        <f t="shared" si="59"/>
        <v>932.30725104193152</v>
      </c>
      <c r="O296" s="5">
        <f t="shared" si="50"/>
        <v>0.12575818254007909</v>
      </c>
      <c r="P296">
        <f t="shared" si="58"/>
        <v>10000</v>
      </c>
      <c r="Q296">
        <f t="shared" si="51"/>
        <v>1257.5818254007909</v>
      </c>
    </row>
    <row r="297" spans="1:17" x14ac:dyDescent="0.15">
      <c r="A297" s="10">
        <v>45875.40625</v>
      </c>
      <c r="B297">
        <f>COUNT(A297:$A$1158)/(48*252)</f>
        <v>7.1263227513227514E-2</v>
      </c>
      <c r="C297">
        <v>2.1579999999999999</v>
      </c>
      <c r="D297">
        <v>5.5E-2</v>
      </c>
      <c r="E297">
        <f t="shared" si="48"/>
        <v>-7.1404914838656575E-2</v>
      </c>
      <c r="F297">
        <f t="shared" si="49"/>
        <v>0.47153774906053786</v>
      </c>
      <c r="G297">
        <f t="shared" si="52"/>
        <v>-8.0000000000000071E-3</v>
      </c>
      <c r="H297">
        <f>IF(MOD(COUNTA($C$7:C297)-1,$J$2),H296,ROUND(F297*P297,-2))</f>
        <v>4800</v>
      </c>
      <c r="I297">
        <f t="shared" si="53"/>
        <v>0</v>
      </c>
      <c r="J297">
        <f t="shared" si="54"/>
        <v>0</v>
      </c>
      <c r="K297">
        <f t="shared" si="55"/>
        <v>-9464.4927489580678</v>
      </c>
      <c r="L297">
        <f t="shared" si="56"/>
        <v>893.90725104193189</v>
      </c>
      <c r="M297">
        <f t="shared" si="57"/>
        <v>-38.399999999999636</v>
      </c>
      <c r="N297">
        <f t="shared" si="59"/>
        <v>893.90725104193189</v>
      </c>
      <c r="O297" s="5">
        <f t="shared" si="50"/>
        <v>0.12987895183234954</v>
      </c>
      <c r="P297">
        <f t="shared" si="58"/>
        <v>10000</v>
      </c>
      <c r="Q297">
        <f t="shared" si="51"/>
        <v>1298.7895183234955</v>
      </c>
    </row>
    <row r="298" spans="1:17" x14ac:dyDescent="0.15">
      <c r="A298" s="10">
        <v>45875.409722222015</v>
      </c>
      <c r="B298">
        <f>COUNT(A298:$A$1158)/(48*252)</f>
        <v>7.1180555555555552E-2</v>
      </c>
      <c r="C298">
        <v>2.1520000000000001</v>
      </c>
      <c r="D298">
        <v>5.1999999999999998E-2</v>
      </c>
      <c r="E298">
        <f t="shared" si="48"/>
        <v>-9.3471316528682333E-2</v>
      </c>
      <c r="F298">
        <f t="shared" si="49"/>
        <v>0.46276456800284727</v>
      </c>
      <c r="G298">
        <f t="shared" si="52"/>
        <v>-5.9999999999997833E-3</v>
      </c>
      <c r="H298">
        <f>IF(MOD(COUNTA($C$7:C298)-1,$J$2),H297,ROUND(F298*P298,-2))</f>
        <v>4800</v>
      </c>
      <c r="I298">
        <f t="shared" si="53"/>
        <v>0</v>
      </c>
      <c r="J298">
        <f t="shared" si="54"/>
        <v>0</v>
      </c>
      <c r="K298">
        <f t="shared" si="55"/>
        <v>-9464.4927489580678</v>
      </c>
      <c r="L298">
        <f t="shared" si="56"/>
        <v>865.10725104193261</v>
      </c>
      <c r="M298">
        <f t="shared" si="57"/>
        <v>-28.799999999999272</v>
      </c>
      <c r="N298">
        <f t="shared" si="59"/>
        <v>865.10725104193261</v>
      </c>
      <c r="O298" s="5">
        <f t="shared" si="50"/>
        <v>0.13301606349910555</v>
      </c>
      <c r="P298">
        <f t="shared" si="58"/>
        <v>10000</v>
      </c>
      <c r="Q298">
        <f t="shared" si="51"/>
        <v>1330.1606349910555</v>
      </c>
    </row>
    <row r="299" spans="1:17" x14ac:dyDescent="0.15">
      <c r="A299" s="10">
        <v>45875.413194444962</v>
      </c>
      <c r="B299">
        <f>COUNT(A299:$A$1158)/(48*252)</f>
        <v>7.1097883597883604E-2</v>
      </c>
      <c r="C299">
        <v>2.153</v>
      </c>
      <c r="D299">
        <v>5.1999999999999998E-2</v>
      </c>
      <c r="E299">
        <f t="shared" si="48"/>
        <v>-8.9957306046044933E-2</v>
      </c>
      <c r="F299">
        <f t="shared" si="49"/>
        <v>0.46416057102894809</v>
      </c>
      <c r="G299">
        <f t="shared" si="52"/>
        <v>9.9999999999988987E-4</v>
      </c>
      <c r="H299">
        <f>IF(MOD(COUNTA($C$7:C299)-1,$J$2),H298,ROUND(F299*P299,-2))</f>
        <v>4800</v>
      </c>
      <c r="I299">
        <f t="shared" si="53"/>
        <v>0</v>
      </c>
      <c r="J299">
        <f t="shared" si="54"/>
        <v>0</v>
      </c>
      <c r="K299">
        <f t="shared" si="55"/>
        <v>-9464.4927489580678</v>
      </c>
      <c r="L299">
        <f t="shared" si="56"/>
        <v>869.90725104193189</v>
      </c>
      <c r="M299">
        <f t="shared" si="57"/>
        <v>4.7999999999992724</v>
      </c>
      <c r="N299">
        <f t="shared" si="59"/>
        <v>869.90725104193189</v>
      </c>
      <c r="O299" s="5">
        <f t="shared" si="50"/>
        <v>0.13241965977462233</v>
      </c>
      <c r="P299">
        <f t="shared" si="58"/>
        <v>10000</v>
      </c>
      <c r="Q299">
        <f t="shared" si="51"/>
        <v>1324.1965977462232</v>
      </c>
    </row>
    <row r="300" spans="1:17" x14ac:dyDescent="0.15">
      <c r="A300" s="10">
        <v>45875.416666666977</v>
      </c>
      <c r="B300">
        <f>COUNT(A300:$A$1158)/(48*252)</f>
        <v>7.1015211640211642E-2</v>
      </c>
      <c r="C300">
        <v>2.1560000000000001</v>
      </c>
      <c r="D300">
        <v>5.2999999999999999E-2</v>
      </c>
      <c r="E300">
        <f t="shared" si="48"/>
        <v>-7.9121874599258013E-2</v>
      </c>
      <c r="F300">
        <f t="shared" si="49"/>
        <v>0.46846784232041327</v>
      </c>
      <c r="G300">
        <f t="shared" si="52"/>
        <v>3.0000000000001137E-3</v>
      </c>
      <c r="H300">
        <f>IF(MOD(COUNTA($C$7:C300)-1,$J$2),H299,ROUND(F300*P300,-2))</f>
        <v>4800</v>
      </c>
      <c r="I300">
        <f t="shared" si="53"/>
        <v>0</v>
      </c>
      <c r="J300">
        <f t="shared" si="54"/>
        <v>0</v>
      </c>
      <c r="K300">
        <f t="shared" si="55"/>
        <v>-9464.4927489580678</v>
      </c>
      <c r="L300">
        <f t="shared" si="56"/>
        <v>884.30725104193334</v>
      </c>
      <c r="M300">
        <f t="shared" si="57"/>
        <v>14.400000000001455</v>
      </c>
      <c r="N300">
        <f t="shared" si="59"/>
        <v>884.30725104193334</v>
      </c>
      <c r="O300" s="5">
        <f t="shared" si="50"/>
        <v>0.13075858513662353</v>
      </c>
      <c r="P300">
        <f t="shared" si="58"/>
        <v>10000</v>
      </c>
      <c r="Q300">
        <f t="shared" si="51"/>
        <v>1307.5858513662354</v>
      </c>
    </row>
    <row r="301" spans="1:17" x14ac:dyDescent="0.15">
      <c r="A301" s="10">
        <v>45875.420138888992</v>
      </c>
      <c r="B301">
        <f>COUNT(A301:$A$1158)/(48*252)</f>
        <v>7.093253968253968E-2</v>
      </c>
      <c r="C301">
        <v>2.1579999999999999</v>
      </c>
      <c r="D301">
        <v>5.2999999999999999E-2</v>
      </c>
      <c r="E301">
        <f t="shared" si="48"/>
        <v>-7.1944853316883092E-2</v>
      </c>
      <c r="F301">
        <f t="shared" si="49"/>
        <v>0.47132289736239036</v>
      </c>
      <c r="G301">
        <f t="shared" si="52"/>
        <v>1.9999999999997797E-3</v>
      </c>
      <c r="H301">
        <f>IF(MOD(COUNTA($C$7:C301)-1,$J$2),H300,ROUND(F301*P301,-2))</f>
        <v>4700</v>
      </c>
      <c r="I301">
        <f t="shared" si="53"/>
        <v>-100</v>
      </c>
      <c r="J301">
        <f t="shared" si="54"/>
        <v>0</v>
      </c>
      <c r="K301">
        <f t="shared" si="55"/>
        <v>-9248.7024599580691</v>
      </c>
      <c r="L301">
        <f t="shared" si="56"/>
        <v>893.89754004193128</v>
      </c>
      <c r="M301">
        <f t="shared" si="57"/>
        <v>9.5902889999979379</v>
      </c>
      <c r="N301">
        <f t="shared" si="59"/>
        <v>893.89754004193128</v>
      </c>
      <c r="O301" s="5">
        <f t="shared" si="50"/>
        <v>0.12963818370078162</v>
      </c>
      <c r="P301">
        <f t="shared" si="58"/>
        <v>10000</v>
      </c>
      <c r="Q301">
        <f t="shared" si="51"/>
        <v>1296.3818370078161</v>
      </c>
    </row>
    <row r="302" spans="1:17" x14ac:dyDescent="0.15">
      <c r="A302" s="10">
        <v>45875.423611111008</v>
      </c>
      <c r="B302">
        <f>COUNT(A302:$A$1158)/(48*252)</f>
        <v>7.0849867724867718E-2</v>
      </c>
      <c r="C302">
        <v>2.153</v>
      </c>
      <c r="D302">
        <v>5.0999999999999997E-2</v>
      </c>
      <c r="E302">
        <f t="shared" si="48"/>
        <v>-9.039504873599663E-2</v>
      </c>
      <c r="F302">
        <f t="shared" si="49"/>
        <v>0.46398664556152941</v>
      </c>
      <c r="G302">
        <f t="shared" si="52"/>
        <v>-4.9999999999998934E-3</v>
      </c>
      <c r="H302">
        <f>IF(MOD(COUNTA($C$7:C302)-1,$J$2),H301,ROUND(F302*P302,-2))</f>
        <v>4700</v>
      </c>
      <c r="I302">
        <f t="shared" si="53"/>
        <v>0</v>
      </c>
      <c r="J302">
        <f t="shared" si="54"/>
        <v>0</v>
      </c>
      <c r="K302">
        <f t="shared" si="55"/>
        <v>-9248.7024599580691</v>
      </c>
      <c r="L302">
        <f t="shared" si="56"/>
        <v>870.39754004193128</v>
      </c>
      <c r="M302">
        <f t="shared" si="57"/>
        <v>-23.5</v>
      </c>
      <c r="N302">
        <f t="shared" si="59"/>
        <v>870.39754004193128</v>
      </c>
      <c r="O302" s="5">
        <f t="shared" si="50"/>
        <v>0.13223975967335821</v>
      </c>
      <c r="P302">
        <f t="shared" si="58"/>
        <v>10000</v>
      </c>
      <c r="Q302">
        <f t="shared" si="51"/>
        <v>1322.3975967335821</v>
      </c>
    </row>
    <row r="303" spans="1:17" x14ac:dyDescent="0.15">
      <c r="A303" s="10">
        <v>45875.427083333023</v>
      </c>
      <c r="B303">
        <f>COUNT(A303:$A$1158)/(48*252)</f>
        <v>7.076719576719577E-2</v>
      </c>
      <c r="C303">
        <v>2.1579999999999999</v>
      </c>
      <c r="D303">
        <v>5.2999999999999999E-2</v>
      </c>
      <c r="E303">
        <f t="shared" si="48"/>
        <v>-7.221591365259665E-2</v>
      </c>
      <c r="F303">
        <f t="shared" si="49"/>
        <v>0.4712150404881163</v>
      </c>
      <c r="G303">
        <f t="shared" si="52"/>
        <v>4.9999999999998934E-3</v>
      </c>
      <c r="H303">
        <f>IF(MOD(COUNTA($C$7:C303)-1,$J$2),H302,ROUND(F303*P303,-2))</f>
        <v>4700</v>
      </c>
      <c r="I303">
        <f t="shared" si="53"/>
        <v>0</v>
      </c>
      <c r="J303">
        <f t="shared" si="54"/>
        <v>0</v>
      </c>
      <c r="K303">
        <f t="shared" si="55"/>
        <v>-9248.7024599580691</v>
      </c>
      <c r="L303">
        <f t="shared" si="56"/>
        <v>893.89754004193128</v>
      </c>
      <c r="M303">
        <f t="shared" si="57"/>
        <v>23.5</v>
      </c>
      <c r="N303">
        <f t="shared" si="59"/>
        <v>893.89754004193128</v>
      </c>
      <c r="O303" s="5">
        <f t="shared" si="50"/>
        <v>0.12951758268609148</v>
      </c>
      <c r="P303">
        <f t="shared" si="58"/>
        <v>10000</v>
      </c>
      <c r="Q303">
        <f t="shared" si="51"/>
        <v>1295.1758268609149</v>
      </c>
    </row>
    <row r="304" spans="1:17" x14ac:dyDescent="0.15">
      <c r="A304" s="10">
        <v>45875.430555555969</v>
      </c>
      <c r="B304">
        <f>COUNT(A304:$A$1158)/(48*252)</f>
        <v>7.0684523809523808E-2</v>
      </c>
      <c r="C304">
        <v>2.1589999999999998</v>
      </c>
      <c r="D304">
        <v>5.3999999999999999E-2</v>
      </c>
      <c r="E304">
        <f t="shared" si="48"/>
        <v>-6.86895838690047E-2</v>
      </c>
      <c r="F304">
        <f t="shared" si="49"/>
        <v>0.47261835474467989</v>
      </c>
      <c r="G304">
        <f t="shared" si="52"/>
        <v>9.9999999999988987E-4</v>
      </c>
      <c r="H304">
        <f>IF(MOD(COUNTA($C$7:C304)-1,$J$2),H303,ROUND(F304*P304,-2))</f>
        <v>4700</v>
      </c>
      <c r="I304">
        <f t="shared" si="53"/>
        <v>0</v>
      </c>
      <c r="J304">
        <f t="shared" si="54"/>
        <v>0</v>
      </c>
      <c r="K304">
        <f t="shared" si="55"/>
        <v>-9248.7024599580691</v>
      </c>
      <c r="L304">
        <f t="shared" si="56"/>
        <v>898.59754004193019</v>
      </c>
      <c r="M304">
        <f t="shared" si="57"/>
        <v>4.6999999999989086</v>
      </c>
      <c r="N304">
        <f t="shared" si="59"/>
        <v>898.59754004193019</v>
      </c>
      <c r="O304" s="5">
        <f t="shared" si="50"/>
        <v>0.12892911742982371</v>
      </c>
      <c r="P304">
        <f t="shared" si="58"/>
        <v>10000</v>
      </c>
      <c r="Q304">
        <f t="shared" si="51"/>
        <v>1289.2911742982371</v>
      </c>
    </row>
    <row r="305" spans="1:17" x14ac:dyDescent="0.15">
      <c r="A305" s="10">
        <v>45875.434027777985</v>
      </c>
      <c r="B305">
        <f>COUNT(A305:$A$1158)/(48*252)</f>
        <v>7.0601851851851846E-2</v>
      </c>
      <c r="C305">
        <v>2.1589999999999998</v>
      </c>
      <c r="D305">
        <v>5.3999999999999999E-2</v>
      </c>
      <c r="E305">
        <f t="shared" si="48"/>
        <v>-6.8823428766720027E-2</v>
      </c>
      <c r="F305">
        <f t="shared" si="49"/>
        <v>0.4725650844215239</v>
      </c>
      <c r="G305">
        <f t="shared" si="52"/>
        <v>0</v>
      </c>
      <c r="H305">
        <f>IF(MOD(COUNTA($C$7:C305)-1,$J$2),H304,ROUND(F305*P305,-2))</f>
        <v>4700</v>
      </c>
      <c r="I305">
        <f t="shared" si="53"/>
        <v>0</v>
      </c>
      <c r="J305">
        <f t="shared" si="54"/>
        <v>0</v>
      </c>
      <c r="K305">
        <f t="shared" si="55"/>
        <v>-9248.7024599580691</v>
      </c>
      <c r="L305">
        <f t="shared" si="56"/>
        <v>898.59754004193019</v>
      </c>
      <c r="M305">
        <f t="shared" si="57"/>
        <v>0</v>
      </c>
      <c r="N305">
        <f t="shared" si="59"/>
        <v>898.59754004193019</v>
      </c>
      <c r="O305" s="5">
        <f t="shared" si="50"/>
        <v>0.12886867239486754</v>
      </c>
      <c r="P305">
        <f t="shared" si="58"/>
        <v>10000</v>
      </c>
      <c r="Q305">
        <f t="shared" si="51"/>
        <v>1288.6867239486755</v>
      </c>
    </row>
    <row r="306" spans="1:17" x14ac:dyDescent="0.15">
      <c r="A306" s="10">
        <v>45875.4375</v>
      </c>
      <c r="B306">
        <f>COUNT(A306:$A$1158)/(48*252)</f>
        <v>7.0519179894179898E-2</v>
      </c>
      <c r="C306">
        <v>2.16</v>
      </c>
      <c r="D306">
        <v>5.2999999999999999E-2</v>
      </c>
      <c r="E306">
        <f t="shared" si="48"/>
        <v>-6.5292726699610379E-2</v>
      </c>
      <c r="F306">
        <f t="shared" si="49"/>
        <v>0.47397046662096193</v>
      </c>
      <c r="G306">
        <f t="shared" si="52"/>
        <v>1.000000000000334E-3</v>
      </c>
      <c r="H306">
        <f>IF(MOD(COUNTA($C$7:C306)-1,$J$2),H305,ROUND(F306*P306,-2))</f>
        <v>4700</v>
      </c>
      <c r="I306">
        <f t="shared" si="53"/>
        <v>0</v>
      </c>
      <c r="J306">
        <f t="shared" si="54"/>
        <v>0</v>
      </c>
      <c r="K306">
        <f t="shared" si="55"/>
        <v>-9248.7024599580691</v>
      </c>
      <c r="L306">
        <f t="shared" si="56"/>
        <v>903.29754004193092</v>
      </c>
      <c r="M306">
        <f t="shared" si="57"/>
        <v>4.7000000000007276</v>
      </c>
      <c r="N306">
        <f t="shared" si="59"/>
        <v>903.29754004193092</v>
      </c>
      <c r="O306" s="5">
        <f t="shared" si="50"/>
        <v>0.12828143197207198</v>
      </c>
      <c r="P306">
        <f t="shared" si="58"/>
        <v>10000</v>
      </c>
      <c r="Q306">
        <f t="shared" si="51"/>
        <v>1282.8143197207198</v>
      </c>
    </row>
    <row r="307" spans="1:17" x14ac:dyDescent="0.15">
      <c r="A307" s="10">
        <v>45875.440972222015</v>
      </c>
      <c r="B307">
        <f>COUNT(A307:$A$1158)/(48*252)</f>
        <v>7.0436507936507936E-2</v>
      </c>
      <c r="C307">
        <v>2.1560000000000001</v>
      </c>
      <c r="D307">
        <v>5.1999999999999998E-2</v>
      </c>
      <c r="E307">
        <f t="shared" si="48"/>
        <v>-8.0102491744289614E-2</v>
      </c>
      <c r="F307">
        <f t="shared" si="49"/>
        <v>0.46807787049639094</v>
      </c>
      <c r="G307">
        <f t="shared" si="52"/>
        <v>-4.0000000000000036E-3</v>
      </c>
      <c r="H307">
        <f>IF(MOD(COUNTA($C$7:C307)-1,$J$2),H306,ROUND(F307*P307,-2))</f>
        <v>4700</v>
      </c>
      <c r="I307">
        <f t="shared" si="53"/>
        <v>0</v>
      </c>
      <c r="J307">
        <f t="shared" si="54"/>
        <v>0</v>
      </c>
      <c r="K307">
        <f t="shared" si="55"/>
        <v>-9248.7024599580691</v>
      </c>
      <c r="L307">
        <f t="shared" si="56"/>
        <v>884.49754004193164</v>
      </c>
      <c r="M307">
        <f t="shared" si="57"/>
        <v>-18.799999999999272</v>
      </c>
      <c r="N307">
        <f t="shared" si="59"/>
        <v>884.49754004193164</v>
      </c>
      <c r="O307" s="5">
        <f t="shared" si="50"/>
        <v>0.13033686778212661</v>
      </c>
      <c r="P307">
        <f t="shared" si="58"/>
        <v>10000</v>
      </c>
      <c r="Q307">
        <f t="shared" si="51"/>
        <v>1303.3686778212661</v>
      </c>
    </row>
    <row r="308" spans="1:17" x14ac:dyDescent="0.15">
      <c r="A308" s="10">
        <v>45875.444444444962</v>
      </c>
      <c r="B308">
        <f>COUNT(A308:$A$1158)/(48*252)</f>
        <v>7.0353835978835974E-2</v>
      </c>
      <c r="C308">
        <v>2.161</v>
      </c>
      <c r="D308">
        <v>5.2999999999999999E-2</v>
      </c>
      <c r="E308">
        <f t="shared" si="48"/>
        <v>-6.1889683750198321E-2</v>
      </c>
      <c r="F308">
        <f t="shared" si="49"/>
        <v>0.47532534146224598</v>
      </c>
      <c r="G308">
        <f t="shared" si="52"/>
        <v>4.9999999999998934E-3</v>
      </c>
      <c r="H308">
        <f>IF(MOD(COUNTA($C$7:C308)-1,$J$2),H307,ROUND(F308*P308,-2))</f>
        <v>4700</v>
      </c>
      <c r="I308">
        <f t="shared" si="53"/>
        <v>0</v>
      </c>
      <c r="J308">
        <f t="shared" si="54"/>
        <v>0</v>
      </c>
      <c r="K308">
        <f t="shared" si="55"/>
        <v>-9248.7024599580691</v>
      </c>
      <c r="L308">
        <f t="shared" si="56"/>
        <v>907.99754004193164</v>
      </c>
      <c r="M308">
        <f t="shared" si="57"/>
        <v>23.5</v>
      </c>
      <c r="N308">
        <f t="shared" si="59"/>
        <v>907.99754004193164</v>
      </c>
      <c r="O308" s="5">
        <f t="shared" si="50"/>
        <v>0.12763484832868555</v>
      </c>
      <c r="P308">
        <f t="shared" si="58"/>
        <v>10000</v>
      </c>
      <c r="Q308">
        <f t="shared" si="51"/>
        <v>1276.3484832868555</v>
      </c>
    </row>
    <row r="309" spans="1:17" x14ac:dyDescent="0.15">
      <c r="A309" s="10">
        <v>45875.447916666977</v>
      </c>
      <c r="B309">
        <f>COUNT(A309:$A$1158)/(48*252)</f>
        <v>7.0271164021164026E-2</v>
      </c>
      <c r="C309">
        <v>2.1629999999999998</v>
      </c>
      <c r="D309">
        <v>5.2999999999999999E-2</v>
      </c>
      <c r="E309">
        <f t="shared" si="48"/>
        <v>-5.4686051247455708E-2</v>
      </c>
      <c r="F309">
        <f t="shared" si="49"/>
        <v>0.47819429111254785</v>
      </c>
      <c r="G309">
        <f t="shared" si="52"/>
        <v>1.9999999999997797E-3</v>
      </c>
      <c r="H309">
        <f>IF(MOD(COUNTA($C$7:C309)-1,$J$2),H308,ROUND(F309*P309,-2))</f>
        <v>4700</v>
      </c>
      <c r="I309">
        <f t="shared" si="53"/>
        <v>0</v>
      </c>
      <c r="J309">
        <f t="shared" si="54"/>
        <v>0</v>
      </c>
      <c r="K309">
        <f t="shared" si="55"/>
        <v>-9248.7024599580691</v>
      </c>
      <c r="L309">
        <f t="shared" si="56"/>
        <v>917.39754004192946</v>
      </c>
      <c r="M309">
        <f t="shared" si="57"/>
        <v>9.3999999999978172</v>
      </c>
      <c r="N309">
        <f t="shared" si="59"/>
        <v>917.39754004192946</v>
      </c>
      <c r="O309" s="5">
        <f t="shared" si="50"/>
        <v>0.12652761942957924</v>
      </c>
      <c r="P309">
        <f t="shared" si="58"/>
        <v>10000</v>
      </c>
      <c r="Q309">
        <f t="shared" si="51"/>
        <v>1265.2761942957925</v>
      </c>
    </row>
    <row r="310" spans="1:17" x14ac:dyDescent="0.15">
      <c r="A310" s="10">
        <v>45875.451388888992</v>
      </c>
      <c r="B310">
        <f>COUNT(A310:$A$1158)/(48*252)</f>
        <v>7.0188492063492064E-2</v>
      </c>
      <c r="C310">
        <v>2.165</v>
      </c>
      <c r="D310">
        <v>5.3999999999999999E-2</v>
      </c>
      <c r="E310">
        <f t="shared" si="48"/>
        <v>-4.7480739902003737E-2</v>
      </c>
      <c r="F310">
        <f t="shared" si="49"/>
        <v>0.48106504017628537</v>
      </c>
      <c r="G310">
        <f t="shared" si="52"/>
        <v>2.0000000000002238E-3</v>
      </c>
      <c r="H310">
        <f>IF(MOD(COUNTA($C$7:C310)-1,$J$2),H309,ROUND(F310*P310,-2))</f>
        <v>4700</v>
      </c>
      <c r="I310">
        <f t="shared" si="53"/>
        <v>0</v>
      </c>
      <c r="J310">
        <f t="shared" si="54"/>
        <v>0</v>
      </c>
      <c r="K310">
        <f t="shared" si="55"/>
        <v>-9248.7024599580691</v>
      </c>
      <c r="L310">
        <f t="shared" si="56"/>
        <v>926.79754004193092</v>
      </c>
      <c r="M310">
        <f t="shared" si="57"/>
        <v>9.4000000000014552</v>
      </c>
      <c r="N310">
        <f t="shared" si="59"/>
        <v>926.79754004193092</v>
      </c>
      <c r="O310" s="5">
        <f t="shared" si="50"/>
        <v>0.12542599280091515</v>
      </c>
      <c r="P310">
        <f t="shared" si="58"/>
        <v>10000</v>
      </c>
      <c r="Q310">
        <f t="shared" si="51"/>
        <v>1254.2599280091515</v>
      </c>
    </row>
    <row r="311" spans="1:17" x14ac:dyDescent="0.15">
      <c r="A311" s="10">
        <v>45875.454861111008</v>
      </c>
      <c r="B311">
        <f>COUNT(A311:$A$1158)/(48*252)</f>
        <v>7.0105820105820102E-2</v>
      </c>
      <c r="C311">
        <v>2.16</v>
      </c>
      <c r="D311">
        <v>5.1999999999999998E-2</v>
      </c>
      <c r="E311">
        <f t="shared" si="48"/>
        <v>-6.5954788993476621E-2</v>
      </c>
      <c r="F311">
        <f t="shared" si="49"/>
        <v>0.47370691009603727</v>
      </c>
      <c r="G311">
        <f t="shared" si="52"/>
        <v>-4.9999999999998934E-3</v>
      </c>
      <c r="H311">
        <f>IF(MOD(COUNTA($C$7:C311)-1,$J$2),H310,ROUND(F311*P311,-2))</f>
        <v>4700</v>
      </c>
      <c r="I311">
        <f t="shared" si="53"/>
        <v>0</v>
      </c>
      <c r="J311">
        <f t="shared" si="54"/>
        <v>0</v>
      </c>
      <c r="K311">
        <f t="shared" si="55"/>
        <v>-9248.7024599580691</v>
      </c>
      <c r="L311">
        <f t="shared" si="56"/>
        <v>903.29754004193092</v>
      </c>
      <c r="M311">
        <f t="shared" si="57"/>
        <v>-23.5</v>
      </c>
      <c r="N311">
        <f t="shared" si="59"/>
        <v>903.29754004193092</v>
      </c>
      <c r="O311" s="5">
        <f t="shared" si="50"/>
        <v>0.12797820855056874</v>
      </c>
      <c r="P311">
        <f t="shared" si="58"/>
        <v>10000</v>
      </c>
      <c r="Q311">
        <f t="shared" si="51"/>
        <v>1279.7820855056873</v>
      </c>
    </row>
    <row r="312" spans="1:17" x14ac:dyDescent="0.15">
      <c r="A312" s="10">
        <v>45875.458333333023</v>
      </c>
      <c r="B312">
        <f>COUNT(A312:$A$1158)/(48*252)</f>
        <v>7.0023148148148154E-2</v>
      </c>
      <c r="C312">
        <v>2.16</v>
      </c>
      <c r="D312">
        <v>5.1999999999999998E-2</v>
      </c>
      <c r="E312">
        <f t="shared" si="48"/>
        <v>-6.6087738285369027E-2</v>
      </c>
      <c r="F312">
        <f t="shared" si="49"/>
        <v>0.47365398647011281</v>
      </c>
      <c r="G312">
        <f t="shared" si="52"/>
        <v>0</v>
      </c>
      <c r="H312">
        <f>IF(MOD(COUNTA($C$7:C312)-1,$J$2),H311,ROUND(F312*P312,-2))</f>
        <v>4700</v>
      </c>
      <c r="I312">
        <f t="shared" si="53"/>
        <v>0</v>
      </c>
      <c r="J312">
        <f t="shared" si="54"/>
        <v>0</v>
      </c>
      <c r="K312">
        <f t="shared" si="55"/>
        <v>-9248.7024599580691</v>
      </c>
      <c r="L312">
        <f t="shared" si="56"/>
        <v>903.29754004193092</v>
      </c>
      <c r="M312">
        <f t="shared" si="57"/>
        <v>0</v>
      </c>
      <c r="N312">
        <f t="shared" si="59"/>
        <v>903.29754004193092</v>
      </c>
      <c r="O312" s="5">
        <f t="shared" si="50"/>
        <v>0.12791745321356718</v>
      </c>
      <c r="P312">
        <f t="shared" si="58"/>
        <v>10000</v>
      </c>
      <c r="Q312">
        <f t="shared" si="51"/>
        <v>1279.1745321356718</v>
      </c>
    </row>
    <row r="313" spans="1:17" x14ac:dyDescent="0.15">
      <c r="A313" s="10">
        <v>45875.461805555969</v>
      </c>
      <c r="B313">
        <f>COUNT(A313:$A$1158)/(48*252)</f>
        <v>6.9940476190476192E-2</v>
      </c>
      <c r="C313">
        <v>2.1629999999999998</v>
      </c>
      <c r="D313">
        <v>5.1999999999999998E-2</v>
      </c>
      <c r="E313">
        <f t="shared" si="48"/>
        <v>-5.519150816437695E-2</v>
      </c>
      <c r="F313">
        <f t="shared" si="49"/>
        <v>0.4779929470643029</v>
      </c>
      <c r="G313">
        <f t="shared" si="52"/>
        <v>2.9999999999996696E-3</v>
      </c>
      <c r="H313">
        <f>IF(MOD(COUNTA($C$7:C313)-1,$J$2),H312,ROUND(F313*P313,-2))</f>
        <v>4800</v>
      </c>
      <c r="I313">
        <f t="shared" si="53"/>
        <v>100</v>
      </c>
      <c r="J313">
        <f t="shared" si="54"/>
        <v>0</v>
      </c>
      <c r="K313">
        <f t="shared" si="55"/>
        <v>-9465.0121934580675</v>
      </c>
      <c r="L313">
        <f t="shared" si="56"/>
        <v>917.38780654193215</v>
      </c>
      <c r="M313">
        <f t="shared" si="57"/>
        <v>14.090266500001235</v>
      </c>
      <c r="N313">
        <f t="shared" si="59"/>
        <v>917.38780654193215</v>
      </c>
      <c r="O313" s="5">
        <f t="shared" si="50"/>
        <v>0.12628405254049713</v>
      </c>
      <c r="P313">
        <f t="shared" si="58"/>
        <v>10000</v>
      </c>
      <c r="Q313">
        <f t="shared" si="51"/>
        <v>1262.8405254049712</v>
      </c>
    </row>
    <row r="314" spans="1:17" x14ac:dyDescent="0.15">
      <c r="A314" s="10">
        <v>45875.465277777985</v>
      </c>
      <c r="B314">
        <f>COUNT(A314:$A$1158)/(48*252)</f>
        <v>6.985780423280423E-2</v>
      </c>
      <c r="C314">
        <v>2.1659999999999999</v>
      </c>
      <c r="D314">
        <v>5.3999999999999999E-2</v>
      </c>
      <c r="E314">
        <f t="shared" si="48"/>
        <v>-4.4297705762650526E-2</v>
      </c>
      <c r="F314">
        <f t="shared" si="49"/>
        <v>0.48233355020870933</v>
      </c>
      <c r="G314">
        <f t="shared" si="52"/>
        <v>3.0000000000001137E-3</v>
      </c>
      <c r="H314">
        <f>IF(MOD(COUNTA($C$7:C314)-1,$J$2),H313,ROUND(F314*P314,-2))</f>
        <v>4800</v>
      </c>
      <c r="I314">
        <f t="shared" si="53"/>
        <v>0</v>
      </c>
      <c r="J314">
        <f t="shared" si="54"/>
        <v>0</v>
      </c>
      <c r="K314">
        <f t="shared" si="55"/>
        <v>-9465.0121934580675</v>
      </c>
      <c r="L314">
        <f t="shared" si="56"/>
        <v>931.78780654193179</v>
      </c>
      <c r="M314">
        <f t="shared" si="57"/>
        <v>14.399999999999636</v>
      </c>
      <c r="N314">
        <f t="shared" si="59"/>
        <v>931.78780654193179</v>
      </c>
      <c r="O314" s="5">
        <f t="shared" si="50"/>
        <v>0.12466348262854732</v>
      </c>
      <c r="P314">
        <f t="shared" si="58"/>
        <v>10000</v>
      </c>
      <c r="Q314">
        <f t="shared" si="51"/>
        <v>1246.6348262854731</v>
      </c>
    </row>
    <row r="315" spans="1:17" x14ac:dyDescent="0.15">
      <c r="A315" s="10">
        <v>45875.46875</v>
      </c>
      <c r="B315">
        <f>COUNT(A315:$A$1158)/(48*252)</f>
        <v>6.9775132275132282E-2</v>
      </c>
      <c r="C315">
        <v>2.1680000000000001</v>
      </c>
      <c r="D315">
        <v>5.3999999999999999E-2</v>
      </c>
      <c r="E315">
        <f t="shared" si="48"/>
        <v>-3.707520589061454E-2</v>
      </c>
      <c r="F315">
        <f t="shared" si="49"/>
        <v>0.48521252063301273</v>
      </c>
      <c r="G315">
        <f t="shared" si="52"/>
        <v>2.0000000000002238E-3</v>
      </c>
      <c r="H315">
        <f>IF(MOD(COUNTA($C$7:C315)-1,$J$2),H314,ROUND(F315*P315,-2))</f>
        <v>4800</v>
      </c>
      <c r="I315">
        <f t="shared" si="53"/>
        <v>0</v>
      </c>
      <c r="J315">
        <f t="shared" si="54"/>
        <v>0</v>
      </c>
      <c r="K315">
        <f t="shared" si="55"/>
        <v>-9465.0121934580675</v>
      </c>
      <c r="L315">
        <f t="shared" si="56"/>
        <v>941.38780654193397</v>
      </c>
      <c r="M315">
        <f t="shared" si="57"/>
        <v>9.6000000000021828</v>
      </c>
      <c r="N315">
        <f t="shared" si="59"/>
        <v>941.38780654193397</v>
      </c>
      <c r="O315" s="5">
        <f t="shared" si="50"/>
        <v>0.12356981096364827</v>
      </c>
      <c r="P315">
        <f t="shared" si="58"/>
        <v>10000</v>
      </c>
      <c r="Q315">
        <f t="shared" si="51"/>
        <v>1235.6981096364827</v>
      </c>
    </row>
    <row r="316" spans="1:17" x14ac:dyDescent="0.15">
      <c r="A316" s="10">
        <v>45875.472222222015</v>
      </c>
      <c r="B316">
        <f>COUNT(A316:$A$1158)/(48*252)</f>
        <v>6.969246031746032E-2</v>
      </c>
      <c r="C316">
        <v>2.173</v>
      </c>
      <c r="D316">
        <v>5.6000000000000001E-2</v>
      </c>
      <c r="E316">
        <f t="shared" si="48"/>
        <v>-1.885284577434896E-2</v>
      </c>
      <c r="F316">
        <f t="shared" si="49"/>
        <v>0.49247924823390521</v>
      </c>
      <c r="G316">
        <f t="shared" si="52"/>
        <v>4.9999999999998934E-3</v>
      </c>
      <c r="H316">
        <f>IF(MOD(COUNTA($C$7:C316)-1,$J$2),H315,ROUND(F316*P316,-2))</f>
        <v>4800</v>
      </c>
      <c r="I316">
        <f t="shared" si="53"/>
        <v>0</v>
      </c>
      <c r="J316">
        <f t="shared" si="54"/>
        <v>0</v>
      </c>
      <c r="K316">
        <f t="shared" si="55"/>
        <v>-9465.0121934580675</v>
      </c>
      <c r="L316">
        <f t="shared" si="56"/>
        <v>965.38780654193215</v>
      </c>
      <c r="M316">
        <f t="shared" si="57"/>
        <v>23.999999999998181</v>
      </c>
      <c r="N316">
        <f t="shared" si="59"/>
        <v>965.38780654193215</v>
      </c>
      <c r="O316" s="5">
        <f t="shared" si="50"/>
        <v>0.1209526279227493</v>
      </c>
      <c r="P316">
        <f t="shared" si="58"/>
        <v>10000</v>
      </c>
      <c r="Q316">
        <f t="shared" si="51"/>
        <v>1209.526279227493</v>
      </c>
    </row>
    <row r="317" spans="1:17" x14ac:dyDescent="0.15">
      <c r="A317" s="10">
        <v>45875.475694444962</v>
      </c>
      <c r="B317">
        <f>COUNT(A317:$A$1158)/(48*252)</f>
        <v>6.9609788359788358E-2</v>
      </c>
      <c r="C317">
        <v>2.1709999999999998</v>
      </c>
      <c r="D317">
        <v>5.3999999999999999E-2</v>
      </c>
      <c r="E317">
        <f t="shared" si="48"/>
        <v>-2.6293063094434223E-2</v>
      </c>
      <c r="F317">
        <f t="shared" si="49"/>
        <v>0.48951179392442506</v>
      </c>
      <c r="G317">
        <f t="shared" si="52"/>
        <v>-2.0000000000002238E-3</v>
      </c>
      <c r="H317">
        <f>IF(MOD(COUNTA($C$7:C317)-1,$J$2),H316,ROUND(F317*P317,-2))</f>
        <v>4800</v>
      </c>
      <c r="I317">
        <f t="shared" si="53"/>
        <v>0</v>
      </c>
      <c r="J317">
        <f t="shared" si="54"/>
        <v>0</v>
      </c>
      <c r="K317">
        <f t="shared" si="55"/>
        <v>-9465.0121934580675</v>
      </c>
      <c r="L317">
        <f t="shared" si="56"/>
        <v>955.78780654193179</v>
      </c>
      <c r="M317">
        <f t="shared" si="57"/>
        <v>-9.6000000000003638</v>
      </c>
      <c r="N317">
        <f t="shared" si="59"/>
        <v>955.78780654193179</v>
      </c>
      <c r="O317" s="5">
        <f t="shared" si="50"/>
        <v>0.12190911750382982</v>
      </c>
      <c r="P317">
        <f t="shared" si="58"/>
        <v>10000</v>
      </c>
      <c r="Q317">
        <f t="shared" si="51"/>
        <v>1219.0911750382982</v>
      </c>
    </row>
    <row r="318" spans="1:17" x14ac:dyDescent="0.15">
      <c r="A318" s="10">
        <v>45875.479166666977</v>
      </c>
      <c r="B318">
        <f>COUNT(A318:$A$1158)/(48*252)</f>
        <v>6.9527116402116396E-2</v>
      </c>
      <c r="C318">
        <v>2.1680000000000001</v>
      </c>
      <c r="D318">
        <v>5.2999999999999999E-2</v>
      </c>
      <c r="E318">
        <f t="shared" si="48"/>
        <v>-3.7424357746461294E-2</v>
      </c>
      <c r="F318">
        <f t="shared" si="49"/>
        <v>0.48507332579928231</v>
      </c>
      <c r="G318">
        <f t="shared" si="52"/>
        <v>-2.9999999999996696E-3</v>
      </c>
      <c r="H318">
        <f>IF(MOD(COUNTA($C$7:C318)-1,$J$2),H317,ROUND(F318*P318,-2))</f>
        <v>4800</v>
      </c>
      <c r="I318">
        <f t="shared" si="53"/>
        <v>0</v>
      </c>
      <c r="J318">
        <f t="shared" si="54"/>
        <v>0</v>
      </c>
      <c r="K318">
        <f t="shared" si="55"/>
        <v>-9465.0121934580675</v>
      </c>
      <c r="L318">
        <f t="shared" si="56"/>
        <v>941.38780654193397</v>
      </c>
      <c r="M318">
        <f t="shared" si="57"/>
        <v>-14.399999999997817</v>
      </c>
      <c r="N318">
        <f t="shared" si="59"/>
        <v>941.38780654193397</v>
      </c>
      <c r="O318" s="5">
        <f t="shared" si="50"/>
        <v>0.12338579122851812</v>
      </c>
      <c r="P318">
        <f t="shared" si="58"/>
        <v>10000</v>
      </c>
      <c r="Q318">
        <f t="shared" si="51"/>
        <v>1233.8579122851811</v>
      </c>
    </row>
    <row r="319" spans="1:17" x14ac:dyDescent="0.15">
      <c r="A319" s="10">
        <v>45875.545138888992</v>
      </c>
      <c r="B319">
        <f>COUNT(A319:$A$1158)/(48*252)</f>
        <v>6.9444444444444448E-2</v>
      </c>
      <c r="C319">
        <v>2.1680000000000001</v>
      </c>
      <c r="D319">
        <v>5.2999999999999999E-2</v>
      </c>
      <c r="E319">
        <f t="shared" si="48"/>
        <v>-3.7541044914800856E-2</v>
      </c>
      <c r="F319">
        <f t="shared" si="49"/>
        <v>0.48502680704408824</v>
      </c>
      <c r="G319">
        <f t="shared" si="52"/>
        <v>0</v>
      </c>
      <c r="H319">
        <f>IF(MOD(COUNTA($C$7:C319)-1,$J$2),H318,ROUND(F319*P319,-2))</f>
        <v>4900</v>
      </c>
      <c r="I319">
        <f t="shared" si="53"/>
        <v>100</v>
      </c>
      <c r="J319">
        <f t="shared" si="54"/>
        <v>0</v>
      </c>
      <c r="K319">
        <f t="shared" si="55"/>
        <v>-9681.8219494580662</v>
      </c>
      <c r="L319">
        <f t="shared" si="56"/>
        <v>941.3780505419345</v>
      </c>
      <c r="M319">
        <f t="shared" si="57"/>
        <v>-9.7559999994700775E-3</v>
      </c>
      <c r="N319">
        <f t="shared" si="59"/>
        <v>941.3780505419345</v>
      </c>
      <c r="O319" s="5">
        <f t="shared" si="50"/>
        <v>0.12332437550290276</v>
      </c>
      <c r="P319">
        <f t="shared" si="58"/>
        <v>10000</v>
      </c>
      <c r="Q319">
        <f t="shared" si="51"/>
        <v>1233.2437550290276</v>
      </c>
    </row>
    <row r="320" spans="1:17" x14ac:dyDescent="0.15">
      <c r="A320" s="10">
        <v>45875.548611111008</v>
      </c>
      <c r="B320">
        <f>COUNT(A320:$A$1158)/(48*252)</f>
        <v>6.9361772486772486E-2</v>
      </c>
      <c r="C320">
        <v>2.169</v>
      </c>
      <c r="D320">
        <v>5.3999999999999999E-2</v>
      </c>
      <c r="E320">
        <f t="shared" si="48"/>
        <v>-3.397804392122649E-2</v>
      </c>
      <c r="F320">
        <f t="shared" si="49"/>
        <v>0.48644732950120095</v>
      </c>
      <c r="G320">
        <f t="shared" si="52"/>
        <v>9.9999999999988987E-4</v>
      </c>
      <c r="H320">
        <f>IF(MOD(COUNTA($C$7:C320)-1,$J$2),H319,ROUND(F320*P320,-2))</f>
        <v>4900</v>
      </c>
      <c r="I320">
        <f t="shared" si="53"/>
        <v>0</v>
      </c>
      <c r="J320">
        <f t="shared" si="54"/>
        <v>0</v>
      </c>
      <c r="K320">
        <f t="shared" si="55"/>
        <v>-9681.8219494580662</v>
      </c>
      <c r="L320">
        <f t="shared" si="56"/>
        <v>946.27805054193414</v>
      </c>
      <c r="M320">
        <f t="shared" si="57"/>
        <v>4.8999999999996362</v>
      </c>
      <c r="N320">
        <f t="shared" si="59"/>
        <v>946.27805054193414</v>
      </c>
      <c r="O320" s="5">
        <f t="shared" si="50"/>
        <v>0.12274863557830606</v>
      </c>
      <c r="P320">
        <f t="shared" si="58"/>
        <v>10000</v>
      </c>
      <c r="Q320">
        <f t="shared" si="51"/>
        <v>1227.4863557830606</v>
      </c>
    </row>
    <row r="321" spans="1:17" x14ac:dyDescent="0.15">
      <c r="A321" s="10">
        <v>45875.552083333023</v>
      </c>
      <c r="B321">
        <f>COUNT(A321:$A$1158)/(48*252)</f>
        <v>6.9279100529100524E-2</v>
      </c>
      <c r="C321">
        <v>2.1669999999999998</v>
      </c>
      <c r="D321">
        <v>5.1999999999999998E-2</v>
      </c>
      <c r="E321">
        <f t="shared" si="48"/>
        <v>-4.1458610756457015E-2</v>
      </c>
      <c r="F321">
        <f t="shared" si="49"/>
        <v>0.48346514414842645</v>
      </c>
      <c r="G321">
        <f t="shared" si="52"/>
        <v>-2.0000000000002238E-3</v>
      </c>
      <c r="H321">
        <f>IF(MOD(COUNTA($C$7:C321)-1,$J$2),H320,ROUND(F321*P321,-2))</f>
        <v>4900</v>
      </c>
      <c r="I321">
        <f t="shared" si="53"/>
        <v>0</v>
      </c>
      <c r="J321">
        <f t="shared" si="54"/>
        <v>0</v>
      </c>
      <c r="K321">
        <f t="shared" si="55"/>
        <v>-9681.8219494580662</v>
      </c>
      <c r="L321">
        <f t="shared" si="56"/>
        <v>936.47805054193304</v>
      </c>
      <c r="M321">
        <f t="shared" si="57"/>
        <v>-9.8000000000010914</v>
      </c>
      <c r="N321">
        <f t="shared" si="59"/>
        <v>936.47805054193304</v>
      </c>
      <c r="O321" s="5">
        <f t="shared" si="50"/>
        <v>0.12371723052658123</v>
      </c>
      <c r="P321">
        <f t="shared" si="58"/>
        <v>10000</v>
      </c>
      <c r="Q321">
        <f t="shared" si="51"/>
        <v>1237.1723052658124</v>
      </c>
    </row>
    <row r="322" spans="1:17" x14ac:dyDescent="0.15">
      <c r="A322" s="10">
        <v>45875.555555555969</v>
      </c>
      <c r="B322">
        <f>COUNT(A322:$A$1158)/(48*252)</f>
        <v>6.9196428571428575E-2</v>
      </c>
      <c r="C322">
        <v>2.1680000000000001</v>
      </c>
      <c r="D322">
        <v>5.2999999999999999E-2</v>
      </c>
      <c r="E322">
        <f t="shared" si="48"/>
        <v>-3.7892021934957901E-2</v>
      </c>
      <c r="F322">
        <f t="shared" si="49"/>
        <v>0.48488688702810973</v>
      </c>
      <c r="G322">
        <f t="shared" si="52"/>
        <v>1.000000000000334E-3</v>
      </c>
      <c r="H322">
        <f>IF(MOD(COUNTA($C$7:C322)-1,$J$2),H321,ROUND(F322*P322,-2))</f>
        <v>4900</v>
      </c>
      <c r="I322">
        <f t="shared" si="53"/>
        <v>0</v>
      </c>
      <c r="J322">
        <f t="shared" si="54"/>
        <v>0</v>
      </c>
      <c r="K322">
        <f t="shared" si="55"/>
        <v>-9681.8219494580662</v>
      </c>
      <c r="L322">
        <f t="shared" si="56"/>
        <v>941.3780505419345</v>
      </c>
      <c r="M322">
        <f t="shared" si="57"/>
        <v>4.9000000000014552</v>
      </c>
      <c r="N322">
        <f t="shared" si="59"/>
        <v>941.3780505419345</v>
      </c>
      <c r="O322" s="5">
        <f t="shared" si="50"/>
        <v>0.12313989995114483</v>
      </c>
      <c r="P322">
        <f t="shared" si="58"/>
        <v>10000</v>
      </c>
      <c r="Q322">
        <f t="shared" si="51"/>
        <v>1231.3989995114482</v>
      </c>
    </row>
    <row r="323" spans="1:17" x14ac:dyDescent="0.15">
      <c r="A323" s="10">
        <v>45875.559027777985</v>
      </c>
      <c r="B323">
        <f>COUNT(A323:$A$1158)/(48*252)</f>
        <v>6.9113756613756613E-2</v>
      </c>
      <c r="C323">
        <v>2.1669999999999998</v>
      </c>
      <c r="D323">
        <v>5.1999999999999998E-2</v>
      </c>
      <c r="E323">
        <f t="shared" si="48"/>
        <v>-4.1697458771946791E-2</v>
      </c>
      <c r="F323">
        <f t="shared" si="49"/>
        <v>0.48336993990361754</v>
      </c>
      <c r="G323">
        <f t="shared" si="52"/>
        <v>-1.000000000000334E-3</v>
      </c>
      <c r="H323">
        <f>IF(MOD(COUNTA($C$7:C323)-1,$J$2),H322,ROUND(F323*P323,-2))</f>
        <v>4900</v>
      </c>
      <c r="I323">
        <f t="shared" si="53"/>
        <v>0</v>
      </c>
      <c r="J323">
        <f t="shared" si="54"/>
        <v>0</v>
      </c>
      <c r="K323">
        <f t="shared" si="55"/>
        <v>-9681.8219494580662</v>
      </c>
      <c r="L323">
        <f t="shared" si="56"/>
        <v>936.47805054193304</v>
      </c>
      <c r="M323">
        <f t="shared" si="57"/>
        <v>-4.9000000000014552</v>
      </c>
      <c r="N323">
        <f t="shared" si="59"/>
        <v>936.47805054193304</v>
      </c>
      <c r="O323" s="5">
        <f t="shared" si="50"/>
        <v>0.12359422668101705</v>
      </c>
      <c r="P323">
        <f t="shared" si="58"/>
        <v>10000</v>
      </c>
      <c r="Q323">
        <f t="shared" si="51"/>
        <v>1235.9422668101704</v>
      </c>
    </row>
    <row r="324" spans="1:17" x14ac:dyDescent="0.15">
      <c r="A324" s="10">
        <v>45875.5625</v>
      </c>
      <c r="B324">
        <f>COUNT(A324:$A$1158)/(48*252)</f>
        <v>6.9031084656084651E-2</v>
      </c>
      <c r="C324">
        <v>2.1680000000000001</v>
      </c>
      <c r="D324">
        <v>5.1999999999999998E-2</v>
      </c>
      <c r="E324">
        <f t="shared" si="48"/>
        <v>-3.8126773772457122E-2</v>
      </c>
      <c r="F324">
        <f t="shared" si="49"/>
        <v>0.48479330222102196</v>
      </c>
      <c r="G324">
        <f t="shared" si="52"/>
        <v>1.000000000000334E-3</v>
      </c>
      <c r="H324">
        <f>IF(MOD(COUNTA($C$7:C324)-1,$J$2),H323,ROUND(F324*P324,-2))</f>
        <v>4900</v>
      </c>
      <c r="I324">
        <f t="shared" si="53"/>
        <v>0</v>
      </c>
      <c r="J324">
        <f t="shared" si="54"/>
        <v>0</v>
      </c>
      <c r="K324">
        <f t="shared" si="55"/>
        <v>-9681.8219494580662</v>
      </c>
      <c r="L324">
        <f t="shared" si="56"/>
        <v>941.3780505419345</v>
      </c>
      <c r="M324">
        <f t="shared" si="57"/>
        <v>4.9000000000014552</v>
      </c>
      <c r="N324">
        <f t="shared" si="59"/>
        <v>941.3780505419345</v>
      </c>
      <c r="O324" s="5">
        <f t="shared" si="50"/>
        <v>0.12301672526656438</v>
      </c>
      <c r="P324">
        <f t="shared" si="58"/>
        <v>10000</v>
      </c>
      <c r="Q324">
        <f t="shared" si="51"/>
        <v>1230.1672526656437</v>
      </c>
    </row>
    <row r="325" spans="1:17" x14ac:dyDescent="0.15">
      <c r="A325" s="10">
        <v>45875.565972222015</v>
      </c>
      <c r="B325">
        <f>COUNT(A325:$A$1158)/(48*252)</f>
        <v>6.8948412698412703E-2</v>
      </c>
      <c r="C325">
        <v>2.1720000000000002</v>
      </c>
      <c r="D325">
        <v>5.2999999999999999E-2</v>
      </c>
      <c r="E325">
        <f t="shared" si="48"/>
        <v>-2.3491163606323338E-2</v>
      </c>
      <c r="F325">
        <f t="shared" si="49"/>
        <v>0.49062924348107667</v>
      </c>
      <c r="G325">
        <f t="shared" si="52"/>
        <v>4.0000000000000036E-3</v>
      </c>
      <c r="H325">
        <f>IF(MOD(COUNTA($C$7:C325)-1,$J$2),H324,ROUND(F325*P325,-2))</f>
        <v>4900</v>
      </c>
      <c r="I325">
        <f t="shared" si="53"/>
        <v>0</v>
      </c>
      <c r="J325">
        <f t="shared" si="54"/>
        <v>0</v>
      </c>
      <c r="K325">
        <f t="shared" si="55"/>
        <v>-9681.8219494580662</v>
      </c>
      <c r="L325">
        <f t="shared" si="56"/>
        <v>960.97805054193486</v>
      </c>
      <c r="M325">
        <f t="shared" si="57"/>
        <v>19.600000000000364</v>
      </c>
      <c r="N325">
        <f t="shared" si="59"/>
        <v>960.97805054193486</v>
      </c>
      <c r="O325" s="5">
        <f t="shared" si="50"/>
        <v>0.12090583447127567</v>
      </c>
      <c r="P325">
        <f t="shared" si="58"/>
        <v>10000</v>
      </c>
      <c r="Q325">
        <f t="shared" si="51"/>
        <v>1209.0583447127567</v>
      </c>
    </row>
    <row r="326" spans="1:17" x14ac:dyDescent="0.15">
      <c r="A326" s="10">
        <v>45875.569444444962</v>
      </c>
      <c r="B326">
        <f>COUNT(A326:$A$1158)/(48*252)</f>
        <v>6.8865740740740741E-2</v>
      </c>
      <c r="C326">
        <v>2.169</v>
      </c>
      <c r="D326">
        <v>5.2999999999999999E-2</v>
      </c>
      <c r="E326">
        <f t="shared" si="48"/>
        <v>-3.4669073899206371E-2</v>
      </c>
      <c r="F326">
        <f t="shared" si="49"/>
        <v>0.48617181077447674</v>
      </c>
      <c r="G326">
        <f t="shared" si="52"/>
        <v>-3.0000000000001137E-3</v>
      </c>
      <c r="H326">
        <f>IF(MOD(COUNTA($C$7:C326)-1,$J$2),H325,ROUND(F326*P326,-2))</f>
        <v>4900</v>
      </c>
      <c r="I326">
        <f t="shared" si="53"/>
        <v>0</v>
      </c>
      <c r="J326">
        <f t="shared" si="54"/>
        <v>0</v>
      </c>
      <c r="K326">
        <f t="shared" si="55"/>
        <v>-9681.8219494580662</v>
      </c>
      <c r="L326">
        <f t="shared" si="56"/>
        <v>946.27805054193414</v>
      </c>
      <c r="M326">
        <f t="shared" si="57"/>
        <v>-14.700000000000728</v>
      </c>
      <c r="N326">
        <f t="shared" si="59"/>
        <v>946.27805054193414</v>
      </c>
      <c r="O326" s="5">
        <f t="shared" si="50"/>
        <v>0.1223788328467319</v>
      </c>
      <c r="P326">
        <f t="shared" si="58"/>
        <v>10000</v>
      </c>
      <c r="Q326">
        <f t="shared" si="51"/>
        <v>1223.7883284673189</v>
      </c>
    </row>
    <row r="327" spans="1:17" x14ac:dyDescent="0.15">
      <c r="A327" s="10">
        <v>45875.572916666977</v>
      </c>
      <c r="B327">
        <f>COUNT(A327:$A$1158)/(48*252)</f>
        <v>6.8783068783068779E-2</v>
      </c>
      <c r="C327">
        <v>2.1720000000000002</v>
      </c>
      <c r="D327">
        <v>5.2999999999999999E-2</v>
      </c>
      <c r="E327">
        <f t="shared" si="48"/>
        <v>-2.3709121699754979E-2</v>
      </c>
      <c r="F327">
        <f t="shared" si="49"/>
        <v>0.49054231499393197</v>
      </c>
      <c r="G327">
        <f t="shared" si="52"/>
        <v>3.0000000000001137E-3</v>
      </c>
      <c r="H327">
        <f>IF(MOD(COUNTA($C$7:C327)-1,$J$2),H326,ROUND(F327*P327,-2))</f>
        <v>4900</v>
      </c>
      <c r="I327">
        <f t="shared" si="53"/>
        <v>0</v>
      </c>
      <c r="J327">
        <f t="shared" si="54"/>
        <v>0</v>
      </c>
      <c r="K327">
        <f t="shared" si="55"/>
        <v>-9681.8219494580662</v>
      </c>
      <c r="L327">
        <f t="shared" si="56"/>
        <v>960.97805054193486</v>
      </c>
      <c r="M327">
        <f t="shared" si="57"/>
        <v>14.700000000000728</v>
      </c>
      <c r="N327">
        <f t="shared" si="59"/>
        <v>960.97805054193486</v>
      </c>
      <c r="O327" s="5">
        <f t="shared" si="50"/>
        <v>0.12078206768981437</v>
      </c>
      <c r="P327">
        <f t="shared" si="58"/>
        <v>10000</v>
      </c>
      <c r="Q327">
        <f t="shared" si="51"/>
        <v>1207.8206768981436</v>
      </c>
    </row>
    <row r="328" spans="1:17" x14ac:dyDescent="0.15">
      <c r="A328" s="10">
        <v>45875.576388888992</v>
      </c>
      <c r="B328">
        <f>COUNT(A328:$A$1158)/(48*252)</f>
        <v>6.8700396825396831E-2</v>
      </c>
      <c r="C328">
        <v>2.1640000000000001</v>
      </c>
      <c r="D328">
        <v>0.05</v>
      </c>
      <c r="E328">
        <f t="shared" ref="E328:E391" si="60">(LN(C328/$B$2)+($B$1+0.5*$D$1*$D$1)*B328)/($D$1*SQRT(B328))</f>
        <v>-5.3405252118184546E-2</v>
      </c>
      <c r="F328">
        <f t="shared" ref="F328:F391" si="61">NORMSDIST(E328)</f>
        <v>0.47870451030079225</v>
      </c>
      <c r="G328">
        <f t="shared" si="52"/>
        <v>-8.0000000000000071E-3</v>
      </c>
      <c r="H328">
        <f>IF(MOD(COUNTA($C$7:C328)-1,$J$2),H327,ROUND(F328*P328,-2))</f>
        <v>4900</v>
      </c>
      <c r="I328">
        <f t="shared" si="53"/>
        <v>0</v>
      </c>
      <c r="J328">
        <f t="shared" si="54"/>
        <v>0</v>
      </c>
      <c r="K328">
        <f t="shared" si="55"/>
        <v>-9681.8219494580662</v>
      </c>
      <c r="L328">
        <f t="shared" si="56"/>
        <v>921.77805054193414</v>
      </c>
      <c r="M328">
        <f t="shared" si="57"/>
        <v>-39.200000000000728</v>
      </c>
      <c r="N328">
        <f t="shared" si="59"/>
        <v>921.77805054193414</v>
      </c>
      <c r="O328" s="5">
        <f t="shared" ref="O328:O391" si="62">put_bs($B$1,$J$1,C328,$B$2,B328)</f>
        <v>0.12484329300053321</v>
      </c>
      <c r="P328">
        <f t="shared" si="58"/>
        <v>10000</v>
      </c>
      <c r="Q328">
        <f t="shared" ref="Q328:Q391" si="63">P328*O328</f>
        <v>1248.4329300053321</v>
      </c>
    </row>
    <row r="329" spans="1:17" x14ac:dyDescent="0.15">
      <c r="A329" s="10">
        <v>45875.579861111008</v>
      </c>
      <c r="B329">
        <f>COUNT(A329:$A$1158)/(48*252)</f>
        <v>6.8617724867724869E-2</v>
      </c>
      <c r="C329">
        <v>2.165</v>
      </c>
      <c r="D329">
        <v>0.05</v>
      </c>
      <c r="E329">
        <f t="shared" si="60"/>
        <v>-4.9825824000810204E-2</v>
      </c>
      <c r="F329">
        <f t="shared" si="61"/>
        <v>0.48013059383032869</v>
      </c>
      <c r="G329">
        <f t="shared" ref="G329:G392" si="64">C329-C328</f>
        <v>9.9999999999988987E-4</v>
      </c>
      <c r="H329">
        <f>IF(MOD(COUNTA($C$7:C329)-1,$J$2),H328,ROUND(F329*P329,-2))</f>
        <v>4900</v>
      </c>
      <c r="I329">
        <f t="shared" ref="I329:I392" si="65">H329-H328</f>
        <v>0</v>
      </c>
      <c r="J329">
        <f t="shared" ref="J329:J392" si="66">J328</f>
        <v>0</v>
      </c>
      <c r="K329">
        <f t="shared" ref="K329:K392" si="67">K328-I329*C329-ABS(I329*C329*$F$2)</f>
        <v>-9681.8219494580662</v>
      </c>
      <c r="L329">
        <f t="shared" ref="L329:L392" si="68">K329+H329*C329</f>
        <v>926.67805054193377</v>
      </c>
      <c r="M329">
        <f t="shared" ref="M329:M392" si="69">L329-L328</f>
        <v>4.8999999999996362</v>
      </c>
      <c r="N329">
        <f t="shared" si="59"/>
        <v>926.67805054193377</v>
      </c>
      <c r="O329" s="5">
        <f t="shared" si="62"/>
        <v>0.12426108189281093</v>
      </c>
      <c r="P329">
        <f t="shared" ref="P329:P392" si="70">P328</f>
        <v>10000</v>
      </c>
      <c r="Q329">
        <f t="shared" si="63"/>
        <v>1242.6108189281092</v>
      </c>
    </row>
    <row r="330" spans="1:17" x14ac:dyDescent="0.15">
      <c r="A330" s="10">
        <v>45875.583333333023</v>
      </c>
      <c r="B330">
        <f>COUNT(A330:$A$1158)/(48*252)</f>
        <v>6.8535052910052907E-2</v>
      </c>
      <c r="C330">
        <v>2.1659999999999999</v>
      </c>
      <c r="D330">
        <v>5.1999999999999998E-2</v>
      </c>
      <c r="E330">
        <f t="shared" si="60"/>
        <v>-4.6243811491513791E-2</v>
      </c>
      <c r="F330">
        <f t="shared" si="61"/>
        <v>0.48155796164267495</v>
      </c>
      <c r="G330">
        <f t="shared" si="64"/>
        <v>9.9999999999988987E-4</v>
      </c>
      <c r="H330">
        <f>IF(MOD(COUNTA($C$7:C330)-1,$J$2),H329,ROUND(F330*P330,-2))</f>
        <v>4900</v>
      </c>
      <c r="I330">
        <f t="shared" si="65"/>
        <v>0</v>
      </c>
      <c r="J330">
        <f t="shared" si="66"/>
        <v>0</v>
      </c>
      <c r="K330">
        <f t="shared" si="67"/>
        <v>-9681.8219494580662</v>
      </c>
      <c r="L330">
        <f t="shared" si="68"/>
        <v>931.57805054193341</v>
      </c>
      <c r="M330">
        <f t="shared" si="69"/>
        <v>4.8999999999996362</v>
      </c>
      <c r="N330">
        <f t="shared" ref="N330:N393" si="71">L330-$F$1</f>
        <v>931.57805054193341</v>
      </c>
      <c r="O330" s="5">
        <f t="shared" si="62"/>
        <v>0.12368020920468026</v>
      </c>
      <c r="P330">
        <f t="shared" si="70"/>
        <v>10000</v>
      </c>
      <c r="Q330">
        <f t="shared" si="63"/>
        <v>1236.8020920468025</v>
      </c>
    </row>
    <row r="331" spans="1:17" x14ac:dyDescent="0.15">
      <c r="A331" s="10">
        <v>45875.586805555969</v>
      </c>
      <c r="B331">
        <f>COUNT(A331:$A$1158)/(48*252)</f>
        <v>6.8452380952380959E-2</v>
      </c>
      <c r="C331">
        <v>2.1659999999999999</v>
      </c>
      <c r="D331">
        <v>0.05</v>
      </c>
      <c r="E331">
        <f t="shared" si="60"/>
        <v>-4.636682718580127E-2</v>
      </c>
      <c r="F331">
        <f t="shared" si="61"/>
        <v>0.48150893806703399</v>
      </c>
      <c r="G331">
        <f t="shared" si="64"/>
        <v>0</v>
      </c>
      <c r="H331">
        <f>IF(MOD(COUNTA($C$7:C331)-1,$J$2),H330,ROUND(F331*P331,-2))</f>
        <v>4800</v>
      </c>
      <c r="I331">
        <f t="shared" si="65"/>
        <v>-100</v>
      </c>
      <c r="J331">
        <f t="shared" si="66"/>
        <v>0</v>
      </c>
      <c r="K331">
        <f t="shared" si="67"/>
        <v>-9465.2316964580659</v>
      </c>
      <c r="L331">
        <f t="shared" si="68"/>
        <v>931.56830354193335</v>
      </c>
      <c r="M331">
        <f t="shared" si="69"/>
        <v>-9.7470000000612345E-3</v>
      </c>
      <c r="N331">
        <f t="shared" si="71"/>
        <v>931.56830354193335</v>
      </c>
      <c r="O331" s="5">
        <f t="shared" si="62"/>
        <v>0.12361842908853848</v>
      </c>
      <c r="P331">
        <f t="shared" si="70"/>
        <v>10000</v>
      </c>
      <c r="Q331">
        <f t="shared" si="63"/>
        <v>1236.1842908853848</v>
      </c>
    </row>
    <row r="332" spans="1:17" x14ac:dyDescent="0.15">
      <c r="A332" s="10">
        <v>45875.590277777985</v>
      </c>
      <c r="B332">
        <f>COUNT(A332:$A$1158)/(48*252)</f>
        <v>6.8369708994708997E-2</v>
      </c>
      <c r="C332">
        <v>2.17</v>
      </c>
      <c r="D332">
        <v>5.1999999999999998E-2</v>
      </c>
      <c r="E332">
        <f t="shared" si="60"/>
        <v>-3.1660817007913233E-2</v>
      </c>
      <c r="F332">
        <f t="shared" si="61"/>
        <v>0.48737127135376512</v>
      </c>
      <c r="G332">
        <f t="shared" si="64"/>
        <v>4.0000000000000036E-3</v>
      </c>
      <c r="H332">
        <f>IF(MOD(COUNTA($C$7:C332)-1,$J$2),H331,ROUND(F332*P332,-2))</f>
        <v>4800</v>
      </c>
      <c r="I332">
        <f t="shared" si="65"/>
        <v>0</v>
      </c>
      <c r="J332">
        <f t="shared" si="66"/>
        <v>0</v>
      </c>
      <c r="K332">
        <f t="shared" si="67"/>
        <v>-9465.2316964580659</v>
      </c>
      <c r="L332">
        <f t="shared" si="68"/>
        <v>950.76830354193407</v>
      </c>
      <c r="M332">
        <f t="shared" si="69"/>
        <v>19.200000000000728</v>
      </c>
      <c r="N332">
        <f t="shared" si="71"/>
        <v>950.76830354193407</v>
      </c>
      <c r="O332" s="5">
        <f t="shared" si="62"/>
        <v>0.12149427500145205</v>
      </c>
      <c r="P332">
        <f t="shared" si="70"/>
        <v>10000</v>
      </c>
      <c r="Q332">
        <f t="shared" si="63"/>
        <v>1214.9427500145205</v>
      </c>
    </row>
    <row r="333" spans="1:17" x14ac:dyDescent="0.15">
      <c r="A333" s="10">
        <v>45875.59375</v>
      </c>
      <c r="B333">
        <f>COUNT(A333:$A$1158)/(48*252)</f>
        <v>6.8287037037037035E-2</v>
      </c>
      <c r="C333">
        <v>2.17</v>
      </c>
      <c r="D333">
        <v>5.0999999999999997E-2</v>
      </c>
      <c r="E333">
        <f t="shared" si="60"/>
        <v>-3.1775190530515508E-2</v>
      </c>
      <c r="F333">
        <f t="shared" si="61"/>
        <v>0.4873256658659208</v>
      </c>
      <c r="G333">
        <f t="shared" si="64"/>
        <v>0</v>
      </c>
      <c r="H333">
        <f>IF(MOD(COUNTA($C$7:C333)-1,$J$2),H332,ROUND(F333*P333,-2))</f>
        <v>4800</v>
      </c>
      <c r="I333">
        <f t="shared" si="65"/>
        <v>0</v>
      </c>
      <c r="J333">
        <f t="shared" si="66"/>
        <v>0</v>
      </c>
      <c r="K333">
        <f t="shared" si="67"/>
        <v>-9465.2316964580659</v>
      </c>
      <c r="L333">
        <f t="shared" si="68"/>
        <v>950.76830354193407</v>
      </c>
      <c r="M333">
        <f t="shared" si="69"/>
        <v>0</v>
      </c>
      <c r="N333">
        <f t="shared" si="71"/>
        <v>950.76830354193407</v>
      </c>
      <c r="O333" s="5">
        <f t="shared" si="62"/>
        <v>0.12143222788240937</v>
      </c>
      <c r="P333">
        <f t="shared" si="70"/>
        <v>10000</v>
      </c>
      <c r="Q333">
        <f t="shared" si="63"/>
        <v>1214.3222788240937</v>
      </c>
    </row>
    <row r="334" spans="1:17" x14ac:dyDescent="0.15">
      <c r="A334" s="10">
        <v>45875.597222222015</v>
      </c>
      <c r="B334">
        <f>COUNT(A334:$A$1158)/(48*252)</f>
        <v>6.8204365079365073E-2</v>
      </c>
      <c r="C334">
        <v>2.1720000000000002</v>
      </c>
      <c r="D334">
        <v>5.1999999999999998E-2</v>
      </c>
      <c r="E334">
        <f t="shared" si="60"/>
        <v>-2.4476396442590122E-2</v>
      </c>
      <c r="F334">
        <f t="shared" si="61"/>
        <v>0.49023630549202124</v>
      </c>
      <c r="G334">
        <f t="shared" si="64"/>
        <v>2.0000000000002238E-3</v>
      </c>
      <c r="H334">
        <f>IF(MOD(COUNTA($C$7:C334)-1,$J$2),H333,ROUND(F334*P334,-2))</f>
        <v>4800</v>
      </c>
      <c r="I334">
        <f t="shared" si="65"/>
        <v>0</v>
      </c>
      <c r="J334">
        <f t="shared" si="66"/>
        <v>0</v>
      </c>
      <c r="K334">
        <f t="shared" si="67"/>
        <v>-9465.2316964580659</v>
      </c>
      <c r="L334">
        <f t="shared" si="68"/>
        <v>960.36830354193444</v>
      </c>
      <c r="M334">
        <f t="shared" si="69"/>
        <v>9.6000000000003638</v>
      </c>
      <c r="N334">
        <f t="shared" si="71"/>
        <v>960.36830354193444</v>
      </c>
      <c r="O334" s="5">
        <f t="shared" si="62"/>
        <v>0.12034765832584382</v>
      </c>
      <c r="P334">
        <f t="shared" si="70"/>
        <v>10000</v>
      </c>
      <c r="Q334">
        <f t="shared" si="63"/>
        <v>1203.4765832584383</v>
      </c>
    </row>
    <row r="335" spans="1:17" x14ac:dyDescent="0.15">
      <c r="A335" s="10">
        <v>45875.600694444962</v>
      </c>
      <c r="B335">
        <f>COUNT(A335:$A$1158)/(48*252)</f>
        <v>6.8121693121693125E-2</v>
      </c>
      <c r="C335">
        <v>2.1760000000000002</v>
      </c>
      <c r="D335">
        <v>5.2999999999999999E-2</v>
      </c>
      <c r="E335">
        <f t="shared" si="60"/>
        <v>-9.771413357508623E-3</v>
      </c>
      <c r="F335">
        <f t="shared" si="61"/>
        <v>0.49610183210569148</v>
      </c>
      <c r="G335">
        <f t="shared" si="64"/>
        <v>4.0000000000000036E-3</v>
      </c>
      <c r="H335">
        <f>IF(MOD(COUNTA($C$7:C335)-1,$J$2),H334,ROUND(F335*P335,-2))</f>
        <v>4800</v>
      </c>
      <c r="I335">
        <f t="shared" si="65"/>
        <v>0</v>
      </c>
      <c r="J335">
        <f t="shared" si="66"/>
        <v>0</v>
      </c>
      <c r="K335">
        <f t="shared" si="67"/>
        <v>-9465.2316964580659</v>
      </c>
      <c r="L335">
        <f t="shared" si="68"/>
        <v>979.56830354193517</v>
      </c>
      <c r="M335">
        <f t="shared" si="69"/>
        <v>19.200000000000728</v>
      </c>
      <c r="N335">
        <f t="shared" si="71"/>
        <v>979.56830354193517</v>
      </c>
      <c r="O335" s="5">
        <f t="shared" si="62"/>
        <v>0.11825803479682717</v>
      </c>
      <c r="P335">
        <f t="shared" si="70"/>
        <v>10000</v>
      </c>
      <c r="Q335">
        <f t="shared" si="63"/>
        <v>1182.5803479682718</v>
      </c>
    </row>
    <row r="336" spans="1:17" x14ac:dyDescent="0.15">
      <c r="A336" s="10">
        <v>45875.604166666977</v>
      </c>
      <c r="B336">
        <f>COUNT(A336:$A$1158)/(48*252)</f>
        <v>6.8039021164021163E-2</v>
      </c>
      <c r="C336">
        <v>2.1749999999999998</v>
      </c>
      <c r="D336">
        <v>5.2999999999999999E-2</v>
      </c>
      <c r="E336">
        <f t="shared" si="60"/>
        <v>-1.3576218888105228E-2</v>
      </c>
      <c r="F336">
        <f t="shared" si="61"/>
        <v>0.49458403865072464</v>
      </c>
      <c r="G336">
        <f t="shared" si="64"/>
        <v>-1.000000000000334E-3</v>
      </c>
      <c r="H336">
        <f>IF(MOD(COUNTA($C$7:C336)-1,$J$2),H335,ROUND(F336*P336,-2))</f>
        <v>4800</v>
      </c>
      <c r="I336">
        <f t="shared" si="65"/>
        <v>0</v>
      </c>
      <c r="J336">
        <f t="shared" si="66"/>
        <v>0</v>
      </c>
      <c r="K336">
        <f t="shared" si="67"/>
        <v>-9465.2316964580659</v>
      </c>
      <c r="L336">
        <f t="shared" si="68"/>
        <v>974.76830354193407</v>
      </c>
      <c r="M336">
        <f t="shared" si="69"/>
        <v>-4.8000000000010914</v>
      </c>
      <c r="N336">
        <f t="shared" si="71"/>
        <v>974.76830354193407</v>
      </c>
      <c r="O336" s="5">
        <f t="shared" si="62"/>
        <v>0.11870028878632577</v>
      </c>
      <c r="P336">
        <f t="shared" si="70"/>
        <v>10000</v>
      </c>
      <c r="Q336">
        <f t="shared" si="63"/>
        <v>1187.0028878632577</v>
      </c>
    </row>
    <row r="337" spans="1:17" x14ac:dyDescent="0.15">
      <c r="A337" s="10">
        <v>45875.607638888992</v>
      </c>
      <c r="B337">
        <f>COUNT(A337:$A$1158)/(48*252)</f>
        <v>6.7956349206349201E-2</v>
      </c>
      <c r="C337">
        <v>2.1760000000000002</v>
      </c>
      <c r="D337">
        <v>5.1999999999999998E-2</v>
      </c>
      <c r="E337">
        <f t="shared" si="60"/>
        <v>-9.9741846191770903E-3</v>
      </c>
      <c r="F337">
        <f t="shared" si="61"/>
        <v>0.49602094201866198</v>
      </c>
      <c r="G337">
        <f t="shared" si="64"/>
        <v>1.000000000000334E-3</v>
      </c>
      <c r="H337">
        <f>IF(MOD(COUNTA($C$7:C337)-1,$J$2),H336,ROUND(F337*P337,-2))</f>
        <v>5000</v>
      </c>
      <c r="I337">
        <f t="shared" si="65"/>
        <v>200</v>
      </c>
      <c r="J337">
        <f t="shared" si="66"/>
        <v>0</v>
      </c>
      <c r="K337">
        <f t="shared" si="67"/>
        <v>-9900.4512804580663</v>
      </c>
      <c r="L337">
        <f t="shared" si="68"/>
        <v>979.54871954193368</v>
      </c>
      <c r="M337">
        <f t="shared" si="69"/>
        <v>4.7804159999996045</v>
      </c>
      <c r="N337">
        <f t="shared" si="71"/>
        <v>979.54871954193368</v>
      </c>
      <c r="O337" s="5">
        <f t="shared" si="62"/>
        <v>0.11813314869159464</v>
      </c>
      <c r="P337">
        <f t="shared" si="70"/>
        <v>10000</v>
      </c>
      <c r="Q337">
        <f t="shared" si="63"/>
        <v>1181.3314869159465</v>
      </c>
    </row>
    <row r="338" spans="1:17" x14ac:dyDescent="0.15">
      <c r="A338" s="10">
        <v>45875.611111111008</v>
      </c>
      <c r="B338">
        <f>COUNT(A338:$A$1158)/(48*252)</f>
        <v>6.7873677248677253E-2</v>
      </c>
      <c r="C338">
        <v>2.1749999999999998</v>
      </c>
      <c r="D338">
        <v>5.1999999999999998E-2</v>
      </c>
      <c r="E338">
        <f t="shared" si="60"/>
        <v>-1.3783752367319329E-2</v>
      </c>
      <c r="F338">
        <f t="shared" si="61"/>
        <v>0.4945012525181598</v>
      </c>
      <c r="G338">
        <f t="shared" si="64"/>
        <v>-1.000000000000334E-3</v>
      </c>
      <c r="H338">
        <f>IF(MOD(COUNTA($C$7:C338)-1,$J$2),H337,ROUND(F338*P338,-2))</f>
        <v>5000</v>
      </c>
      <c r="I338">
        <f t="shared" si="65"/>
        <v>0</v>
      </c>
      <c r="J338">
        <f t="shared" si="66"/>
        <v>0</v>
      </c>
      <c r="K338">
        <f t="shared" si="67"/>
        <v>-9900.4512804580663</v>
      </c>
      <c r="L338">
        <f t="shared" si="68"/>
        <v>974.54871954193368</v>
      </c>
      <c r="M338">
        <f t="shared" si="69"/>
        <v>-5</v>
      </c>
      <c r="N338">
        <f t="shared" si="71"/>
        <v>974.54871954193368</v>
      </c>
      <c r="O338" s="5">
        <f t="shared" si="62"/>
        <v>0.11857540522286669</v>
      </c>
      <c r="P338">
        <f t="shared" si="70"/>
        <v>10000</v>
      </c>
      <c r="Q338">
        <f t="shared" si="63"/>
        <v>1185.754052228667</v>
      </c>
    </row>
    <row r="339" spans="1:17" x14ac:dyDescent="0.15">
      <c r="A339" s="10">
        <v>45875.614583333023</v>
      </c>
      <c r="B339">
        <f>COUNT(A339:$A$1158)/(48*252)</f>
        <v>6.7791005291005291E-2</v>
      </c>
      <c r="C339">
        <v>2.1760000000000002</v>
      </c>
      <c r="D339">
        <v>5.1999999999999998E-2</v>
      </c>
      <c r="E339">
        <f t="shared" si="60"/>
        <v>-1.0177464622867788E-2</v>
      </c>
      <c r="F339">
        <f t="shared" si="61"/>
        <v>0.49593984914703876</v>
      </c>
      <c r="G339">
        <f t="shared" si="64"/>
        <v>1.000000000000334E-3</v>
      </c>
      <c r="H339">
        <f>IF(MOD(COUNTA($C$7:C339)-1,$J$2),H338,ROUND(F339*P339,-2))</f>
        <v>5000</v>
      </c>
      <c r="I339">
        <f t="shared" si="65"/>
        <v>0</v>
      </c>
      <c r="J339">
        <f t="shared" si="66"/>
        <v>0</v>
      </c>
      <c r="K339">
        <f t="shared" si="67"/>
        <v>-9900.4512804580663</v>
      </c>
      <c r="L339">
        <f t="shared" si="68"/>
        <v>979.54871954193368</v>
      </c>
      <c r="M339">
        <f t="shared" si="69"/>
        <v>5</v>
      </c>
      <c r="N339">
        <f t="shared" si="71"/>
        <v>979.54871954193368</v>
      </c>
      <c r="O339" s="5">
        <f t="shared" si="62"/>
        <v>0.11800810374898907</v>
      </c>
      <c r="P339">
        <f t="shared" si="70"/>
        <v>10000</v>
      </c>
      <c r="Q339">
        <f t="shared" si="63"/>
        <v>1180.0810374898906</v>
      </c>
    </row>
    <row r="340" spans="1:17" x14ac:dyDescent="0.15">
      <c r="A340" s="10">
        <v>45875.618055555969</v>
      </c>
      <c r="B340">
        <f>COUNT(A340:$A$1158)/(48*252)</f>
        <v>6.7708333333333329E-2</v>
      </c>
      <c r="C340">
        <v>2.1760000000000002</v>
      </c>
      <c r="D340">
        <v>5.1999999999999998E-2</v>
      </c>
      <c r="E340">
        <f t="shared" si="60"/>
        <v>-1.0279296284422743E-2</v>
      </c>
      <c r="F340">
        <f t="shared" si="61"/>
        <v>0.4958992263168096</v>
      </c>
      <c r="G340">
        <f t="shared" si="64"/>
        <v>0</v>
      </c>
      <c r="H340">
        <f>IF(MOD(COUNTA($C$7:C340)-1,$J$2),H339,ROUND(F340*P340,-2))</f>
        <v>5000</v>
      </c>
      <c r="I340">
        <f t="shared" si="65"/>
        <v>0</v>
      </c>
      <c r="J340">
        <f t="shared" si="66"/>
        <v>0</v>
      </c>
      <c r="K340">
        <f t="shared" si="67"/>
        <v>-9900.4512804580663</v>
      </c>
      <c r="L340">
        <f t="shared" si="68"/>
        <v>979.54871954193368</v>
      </c>
      <c r="M340">
        <f t="shared" si="69"/>
        <v>0</v>
      </c>
      <c r="N340">
        <f t="shared" si="71"/>
        <v>979.54871954193368</v>
      </c>
      <c r="O340" s="5">
        <f t="shared" si="62"/>
        <v>0.11794552153405125</v>
      </c>
      <c r="P340">
        <f t="shared" si="70"/>
        <v>10000</v>
      </c>
      <c r="Q340">
        <f t="shared" si="63"/>
        <v>1179.4552153405125</v>
      </c>
    </row>
    <row r="341" spans="1:17" x14ac:dyDescent="0.15">
      <c r="A341" s="10">
        <v>45875.621527777985</v>
      </c>
      <c r="B341">
        <f>COUNT(A341:$A$1158)/(48*252)</f>
        <v>6.7625661375661381E-2</v>
      </c>
      <c r="C341">
        <v>2.1739999999999999</v>
      </c>
      <c r="D341">
        <v>0.05</v>
      </c>
      <c r="E341">
        <f t="shared" si="60"/>
        <v>-1.7812534107065042E-2</v>
      </c>
      <c r="F341">
        <f t="shared" si="61"/>
        <v>0.4928942027876882</v>
      </c>
      <c r="G341">
        <f t="shared" si="64"/>
        <v>-2.0000000000002238E-3</v>
      </c>
      <c r="H341">
        <f>IF(MOD(COUNTA($C$7:C341)-1,$J$2),H340,ROUND(F341*P341,-2))</f>
        <v>5000</v>
      </c>
      <c r="I341">
        <f t="shared" si="65"/>
        <v>0</v>
      </c>
      <c r="J341">
        <f t="shared" si="66"/>
        <v>0</v>
      </c>
      <c r="K341">
        <f t="shared" si="67"/>
        <v>-9900.4512804580663</v>
      </c>
      <c r="L341">
        <f t="shared" si="68"/>
        <v>969.54871954193368</v>
      </c>
      <c r="M341">
        <f t="shared" si="69"/>
        <v>-10</v>
      </c>
      <c r="N341">
        <f t="shared" si="71"/>
        <v>969.54871954193368</v>
      </c>
      <c r="O341" s="5">
        <f t="shared" si="62"/>
        <v>0.1188941462360833</v>
      </c>
      <c r="P341">
        <f t="shared" si="70"/>
        <v>10000</v>
      </c>
      <c r="Q341">
        <f t="shared" si="63"/>
        <v>1188.9414623608329</v>
      </c>
    </row>
    <row r="342" spans="1:17" x14ac:dyDescent="0.15">
      <c r="A342" s="10">
        <v>45875.625</v>
      </c>
      <c r="B342">
        <f>COUNT(A342:$A$1158)/(48*252)</f>
        <v>6.7542989417989419E-2</v>
      </c>
      <c r="C342">
        <v>2.1739999999999999</v>
      </c>
      <c r="D342">
        <v>5.0999999999999997E-2</v>
      </c>
      <c r="E342">
        <f t="shared" si="60"/>
        <v>-1.7919169132352121E-2</v>
      </c>
      <c r="F342">
        <f t="shared" si="61"/>
        <v>0.49285166835634531</v>
      </c>
      <c r="G342">
        <f t="shared" si="64"/>
        <v>0</v>
      </c>
      <c r="H342">
        <f>IF(MOD(COUNTA($C$7:C342)-1,$J$2),H341,ROUND(F342*P342,-2))</f>
        <v>5000</v>
      </c>
      <c r="I342">
        <f t="shared" si="65"/>
        <v>0</v>
      </c>
      <c r="J342">
        <f t="shared" si="66"/>
        <v>0</v>
      </c>
      <c r="K342">
        <f t="shared" si="67"/>
        <v>-9900.4512804580663</v>
      </c>
      <c r="L342">
        <f t="shared" si="68"/>
        <v>969.54871954193368</v>
      </c>
      <c r="M342">
        <f t="shared" si="69"/>
        <v>0</v>
      </c>
      <c r="N342">
        <f t="shared" si="71"/>
        <v>969.54871954193368</v>
      </c>
      <c r="O342" s="5">
        <f t="shared" si="62"/>
        <v>0.11883156735785949</v>
      </c>
      <c r="P342">
        <f t="shared" si="70"/>
        <v>10000</v>
      </c>
      <c r="Q342">
        <f t="shared" si="63"/>
        <v>1188.3156735785949</v>
      </c>
    </row>
    <row r="343" spans="1:17" x14ac:dyDescent="0.15">
      <c r="A343" s="10">
        <v>45876.399305555969</v>
      </c>
      <c r="B343">
        <f>COUNT(A343:$A$1158)/(48*252)</f>
        <v>6.7460317460317457E-2</v>
      </c>
      <c r="C343">
        <v>2.1259999999999999</v>
      </c>
      <c r="D343">
        <v>4.2000000000000003E-2</v>
      </c>
      <c r="E343">
        <f t="shared" si="60"/>
        <v>-0.19867892070506279</v>
      </c>
      <c r="F343">
        <f t="shared" si="61"/>
        <v>0.42125695706980593</v>
      </c>
      <c r="G343">
        <f>C343-C342</f>
        <v>-4.8000000000000043E-2</v>
      </c>
      <c r="H343">
        <f>IF(MOD(COUNTA($C$7:C343)-1,$J$2),H342,ROUND(F343*P343,-2))</f>
        <v>4200</v>
      </c>
      <c r="I343">
        <f t="shared" si="65"/>
        <v>-800</v>
      </c>
      <c r="J343">
        <f t="shared" si="66"/>
        <v>0</v>
      </c>
      <c r="K343">
        <f t="shared" si="67"/>
        <v>-8199.7278164580675</v>
      </c>
      <c r="L343">
        <f t="shared" si="68"/>
        <v>729.47218354193137</v>
      </c>
      <c r="M343">
        <f t="shared" si="69"/>
        <v>-240.07653600000231</v>
      </c>
      <c r="N343">
        <f t="shared" si="71"/>
        <v>729.47218354193137</v>
      </c>
      <c r="O343" s="5">
        <f t="shared" si="62"/>
        <v>0.14483056635212277</v>
      </c>
      <c r="P343">
        <f t="shared" si="70"/>
        <v>10000</v>
      </c>
      <c r="Q343">
        <f t="shared" si="63"/>
        <v>1448.3056635212276</v>
      </c>
    </row>
    <row r="344" spans="1:17" x14ac:dyDescent="0.15">
      <c r="A344" s="10">
        <v>45876.402777777985</v>
      </c>
      <c r="B344">
        <f>COUNT(A344:$A$1158)/(48*252)</f>
        <v>6.7377645502645508E-2</v>
      </c>
      <c r="C344">
        <v>2.1259999999999999</v>
      </c>
      <c r="D344">
        <v>4.2999999999999997E-2</v>
      </c>
      <c r="E344">
        <f t="shared" si="60"/>
        <v>-0.19889662681942258</v>
      </c>
      <c r="F344">
        <f t="shared" si="61"/>
        <v>0.42117180410463462</v>
      </c>
      <c r="G344">
        <f t="shared" si="64"/>
        <v>0</v>
      </c>
      <c r="H344">
        <f>IF(MOD(COUNTA($C$7:C344)-1,$J$2),H343,ROUND(F344*P344,-2))</f>
        <v>4200</v>
      </c>
      <c r="I344">
        <f t="shared" si="65"/>
        <v>0</v>
      </c>
      <c r="J344">
        <f t="shared" si="66"/>
        <v>0</v>
      </c>
      <c r="K344">
        <f t="shared" si="67"/>
        <v>-8199.7278164580675</v>
      </c>
      <c r="L344">
        <f t="shared" si="68"/>
        <v>729.47218354193137</v>
      </c>
      <c r="M344">
        <f t="shared" si="69"/>
        <v>0</v>
      </c>
      <c r="N344">
        <f t="shared" si="71"/>
        <v>729.47218354193137</v>
      </c>
      <c r="O344" s="5">
        <f t="shared" si="62"/>
        <v>0.14477098594067028</v>
      </c>
      <c r="P344">
        <f t="shared" si="70"/>
        <v>10000</v>
      </c>
      <c r="Q344">
        <f t="shared" si="63"/>
        <v>1447.7098594067029</v>
      </c>
    </row>
    <row r="345" spans="1:17" x14ac:dyDescent="0.15">
      <c r="A345" s="10">
        <v>45876.40625</v>
      </c>
      <c r="B345">
        <f>COUNT(A345:$A$1158)/(48*252)</f>
        <v>6.7294973544973546E-2</v>
      </c>
      <c r="C345">
        <v>2.1259999999999999</v>
      </c>
      <c r="D345">
        <v>4.1000000000000002E-2</v>
      </c>
      <c r="E345">
        <f t="shared" si="60"/>
        <v>-0.19911467512834566</v>
      </c>
      <c r="F345">
        <f t="shared" si="61"/>
        <v>0.42108652099026139</v>
      </c>
      <c r="G345">
        <f t="shared" si="64"/>
        <v>0</v>
      </c>
      <c r="H345">
        <f>IF(MOD(COUNTA($C$7:C345)-1,$J$2),H344,ROUND(F345*P345,-2))</f>
        <v>4200</v>
      </c>
      <c r="I345">
        <f t="shared" si="65"/>
        <v>0</v>
      </c>
      <c r="J345">
        <f t="shared" si="66"/>
        <v>0</v>
      </c>
      <c r="K345">
        <f t="shared" si="67"/>
        <v>-8199.7278164580675</v>
      </c>
      <c r="L345">
        <f t="shared" si="68"/>
        <v>729.47218354193137</v>
      </c>
      <c r="M345">
        <f t="shared" si="69"/>
        <v>0</v>
      </c>
      <c r="N345">
        <f t="shared" si="71"/>
        <v>729.47218354193137</v>
      </c>
      <c r="O345" s="5">
        <f t="shared" si="62"/>
        <v>0.14471136990521205</v>
      </c>
      <c r="P345">
        <f t="shared" si="70"/>
        <v>10000</v>
      </c>
      <c r="Q345">
        <f t="shared" si="63"/>
        <v>1447.1136990521204</v>
      </c>
    </row>
    <row r="346" spans="1:17" x14ac:dyDescent="0.15">
      <c r="A346" s="10">
        <v>45876.409722222015</v>
      </c>
      <c r="B346">
        <f>COUNT(A346:$A$1158)/(48*252)</f>
        <v>6.7212301587301584E-2</v>
      </c>
      <c r="C346">
        <v>2.1259999999999999</v>
      </c>
      <c r="D346">
        <v>3.6999999999999998E-2</v>
      </c>
      <c r="E346">
        <f t="shared" si="60"/>
        <v>-0.19933306664757894</v>
      </c>
      <c r="F346">
        <f t="shared" si="61"/>
        <v>0.42100110735075014</v>
      </c>
      <c r="G346">
        <f t="shared" si="64"/>
        <v>0</v>
      </c>
      <c r="H346">
        <f>IF(MOD(COUNTA($C$7:C346)-1,$J$2),H345,ROUND(F346*P346,-2))</f>
        <v>4200</v>
      </c>
      <c r="I346">
        <f t="shared" si="65"/>
        <v>0</v>
      </c>
      <c r="J346">
        <f t="shared" si="66"/>
        <v>0</v>
      </c>
      <c r="K346">
        <f t="shared" si="67"/>
        <v>-8199.7278164580675</v>
      </c>
      <c r="L346">
        <f t="shared" si="68"/>
        <v>729.47218354193137</v>
      </c>
      <c r="M346">
        <f t="shared" si="69"/>
        <v>0</v>
      </c>
      <c r="N346">
        <f t="shared" si="71"/>
        <v>729.47218354193137</v>
      </c>
      <c r="O346" s="5">
        <f t="shared" si="62"/>
        <v>0.14465171818562794</v>
      </c>
      <c r="P346">
        <f t="shared" si="70"/>
        <v>10000</v>
      </c>
      <c r="Q346">
        <f t="shared" si="63"/>
        <v>1446.5171818562794</v>
      </c>
    </row>
    <row r="347" spans="1:17" x14ac:dyDescent="0.15">
      <c r="A347" s="10">
        <v>45876.413194444962</v>
      </c>
      <c r="B347">
        <f>COUNT(A347:$A$1158)/(48*252)</f>
        <v>6.7129629629629636E-2</v>
      </c>
      <c r="C347">
        <v>2.1259999999999999</v>
      </c>
      <c r="D347">
        <v>3.7999999999999999E-2</v>
      </c>
      <c r="E347">
        <f t="shared" si="60"/>
        <v>-0.19955180239717951</v>
      </c>
      <c r="F347">
        <f t="shared" si="61"/>
        <v>0.42091556280861198</v>
      </c>
      <c r="G347">
        <f t="shared" si="64"/>
        <v>0</v>
      </c>
      <c r="H347">
        <f>IF(MOD(COUNTA($C$7:C347)-1,$J$2),H346,ROUND(F347*P347,-2))</f>
        <v>4200</v>
      </c>
      <c r="I347">
        <f t="shared" si="65"/>
        <v>0</v>
      </c>
      <c r="J347">
        <f t="shared" si="66"/>
        <v>0</v>
      </c>
      <c r="K347">
        <f t="shared" si="67"/>
        <v>-8199.7278164580675</v>
      </c>
      <c r="L347">
        <f t="shared" si="68"/>
        <v>729.47218354193137</v>
      </c>
      <c r="M347">
        <f t="shared" si="69"/>
        <v>0</v>
      </c>
      <c r="N347">
        <f t="shared" si="71"/>
        <v>729.47218354193137</v>
      </c>
      <c r="O347" s="5">
        <f t="shared" si="62"/>
        <v>0.1445920307216273</v>
      </c>
      <c r="P347">
        <f t="shared" si="70"/>
        <v>10000</v>
      </c>
      <c r="Q347">
        <f t="shared" si="63"/>
        <v>1445.9203072162729</v>
      </c>
    </row>
    <row r="348" spans="1:17" x14ac:dyDescent="0.15">
      <c r="A348" s="10">
        <v>45876.416666666977</v>
      </c>
      <c r="B348">
        <f>COUNT(A348:$A$1158)/(48*252)</f>
        <v>6.7046957671957674E-2</v>
      </c>
      <c r="C348">
        <v>2.1259999999999999</v>
      </c>
      <c r="D348">
        <v>3.9E-2</v>
      </c>
      <c r="E348">
        <f t="shared" si="60"/>
        <v>-0.1997708834015382</v>
      </c>
      <c r="F348">
        <f t="shared" si="61"/>
        <v>0.42082988698479717</v>
      </c>
      <c r="G348">
        <f t="shared" si="64"/>
        <v>0</v>
      </c>
      <c r="H348">
        <f>IF(MOD(COUNTA($C$7:C348)-1,$J$2),H347,ROUND(F348*P348,-2))</f>
        <v>4200</v>
      </c>
      <c r="I348">
        <f t="shared" si="65"/>
        <v>0</v>
      </c>
      <c r="J348">
        <f t="shared" si="66"/>
        <v>0</v>
      </c>
      <c r="K348">
        <f t="shared" si="67"/>
        <v>-8199.7278164580675</v>
      </c>
      <c r="L348">
        <f t="shared" si="68"/>
        <v>729.47218354193137</v>
      </c>
      <c r="M348">
        <f t="shared" si="69"/>
        <v>0</v>
      </c>
      <c r="N348">
        <f t="shared" si="71"/>
        <v>729.47218354193137</v>
      </c>
      <c r="O348" s="5">
        <f t="shared" si="62"/>
        <v>0.14453230745275181</v>
      </c>
      <c r="P348">
        <f t="shared" si="70"/>
        <v>10000</v>
      </c>
      <c r="Q348">
        <f t="shared" si="63"/>
        <v>1445.323074527518</v>
      </c>
    </row>
    <row r="349" spans="1:17" x14ac:dyDescent="0.15">
      <c r="A349" s="10">
        <v>45876.420138888992</v>
      </c>
      <c r="B349">
        <f>COUNT(A349:$A$1158)/(48*252)</f>
        <v>6.6964285714285712E-2</v>
      </c>
      <c r="C349">
        <v>2.1259999999999999</v>
      </c>
      <c r="D349">
        <v>3.9E-2</v>
      </c>
      <c r="E349">
        <f t="shared" si="60"/>
        <v>-0.19999031068940332</v>
      </c>
      <c r="F349">
        <f t="shared" si="61"/>
        <v>0.42074407949868664</v>
      </c>
      <c r="G349">
        <f t="shared" si="64"/>
        <v>0</v>
      </c>
      <c r="H349">
        <f>IF(MOD(COUNTA($C$7:C349)-1,$J$2),H348,ROUND(F349*P349,-2))</f>
        <v>4200</v>
      </c>
      <c r="I349">
        <f t="shared" si="65"/>
        <v>0</v>
      </c>
      <c r="J349">
        <f t="shared" si="66"/>
        <v>0</v>
      </c>
      <c r="K349">
        <f t="shared" si="67"/>
        <v>-8199.7278164580675</v>
      </c>
      <c r="L349">
        <f t="shared" si="68"/>
        <v>729.47218354193137</v>
      </c>
      <c r="M349">
        <f t="shared" si="69"/>
        <v>0</v>
      </c>
      <c r="N349">
        <f t="shared" si="71"/>
        <v>729.47218354193137</v>
      </c>
      <c r="O349" s="5">
        <f t="shared" si="62"/>
        <v>0.14447254831837264</v>
      </c>
      <c r="P349">
        <f t="shared" si="70"/>
        <v>10000</v>
      </c>
      <c r="Q349">
        <f t="shared" si="63"/>
        <v>1444.7254831837265</v>
      </c>
    </row>
    <row r="350" spans="1:17" x14ac:dyDescent="0.15">
      <c r="A350" s="10">
        <v>45876.423611111008</v>
      </c>
      <c r="B350">
        <f>COUNT(A350:$A$1158)/(48*252)</f>
        <v>6.688161375661375E-2</v>
      </c>
      <c r="C350">
        <v>2.1259999999999999</v>
      </c>
      <c r="D350">
        <v>3.9E-2</v>
      </c>
      <c r="E350">
        <f t="shared" si="60"/>
        <v>-0.20021008529390497</v>
      </c>
      <c r="F350">
        <f t="shared" si="61"/>
        <v>0.42065813996808327</v>
      </c>
      <c r="G350">
        <f t="shared" si="64"/>
        <v>0</v>
      </c>
      <c r="H350">
        <f>IF(MOD(COUNTA($C$7:C350)-1,$J$2),H349,ROUND(F350*P350,-2))</f>
        <v>4200</v>
      </c>
      <c r="I350">
        <f t="shared" si="65"/>
        <v>0</v>
      </c>
      <c r="J350">
        <f t="shared" si="66"/>
        <v>0</v>
      </c>
      <c r="K350">
        <f t="shared" si="67"/>
        <v>-8199.7278164580675</v>
      </c>
      <c r="L350">
        <f t="shared" si="68"/>
        <v>729.47218354193137</v>
      </c>
      <c r="M350">
        <f t="shared" si="69"/>
        <v>0</v>
      </c>
      <c r="N350">
        <f t="shared" si="71"/>
        <v>729.47218354193137</v>
      </c>
      <c r="O350" s="5">
        <f t="shared" si="62"/>
        <v>0.14441275325768888</v>
      </c>
      <c r="P350">
        <f t="shared" si="70"/>
        <v>10000</v>
      </c>
      <c r="Q350">
        <f t="shared" si="63"/>
        <v>1444.1275325768888</v>
      </c>
    </row>
    <row r="351" spans="1:17" x14ac:dyDescent="0.15">
      <c r="A351" s="10">
        <v>45876.427083333023</v>
      </c>
      <c r="B351">
        <f>COUNT(A351:$A$1158)/(48*252)</f>
        <v>6.6798941798941802E-2</v>
      </c>
      <c r="C351">
        <v>2.1259999999999999</v>
      </c>
      <c r="D351">
        <v>3.7999999999999999E-2</v>
      </c>
      <c r="E351">
        <f t="shared" si="60"/>
        <v>-0.2004302082525789</v>
      </c>
      <c r="F351">
        <f t="shared" si="61"/>
        <v>0.42057206800920399</v>
      </c>
      <c r="G351">
        <f t="shared" si="64"/>
        <v>0</v>
      </c>
      <c r="H351">
        <f>IF(MOD(COUNTA($C$7:C351)-1,$J$2),H350,ROUND(F351*P351,-2))</f>
        <v>4200</v>
      </c>
      <c r="I351">
        <f t="shared" si="65"/>
        <v>0</v>
      </c>
      <c r="J351">
        <f t="shared" si="66"/>
        <v>0</v>
      </c>
      <c r="K351">
        <f t="shared" si="67"/>
        <v>-8199.7278164580675</v>
      </c>
      <c r="L351">
        <f t="shared" si="68"/>
        <v>729.47218354193137</v>
      </c>
      <c r="M351">
        <f t="shared" si="69"/>
        <v>0</v>
      </c>
      <c r="N351">
        <f t="shared" si="71"/>
        <v>729.47218354193137</v>
      </c>
      <c r="O351" s="5">
        <f t="shared" si="62"/>
        <v>0.14435292220972951</v>
      </c>
      <c r="P351">
        <f t="shared" si="70"/>
        <v>10000</v>
      </c>
      <c r="Q351">
        <f t="shared" si="63"/>
        <v>1443.5292220972951</v>
      </c>
    </row>
    <row r="352" spans="1:17" x14ac:dyDescent="0.15">
      <c r="A352" s="10">
        <v>45876.430555555969</v>
      </c>
      <c r="B352">
        <f>COUNT(A352:$A$1158)/(48*252)</f>
        <v>6.671626984126984E-2</v>
      </c>
      <c r="C352">
        <v>2.1259999999999999</v>
      </c>
      <c r="D352">
        <v>3.9E-2</v>
      </c>
      <c r="E352">
        <f t="shared" si="60"/>
        <v>-0.20065068060739116</v>
      </c>
      <c r="F352">
        <f t="shared" si="61"/>
        <v>0.42048586323667086</v>
      </c>
      <c r="G352">
        <f t="shared" si="64"/>
        <v>0</v>
      </c>
      <c r="H352">
        <f>IF(MOD(COUNTA($C$7:C352)-1,$J$2),H351,ROUND(F352*P352,-2))</f>
        <v>4200</v>
      </c>
      <c r="I352">
        <f t="shared" si="65"/>
        <v>0</v>
      </c>
      <c r="J352">
        <f t="shared" si="66"/>
        <v>0</v>
      </c>
      <c r="K352">
        <f t="shared" si="67"/>
        <v>-8199.7278164580675</v>
      </c>
      <c r="L352">
        <f t="shared" si="68"/>
        <v>729.47218354193137</v>
      </c>
      <c r="M352">
        <f t="shared" si="69"/>
        <v>0</v>
      </c>
      <c r="N352">
        <f t="shared" si="71"/>
        <v>729.47218354193137</v>
      </c>
      <c r="O352" s="5">
        <f t="shared" si="62"/>
        <v>0.14429305511335166</v>
      </c>
      <c r="P352">
        <f t="shared" si="70"/>
        <v>10000</v>
      </c>
      <c r="Q352">
        <f t="shared" si="63"/>
        <v>1442.9305511335167</v>
      </c>
    </row>
    <row r="353" spans="1:17" x14ac:dyDescent="0.15">
      <c r="A353" s="10">
        <v>45876.434027777985</v>
      </c>
      <c r="B353">
        <f>COUNT(A353:$A$1158)/(48*252)</f>
        <v>6.6633597883597878E-2</v>
      </c>
      <c r="C353">
        <v>2.1259999999999999</v>
      </c>
      <c r="D353">
        <v>3.9E-2</v>
      </c>
      <c r="E353">
        <f t="shared" si="60"/>
        <v>-0.2008715034047624</v>
      </c>
      <c r="F353">
        <f t="shared" si="61"/>
        <v>0.42039952526350244</v>
      </c>
      <c r="G353">
        <f t="shared" si="64"/>
        <v>0</v>
      </c>
      <c r="H353">
        <f>IF(MOD(COUNTA($C$7:C353)-1,$J$2),H352,ROUND(F353*P353,-2))</f>
        <v>4200</v>
      </c>
      <c r="I353">
        <f t="shared" si="65"/>
        <v>0</v>
      </c>
      <c r="J353">
        <f t="shared" si="66"/>
        <v>0</v>
      </c>
      <c r="K353">
        <f t="shared" si="67"/>
        <v>-8199.7278164580675</v>
      </c>
      <c r="L353">
        <f t="shared" si="68"/>
        <v>729.47218354193137</v>
      </c>
      <c r="M353">
        <f t="shared" si="69"/>
        <v>0</v>
      </c>
      <c r="N353">
        <f t="shared" si="71"/>
        <v>729.47218354193137</v>
      </c>
      <c r="O353" s="5">
        <f t="shared" si="62"/>
        <v>0.14423315190723818</v>
      </c>
      <c r="P353">
        <f t="shared" si="70"/>
        <v>10000</v>
      </c>
      <c r="Q353">
        <f t="shared" si="63"/>
        <v>1442.3315190723818</v>
      </c>
    </row>
    <row r="354" spans="1:17" x14ac:dyDescent="0.15">
      <c r="A354" s="10">
        <v>45876.4375</v>
      </c>
      <c r="B354">
        <f>COUNT(A354:$A$1158)/(48*252)</f>
        <v>6.655092592592593E-2</v>
      </c>
      <c r="C354">
        <v>2.1259999999999999</v>
      </c>
      <c r="D354">
        <v>3.9E-2</v>
      </c>
      <c r="E354">
        <f t="shared" si="60"/>
        <v>-0.20109267769559275</v>
      </c>
      <c r="F354">
        <f t="shared" si="61"/>
        <v>0.42031305370110539</v>
      </c>
      <c r="G354">
        <f t="shared" si="64"/>
        <v>0</v>
      </c>
      <c r="H354">
        <f>IF(MOD(COUNTA($C$7:C354)-1,$J$2),H353,ROUND(F354*P354,-2))</f>
        <v>4200</v>
      </c>
      <c r="I354">
        <f t="shared" si="65"/>
        <v>0</v>
      </c>
      <c r="J354">
        <f t="shared" si="66"/>
        <v>0</v>
      </c>
      <c r="K354">
        <f t="shared" si="67"/>
        <v>-8199.7278164580675</v>
      </c>
      <c r="L354">
        <f t="shared" si="68"/>
        <v>729.47218354193137</v>
      </c>
      <c r="M354">
        <f t="shared" si="69"/>
        <v>0</v>
      </c>
      <c r="N354">
        <f t="shared" si="71"/>
        <v>729.47218354193137</v>
      </c>
      <c r="O354" s="5">
        <f t="shared" si="62"/>
        <v>0.14417321252990001</v>
      </c>
      <c r="P354">
        <f t="shared" si="70"/>
        <v>10000</v>
      </c>
      <c r="Q354">
        <f t="shared" si="63"/>
        <v>1441.732125299</v>
      </c>
    </row>
    <row r="355" spans="1:17" x14ac:dyDescent="0.15">
      <c r="A355" s="10">
        <v>45876.440972222015</v>
      </c>
      <c r="B355">
        <f>COUNT(A355:$A$1158)/(48*252)</f>
        <v>6.6468253968253968E-2</v>
      </c>
      <c r="C355">
        <v>2.1259999999999999</v>
      </c>
      <c r="D355">
        <v>3.9E-2</v>
      </c>
      <c r="E355">
        <f t="shared" si="60"/>
        <v>-0.20131420453528634</v>
      </c>
      <c r="F355">
        <f t="shared" si="61"/>
        <v>0.42022644815926569</v>
      </c>
      <c r="G355">
        <f t="shared" si="64"/>
        <v>0</v>
      </c>
      <c r="H355">
        <f>IF(MOD(COUNTA($C$7:C355)-1,$J$2),H354,ROUND(F355*P355,-2))</f>
        <v>4200</v>
      </c>
      <c r="I355">
        <f t="shared" si="65"/>
        <v>0</v>
      </c>
      <c r="J355">
        <f t="shared" si="66"/>
        <v>0</v>
      </c>
      <c r="K355">
        <f t="shared" si="67"/>
        <v>-8199.7278164580675</v>
      </c>
      <c r="L355">
        <f t="shared" si="68"/>
        <v>729.47218354193137</v>
      </c>
      <c r="M355">
        <f t="shared" si="69"/>
        <v>0</v>
      </c>
      <c r="N355">
        <f t="shared" si="71"/>
        <v>729.47218354193137</v>
      </c>
      <c r="O355" s="5">
        <f t="shared" si="62"/>
        <v>0.14411323691967248</v>
      </c>
      <c r="P355">
        <f t="shared" si="70"/>
        <v>10000</v>
      </c>
      <c r="Q355">
        <f t="shared" si="63"/>
        <v>1441.1323691967248</v>
      </c>
    </row>
    <row r="356" spans="1:17" x14ac:dyDescent="0.15">
      <c r="A356" s="10">
        <v>45876.444444444962</v>
      </c>
      <c r="B356">
        <f>COUNT(A356:$A$1158)/(48*252)</f>
        <v>6.6385582010582006E-2</v>
      </c>
      <c r="C356">
        <v>2.1259999999999999</v>
      </c>
      <c r="D356">
        <v>3.7999999999999999E-2</v>
      </c>
      <c r="E356">
        <f t="shared" si="60"/>
        <v>-0.20153608498377679</v>
      </c>
      <c r="F356">
        <f t="shared" si="61"/>
        <v>0.42013970824613972</v>
      </c>
      <c r="G356">
        <f t="shared" si="64"/>
        <v>0</v>
      </c>
      <c r="H356">
        <f>IF(MOD(COUNTA($C$7:C356)-1,$J$2),H355,ROUND(F356*P356,-2))</f>
        <v>4200</v>
      </c>
      <c r="I356">
        <f t="shared" si="65"/>
        <v>0</v>
      </c>
      <c r="J356">
        <f t="shared" si="66"/>
        <v>0</v>
      </c>
      <c r="K356">
        <f t="shared" si="67"/>
        <v>-8199.7278164580675</v>
      </c>
      <c r="L356">
        <f t="shared" si="68"/>
        <v>729.47218354193137</v>
      </c>
      <c r="M356">
        <f t="shared" si="69"/>
        <v>0</v>
      </c>
      <c r="N356">
        <f t="shared" si="71"/>
        <v>729.47218354193137</v>
      </c>
      <c r="O356" s="5">
        <f t="shared" si="62"/>
        <v>0.14405322501471751</v>
      </c>
      <c r="P356">
        <f t="shared" si="70"/>
        <v>10000</v>
      </c>
      <c r="Q356">
        <f t="shared" si="63"/>
        <v>1440.5322501471751</v>
      </c>
    </row>
    <row r="357" spans="1:17" x14ac:dyDescent="0.15">
      <c r="A357" s="10">
        <v>45876.447916666977</v>
      </c>
      <c r="B357">
        <f>COUNT(A357:$A$1158)/(48*252)</f>
        <v>6.6302910052910058E-2</v>
      </c>
      <c r="C357">
        <v>2.1259999999999999</v>
      </c>
      <c r="D357">
        <v>3.7999999999999999E-2</v>
      </c>
      <c r="E357">
        <f t="shared" si="60"/>
        <v>-0.20175832010555184</v>
      </c>
      <c r="F357">
        <f t="shared" si="61"/>
        <v>0.42005283356824574</v>
      </c>
      <c r="G357">
        <f t="shared" si="64"/>
        <v>0</v>
      </c>
      <c r="H357">
        <f>IF(MOD(COUNTA($C$7:C357)-1,$J$2),H356,ROUND(F357*P357,-2))</f>
        <v>4200</v>
      </c>
      <c r="I357">
        <f t="shared" si="65"/>
        <v>0</v>
      </c>
      <c r="J357">
        <f t="shared" si="66"/>
        <v>0</v>
      </c>
      <c r="K357">
        <f t="shared" si="67"/>
        <v>-8199.7278164580675</v>
      </c>
      <c r="L357">
        <f t="shared" si="68"/>
        <v>729.47218354193137</v>
      </c>
      <c r="M357">
        <f t="shared" si="69"/>
        <v>0</v>
      </c>
      <c r="N357">
        <f t="shared" si="71"/>
        <v>729.47218354193137</v>
      </c>
      <c r="O357" s="5">
        <f t="shared" si="62"/>
        <v>0.14399317675302048</v>
      </c>
      <c r="P357">
        <f t="shared" si="70"/>
        <v>10000</v>
      </c>
      <c r="Q357">
        <f t="shared" si="63"/>
        <v>1439.9317675302048</v>
      </c>
    </row>
    <row r="358" spans="1:17" x14ac:dyDescent="0.15">
      <c r="A358" s="10">
        <v>45876.451388888992</v>
      </c>
      <c r="B358">
        <f>COUNT(A358:$A$1158)/(48*252)</f>
        <v>6.6220238095238096E-2</v>
      </c>
      <c r="C358">
        <v>2.1259999999999999</v>
      </c>
      <c r="D358">
        <v>3.6999999999999998E-2</v>
      </c>
      <c r="E358">
        <f t="shared" si="60"/>
        <v>-0.20198091096967932</v>
      </c>
      <c r="F358">
        <f t="shared" si="61"/>
        <v>0.41996582373045466</v>
      </c>
      <c r="G358">
        <f t="shared" si="64"/>
        <v>0</v>
      </c>
      <c r="H358">
        <f>IF(MOD(COUNTA($C$7:C358)-1,$J$2),H357,ROUND(F358*P358,-2))</f>
        <v>4200</v>
      </c>
      <c r="I358">
        <f t="shared" si="65"/>
        <v>0</v>
      </c>
      <c r="J358">
        <f t="shared" si="66"/>
        <v>0</v>
      </c>
      <c r="K358">
        <f t="shared" si="67"/>
        <v>-8199.7278164580675</v>
      </c>
      <c r="L358">
        <f t="shared" si="68"/>
        <v>729.47218354193137</v>
      </c>
      <c r="M358">
        <f t="shared" si="69"/>
        <v>0</v>
      </c>
      <c r="N358">
        <f t="shared" si="71"/>
        <v>729.47218354193137</v>
      </c>
      <c r="O358" s="5">
        <f t="shared" si="62"/>
        <v>0.14393309207239069</v>
      </c>
      <c r="P358">
        <f t="shared" si="70"/>
        <v>10000</v>
      </c>
      <c r="Q358">
        <f t="shared" si="63"/>
        <v>1439.330920723907</v>
      </c>
    </row>
    <row r="359" spans="1:17" x14ac:dyDescent="0.15">
      <c r="A359" s="10">
        <v>45876.454861111008</v>
      </c>
      <c r="B359">
        <f>COUNT(A359:$A$1158)/(48*252)</f>
        <v>6.6137566137566134E-2</v>
      </c>
      <c r="C359">
        <v>2.1259999999999999</v>
      </c>
      <c r="D359">
        <v>3.6999999999999998E-2</v>
      </c>
      <c r="E359">
        <f t="shared" si="60"/>
        <v>-0.20220385864983215</v>
      </c>
      <c r="F359">
        <f t="shared" si="61"/>
        <v>0.41987867833598141</v>
      </c>
      <c r="G359">
        <f t="shared" si="64"/>
        <v>0</v>
      </c>
      <c r="H359">
        <f>IF(MOD(COUNTA($C$7:C359)-1,$J$2),H358,ROUND(F359*P359,-2))</f>
        <v>4200</v>
      </c>
      <c r="I359">
        <f t="shared" si="65"/>
        <v>0</v>
      </c>
      <c r="J359">
        <f t="shared" si="66"/>
        <v>0</v>
      </c>
      <c r="K359">
        <f t="shared" si="67"/>
        <v>-8199.7278164580675</v>
      </c>
      <c r="L359">
        <f t="shared" si="68"/>
        <v>729.47218354193137</v>
      </c>
      <c r="M359">
        <f t="shared" si="69"/>
        <v>0</v>
      </c>
      <c r="N359">
        <f t="shared" si="71"/>
        <v>729.47218354193137</v>
      </c>
      <c r="O359" s="5">
        <f t="shared" si="62"/>
        <v>0.14387297091046092</v>
      </c>
      <c r="P359">
        <f t="shared" si="70"/>
        <v>10000</v>
      </c>
      <c r="Q359">
        <f t="shared" si="63"/>
        <v>1438.7297091046091</v>
      </c>
    </row>
    <row r="360" spans="1:17" x14ac:dyDescent="0.15">
      <c r="A360" s="10">
        <v>45876.458333333023</v>
      </c>
      <c r="B360">
        <f>COUNT(A360:$A$1158)/(48*252)</f>
        <v>6.6054894179894186E-2</v>
      </c>
      <c r="C360">
        <v>2.1259999999999999</v>
      </c>
      <c r="D360">
        <v>3.3000000000000002E-2</v>
      </c>
      <c r="E360">
        <f t="shared" si="60"/>
        <v>-0.20242716422431434</v>
      </c>
      <c r="F360">
        <f t="shared" si="61"/>
        <v>0.41979139698637585</v>
      </c>
      <c r="G360">
        <f t="shared" si="64"/>
        <v>0</v>
      </c>
      <c r="H360">
        <f>IF(MOD(COUNTA($C$7:C360)-1,$J$2),H359,ROUND(F360*P360,-2))</f>
        <v>4200</v>
      </c>
      <c r="I360">
        <f t="shared" si="65"/>
        <v>0</v>
      </c>
      <c r="J360">
        <f t="shared" si="66"/>
        <v>0</v>
      </c>
      <c r="K360">
        <f t="shared" si="67"/>
        <v>-8199.7278164580675</v>
      </c>
      <c r="L360">
        <f t="shared" si="68"/>
        <v>729.47218354193137</v>
      </c>
      <c r="M360">
        <f t="shared" si="69"/>
        <v>0</v>
      </c>
      <c r="N360">
        <f t="shared" si="71"/>
        <v>729.47218354193137</v>
      </c>
      <c r="O360" s="5">
        <f t="shared" si="62"/>
        <v>0.14381281320468631</v>
      </c>
      <c r="P360">
        <f t="shared" si="70"/>
        <v>10000</v>
      </c>
      <c r="Q360">
        <f t="shared" si="63"/>
        <v>1438.1281320468631</v>
      </c>
    </row>
    <row r="361" spans="1:17" x14ac:dyDescent="0.15">
      <c r="A361" s="10">
        <v>45876.461805555969</v>
      </c>
      <c r="B361">
        <f>COUNT(A361:$A$1158)/(48*252)</f>
        <v>6.5972222222222224E-2</v>
      </c>
      <c r="C361">
        <v>2.1259999999999999</v>
      </c>
      <c r="D361">
        <v>3.3000000000000002E-2</v>
      </c>
      <c r="E361">
        <f t="shared" si="60"/>
        <v>-0.20265082877608684</v>
      </c>
      <c r="F361">
        <f t="shared" si="61"/>
        <v>0.4197039792815136</v>
      </c>
      <c r="G361">
        <f t="shared" si="64"/>
        <v>0</v>
      </c>
      <c r="H361">
        <f>IF(MOD(COUNTA($C$7:C361)-1,$J$2),H360,ROUND(F361*P361,-2))</f>
        <v>4200</v>
      </c>
      <c r="I361">
        <f t="shared" si="65"/>
        <v>0</v>
      </c>
      <c r="J361">
        <f t="shared" si="66"/>
        <v>0</v>
      </c>
      <c r="K361">
        <f t="shared" si="67"/>
        <v>-8199.7278164580675</v>
      </c>
      <c r="L361">
        <f t="shared" si="68"/>
        <v>729.47218354193137</v>
      </c>
      <c r="M361">
        <f t="shared" si="69"/>
        <v>0</v>
      </c>
      <c r="N361">
        <f t="shared" si="71"/>
        <v>729.47218354193137</v>
      </c>
      <c r="O361" s="5">
        <f t="shared" si="62"/>
        <v>0.14375261889234348</v>
      </c>
      <c r="P361">
        <f t="shared" si="70"/>
        <v>10000</v>
      </c>
      <c r="Q361">
        <f t="shared" si="63"/>
        <v>1437.5261889234348</v>
      </c>
    </row>
    <row r="362" spans="1:17" x14ac:dyDescent="0.15">
      <c r="A362" s="10">
        <v>45876.465277777985</v>
      </c>
      <c r="B362">
        <f>COUNT(A362:$A$1158)/(48*252)</f>
        <v>6.5889550264550262E-2</v>
      </c>
      <c r="C362">
        <v>2.1259999999999999</v>
      </c>
      <c r="D362">
        <v>3.2000000000000001E-2</v>
      </c>
      <c r="E362">
        <f t="shared" si="60"/>
        <v>-0.20287485339279357</v>
      </c>
      <c r="F362">
        <f t="shared" si="61"/>
        <v>0.41961642481958705</v>
      </c>
      <c r="G362">
        <f t="shared" si="64"/>
        <v>0</v>
      </c>
      <c r="H362">
        <f>IF(MOD(COUNTA($C$7:C362)-1,$J$2),H361,ROUND(F362*P362,-2))</f>
        <v>4200</v>
      </c>
      <c r="I362">
        <f t="shared" si="65"/>
        <v>0</v>
      </c>
      <c r="J362">
        <f t="shared" si="66"/>
        <v>0</v>
      </c>
      <c r="K362">
        <f t="shared" si="67"/>
        <v>-8199.7278164580675</v>
      </c>
      <c r="L362">
        <f t="shared" si="68"/>
        <v>729.47218354193137</v>
      </c>
      <c r="M362">
        <f t="shared" si="69"/>
        <v>0</v>
      </c>
      <c r="N362">
        <f t="shared" si="71"/>
        <v>729.47218354193137</v>
      </c>
      <c r="O362" s="5">
        <f t="shared" si="62"/>
        <v>0.14369238791052918</v>
      </c>
      <c r="P362">
        <f t="shared" si="70"/>
        <v>10000</v>
      </c>
      <c r="Q362">
        <f t="shared" si="63"/>
        <v>1436.9238791052919</v>
      </c>
    </row>
    <row r="363" spans="1:17" x14ac:dyDescent="0.15">
      <c r="A363" s="10">
        <v>45876.46875</v>
      </c>
      <c r="B363">
        <f>COUNT(A363:$A$1158)/(48*252)</f>
        <v>6.5806878306878314E-2</v>
      </c>
      <c r="C363">
        <v>2.1259999999999999</v>
      </c>
      <c r="D363">
        <v>3.3000000000000002E-2</v>
      </c>
      <c r="E363">
        <f t="shared" si="60"/>
        <v>-0.20309923916678752</v>
      </c>
      <c r="F363">
        <f t="shared" si="61"/>
        <v>0.41952873319709627</v>
      </c>
      <c r="G363">
        <f t="shared" si="64"/>
        <v>0</v>
      </c>
      <c r="H363">
        <f>IF(MOD(COUNTA($C$7:C363)-1,$J$2),H362,ROUND(F363*P363,-2))</f>
        <v>4200</v>
      </c>
      <c r="I363">
        <f t="shared" si="65"/>
        <v>0</v>
      </c>
      <c r="J363">
        <f t="shared" si="66"/>
        <v>0</v>
      </c>
      <c r="K363">
        <f t="shared" si="67"/>
        <v>-8199.7278164580675</v>
      </c>
      <c r="L363">
        <f t="shared" si="68"/>
        <v>729.47218354193137</v>
      </c>
      <c r="M363">
        <f t="shared" si="69"/>
        <v>0</v>
      </c>
      <c r="N363">
        <f t="shared" si="71"/>
        <v>729.47218354193137</v>
      </c>
      <c r="O363" s="5">
        <f t="shared" si="62"/>
        <v>0.14363212019616145</v>
      </c>
      <c r="P363">
        <f t="shared" si="70"/>
        <v>10000</v>
      </c>
      <c r="Q363">
        <f t="shared" si="63"/>
        <v>1436.3212019616144</v>
      </c>
    </row>
    <row r="364" spans="1:17" x14ac:dyDescent="0.15">
      <c r="A364" s="10">
        <v>45876.472222222015</v>
      </c>
      <c r="B364">
        <f>COUNT(A364:$A$1158)/(48*252)</f>
        <v>6.5724206349206352E-2</v>
      </c>
      <c r="C364">
        <v>2.1259999999999999</v>
      </c>
      <c r="D364">
        <v>3.1E-2</v>
      </c>
      <c r="E364">
        <f t="shared" si="60"/>
        <v>-0.20332398719515757</v>
      </c>
      <c r="F364">
        <f t="shared" si="61"/>
        <v>0.41944090400883943</v>
      </c>
      <c r="G364">
        <f t="shared" si="64"/>
        <v>0</v>
      </c>
      <c r="H364">
        <f>IF(MOD(COUNTA($C$7:C364)-1,$J$2),H363,ROUND(F364*P364,-2))</f>
        <v>4200</v>
      </c>
      <c r="I364">
        <f t="shared" si="65"/>
        <v>0</v>
      </c>
      <c r="J364">
        <f t="shared" si="66"/>
        <v>0</v>
      </c>
      <c r="K364">
        <f t="shared" si="67"/>
        <v>-8199.7278164580675</v>
      </c>
      <c r="L364">
        <f t="shared" si="68"/>
        <v>729.47218354193137</v>
      </c>
      <c r="M364">
        <f t="shared" si="69"/>
        <v>0</v>
      </c>
      <c r="N364">
        <f t="shared" si="71"/>
        <v>729.47218354193137</v>
      </c>
      <c r="O364" s="5">
        <f t="shared" si="62"/>
        <v>0.14357181568597821</v>
      </c>
      <c r="P364">
        <f t="shared" si="70"/>
        <v>10000</v>
      </c>
      <c r="Q364">
        <f t="shared" si="63"/>
        <v>1435.7181568597821</v>
      </c>
    </row>
    <row r="365" spans="1:17" x14ac:dyDescent="0.15">
      <c r="A365" s="10">
        <v>45876.475694444962</v>
      </c>
      <c r="B365">
        <f>COUNT(A365:$A$1158)/(48*252)</f>
        <v>6.564153439153439E-2</v>
      </c>
      <c r="C365">
        <v>2.1259999999999999</v>
      </c>
      <c r="D365">
        <v>3.1E-2</v>
      </c>
      <c r="E365">
        <f t="shared" si="60"/>
        <v>-0.20354909857975456</v>
      </c>
      <c r="F365">
        <f t="shared" si="61"/>
        <v>0.41935293684790392</v>
      </c>
      <c r="G365">
        <f t="shared" si="64"/>
        <v>0</v>
      </c>
      <c r="H365">
        <f>IF(MOD(COUNTA($C$7:C365)-1,$J$2),H364,ROUND(F365*P365,-2))</f>
        <v>4200</v>
      </c>
      <c r="I365">
        <f t="shared" si="65"/>
        <v>0</v>
      </c>
      <c r="J365">
        <f t="shared" si="66"/>
        <v>0</v>
      </c>
      <c r="K365">
        <f t="shared" si="67"/>
        <v>-8199.7278164580675</v>
      </c>
      <c r="L365">
        <f t="shared" si="68"/>
        <v>729.47218354193137</v>
      </c>
      <c r="M365">
        <f t="shared" si="69"/>
        <v>0</v>
      </c>
      <c r="N365">
        <f t="shared" si="71"/>
        <v>729.47218354193137</v>
      </c>
      <c r="O365" s="5">
        <f t="shared" si="62"/>
        <v>0.14351147431653533</v>
      </c>
      <c r="P365">
        <f t="shared" si="70"/>
        <v>10000</v>
      </c>
      <c r="Q365">
        <f t="shared" si="63"/>
        <v>1435.1147431653533</v>
      </c>
    </row>
    <row r="366" spans="1:17" x14ac:dyDescent="0.15">
      <c r="A366" s="10">
        <v>45876.479166666977</v>
      </c>
      <c r="B366">
        <f>COUNT(A366:$A$1158)/(48*252)</f>
        <v>6.5558862433862428E-2</v>
      </c>
      <c r="C366">
        <v>2.1259999999999999</v>
      </c>
      <c r="D366">
        <v>3.2000000000000001E-2</v>
      </c>
      <c r="E366">
        <f t="shared" si="60"/>
        <v>-0.20377457442721864</v>
      </c>
      <c r="F366">
        <f t="shared" si="61"/>
        <v>0.41926483130565678</v>
      </c>
      <c r="G366">
        <f t="shared" si="64"/>
        <v>0</v>
      </c>
      <c r="H366">
        <f>IF(MOD(COUNTA($C$7:C366)-1,$J$2),H365,ROUND(F366*P366,-2))</f>
        <v>4200</v>
      </c>
      <c r="I366">
        <f t="shared" si="65"/>
        <v>0</v>
      </c>
      <c r="J366">
        <f t="shared" si="66"/>
        <v>0</v>
      </c>
      <c r="K366">
        <f t="shared" si="67"/>
        <v>-8199.7278164580675</v>
      </c>
      <c r="L366">
        <f t="shared" si="68"/>
        <v>729.47218354193137</v>
      </c>
      <c r="M366">
        <f t="shared" si="69"/>
        <v>0</v>
      </c>
      <c r="N366">
        <f t="shared" si="71"/>
        <v>729.47218354193137</v>
      </c>
      <c r="O366" s="5">
        <f t="shared" si="62"/>
        <v>0.14345109602420658</v>
      </c>
      <c r="P366">
        <f t="shared" si="70"/>
        <v>10000</v>
      </c>
      <c r="Q366">
        <f t="shared" si="63"/>
        <v>1434.5109602420657</v>
      </c>
    </row>
    <row r="367" spans="1:17" x14ac:dyDescent="0.15">
      <c r="A367" s="10">
        <v>45876.545138888992</v>
      </c>
      <c r="B367">
        <f>COUNT(A367:$A$1158)/(48*252)</f>
        <v>6.5476190476190479E-2</v>
      </c>
      <c r="C367">
        <v>2.1269999999999998</v>
      </c>
      <c r="D367">
        <v>3.3000000000000002E-2</v>
      </c>
      <c r="E367">
        <f t="shared" si="60"/>
        <v>-0.20013815661320983</v>
      </c>
      <c r="F367">
        <f t="shared" si="61"/>
        <v>0.42068626617323479</v>
      </c>
      <c r="G367">
        <f t="shared" si="64"/>
        <v>9.9999999999988987E-4</v>
      </c>
      <c r="H367">
        <f>IF(MOD(COUNTA($C$7:C367)-1,$J$2),H366,ROUND(F367*P367,-2))</f>
        <v>4200</v>
      </c>
      <c r="I367">
        <f t="shared" si="65"/>
        <v>0</v>
      </c>
      <c r="J367">
        <f t="shared" si="66"/>
        <v>0</v>
      </c>
      <c r="K367">
        <f t="shared" si="67"/>
        <v>-8199.7278164580675</v>
      </c>
      <c r="L367">
        <f t="shared" si="68"/>
        <v>733.6721835419321</v>
      </c>
      <c r="M367">
        <f t="shared" si="69"/>
        <v>4.2000000000007276</v>
      </c>
      <c r="N367">
        <f t="shared" si="71"/>
        <v>733.6721835419321</v>
      </c>
      <c r="O367" s="5">
        <f t="shared" si="62"/>
        <v>0.14281061213273261</v>
      </c>
      <c r="P367">
        <f t="shared" si="70"/>
        <v>10000</v>
      </c>
      <c r="Q367">
        <f t="shared" si="63"/>
        <v>1428.106121327326</v>
      </c>
    </row>
    <row r="368" spans="1:17" x14ac:dyDescent="0.15">
      <c r="A368" s="10">
        <v>45876.548611111008</v>
      </c>
      <c r="B368">
        <f>COUNT(A368:$A$1158)/(48*252)</f>
        <v>6.5393518518518517E-2</v>
      </c>
      <c r="C368">
        <v>2.1269999999999998</v>
      </c>
      <c r="D368">
        <v>3.2000000000000001E-2</v>
      </c>
      <c r="E368">
        <f t="shared" si="60"/>
        <v>-0.20036192411922332</v>
      </c>
      <c r="F368">
        <f t="shared" si="61"/>
        <v>0.42059876790349898</v>
      </c>
      <c r="G368">
        <f t="shared" si="64"/>
        <v>0</v>
      </c>
      <c r="H368">
        <f>IF(MOD(COUNTA($C$7:C368)-1,$J$2),H367,ROUND(F368*P368,-2))</f>
        <v>4200</v>
      </c>
      <c r="I368">
        <f t="shared" si="65"/>
        <v>0</v>
      </c>
      <c r="J368">
        <f t="shared" si="66"/>
        <v>0</v>
      </c>
      <c r="K368">
        <f t="shared" si="67"/>
        <v>-8199.7278164580675</v>
      </c>
      <c r="L368">
        <f t="shared" si="68"/>
        <v>733.6721835419321</v>
      </c>
      <c r="M368">
        <f t="shared" si="69"/>
        <v>0</v>
      </c>
      <c r="N368">
        <f t="shared" si="71"/>
        <v>733.6721835419321</v>
      </c>
      <c r="O368" s="5">
        <f t="shared" si="62"/>
        <v>0.14275007186192612</v>
      </c>
      <c r="P368">
        <f t="shared" si="70"/>
        <v>10000</v>
      </c>
      <c r="Q368">
        <f t="shared" si="63"/>
        <v>1427.5007186192613</v>
      </c>
    </row>
    <row r="369" spans="1:17" x14ac:dyDescent="0.15">
      <c r="A369" s="10">
        <v>45876.552083333023</v>
      </c>
      <c r="B369">
        <f>COUNT(A369:$A$1158)/(48*252)</f>
        <v>6.5310846560846555E-2</v>
      </c>
      <c r="C369">
        <v>2.1259999999999999</v>
      </c>
      <c r="D369">
        <v>3.2000000000000001E-2</v>
      </c>
      <c r="E369">
        <f t="shared" si="60"/>
        <v>-0.20445319988561586</v>
      </c>
      <c r="F369">
        <f t="shared" si="61"/>
        <v>0.41899968027871226</v>
      </c>
      <c r="G369">
        <f t="shared" si="64"/>
        <v>-9.9999999999988987E-4</v>
      </c>
      <c r="H369">
        <f>IF(MOD(COUNTA($C$7:C369)-1,$J$2),H368,ROUND(F369*P369,-2))</f>
        <v>4200</v>
      </c>
      <c r="I369">
        <f t="shared" si="65"/>
        <v>0</v>
      </c>
      <c r="J369">
        <f t="shared" si="66"/>
        <v>0</v>
      </c>
      <c r="K369">
        <f t="shared" si="67"/>
        <v>-8199.7278164580675</v>
      </c>
      <c r="L369">
        <f t="shared" si="68"/>
        <v>729.47218354193137</v>
      </c>
      <c r="M369">
        <f t="shared" si="69"/>
        <v>-4.2000000000007276</v>
      </c>
      <c r="N369">
        <f t="shared" si="71"/>
        <v>729.47218354193137</v>
      </c>
      <c r="O369" s="5">
        <f t="shared" si="62"/>
        <v>0.14326973897090545</v>
      </c>
      <c r="P369">
        <f t="shared" si="70"/>
        <v>10000</v>
      </c>
      <c r="Q369">
        <f t="shared" si="63"/>
        <v>1432.6973897090545</v>
      </c>
    </row>
    <row r="370" spans="1:17" x14ac:dyDescent="0.15">
      <c r="A370" s="10">
        <v>45876.555555555969</v>
      </c>
      <c r="B370">
        <f>COUNT(A370:$A$1158)/(48*252)</f>
        <v>6.5228174603174607E-2</v>
      </c>
      <c r="C370">
        <v>2.13</v>
      </c>
      <c r="D370">
        <v>3.3000000000000002E-2</v>
      </c>
      <c r="E370">
        <f t="shared" si="60"/>
        <v>-0.189212671120816</v>
      </c>
      <c r="F370">
        <f t="shared" si="61"/>
        <v>0.42496306846378634</v>
      </c>
      <c r="G370">
        <f t="shared" si="64"/>
        <v>4.0000000000000036E-3</v>
      </c>
      <c r="H370">
        <f>IF(MOD(COUNTA($C$7:C370)-1,$J$2),H369,ROUND(F370*P370,-2))</f>
        <v>4200</v>
      </c>
      <c r="I370">
        <f t="shared" si="65"/>
        <v>0</v>
      </c>
      <c r="J370">
        <f t="shared" si="66"/>
        <v>0</v>
      </c>
      <c r="K370">
        <f t="shared" si="67"/>
        <v>-8199.7278164580675</v>
      </c>
      <c r="L370">
        <f t="shared" si="68"/>
        <v>746.27218354193246</v>
      </c>
      <c r="M370">
        <f t="shared" si="69"/>
        <v>16.800000000001091</v>
      </c>
      <c r="N370">
        <f t="shared" si="71"/>
        <v>746.27218354193246</v>
      </c>
      <c r="O370" s="5">
        <f t="shared" si="62"/>
        <v>0.14089695816491776</v>
      </c>
      <c r="P370">
        <f t="shared" si="70"/>
        <v>10000</v>
      </c>
      <c r="Q370">
        <f t="shared" si="63"/>
        <v>1408.9695816491776</v>
      </c>
    </row>
    <row r="371" spans="1:17" x14ac:dyDescent="0.15">
      <c r="A371" s="10">
        <v>45876.559027777985</v>
      </c>
      <c r="B371">
        <f>COUNT(A371:$A$1158)/(48*252)</f>
        <v>6.5145502645502645E-2</v>
      </c>
      <c r="C371">
        <v>2.1309999999999998</v>
      </c>
      <c r="D371">
        <v>3.3000000000000002E-2</v>
      </c>
      <c r="E371">
        <f t="shared" si="60"/>
        <v>-0.18556539500915661</v>
      </c>
      <c r="F371">
        <f t="shared" si="61"/>
        <v>0.42639279647658851</v>
      </c>
      <c r="G371">
        <f t="shared" si="64"/>
        <v>9.9999999999988987E-4</v>
      </c>
      <c r="H371">
        <f>IF(MOD(COUNTA($C$7:C371)-1,$J$2),H370,ROUND(F371*P371,-2))</f>
        <v>4200</v>
      </c>
      <c r="I371">
        <f t="shared" si="65"/>
        <v>0</v>
      </c>
      <c r="J371">
        <f t="shared" si="66"/>
        <v>0</v>
      </c>
      <c r="K371">
        <f t="shared" si="67"/>
        <v>-8199.7278164580675</v>
      </c>
      <c r="L371">
        <f t="shared" si="68"/>
        <v>750.47218354193137</v>
      </c>
      <c r="M371">
        <f t="shared" si="69"/>
        <v>4.1999999999989086</v>
      </c>
      <c r="N371">
        <f t="shared" si="71"/>
        <v>750.47218354193137</v>
      </c>
      <c r="O371" s="5">
        <f t="shared" si="62"/>
        <v>0.14026168150258567</v>
      </c>
      <c r="P371">
        <f t="shared" si="70"/>
        <v>10000</v>
      </c>
      <c r="Q371">
        <f t="shared" si="63"/>
        <v>1402.6168150258566</v>
      </c>
    </row>
    <row r="372" spans="1:17" x14ac:dyDescent="0.15">
      <c r="A372" s="10">
        <v>45876.5625</v>
      </c>
      <c r="B372">
        <f>COUNT(A372:$A$1158)/(48*252)</f>
        <v>6.5062830687830683E-2</v>
      </c>
      <c r="C372">
        <v>2.13</v>
      </c>
      <c r="D372">
        <v>3.2000000000000001E-2</v>
      </c>
      <c r="E372">
        <f t="shared" si="60"/>
        <v>-0.18964803094317884</v>
      </c>
      <c r="F372">
        <f t="shared" si="61"/>
        <v>0.42479247345168403</v>
      </c>
      <c r="G372">
        <f t="shared" si="64"/>
        <v>-9.9999999999988987E-4</v>
      </c>
      <c r="H372">
        <f>IF(MOD(COUNTA($C$7:C372)-1,$J$2),H371,ROUND(F372*P372,-2))</f>
        <v>4200</v>
      </c>
      <c r="I372">
        <f t="shared" si="65"/>
        <v>0</v>
      </c>
      <c r="J372">
        <f t="shared" si="66"/>
        <v>0</v>
      </c>
      <c r="K372">
        <f t="shared" si="67"/>
        <v>-8199.7278164580675</v>
      </c>
      <c r="L372">
        <f t="shared" si="68"/>
        <v>746.27218354193246</v>
      </c>
      <c r="M372">
        <f t="shared" si="69"/>
        <v>-4.1999999999989086</v>
      </c>
      <c r="N372">
        <f t="shared" si="71"/>
        <v>746.27218354193246</v>
      </c>
      <c r="O372" s="5">
        <f t="shared" si="62"/>
        <v>0.14077509641045372</v>
      </c>
      <c r="P372">
        <f t="shared" si="70"/>
        <v>10000</v>
      </c>
      <c r="Q372">
        <f t="shared" si="63"/>
        <v>1407.7509641045372</v>
      </c>
    </row>
    <row r="373" spans="1:17" x14ac:dyDescent="0.15">
      <c r="A373" s="10">
        <v>45876.565972222015</v>
      </c>
      <c r="B373">
        <f>COUNT(A373:$A$1158)/(48*252)</f>
        <v>6.4980158730158735E-2</v>
      </c>
      <c r="C373">
        <v>2.13</v>
      </c>
      <c r="D373">
        <v>3.3000000000000002E-2</v>
      </c>
      <c r="E373">
        <f t="shared" si="60"/>
        <v>-0.18986624070192767</v>
      </c>
      <c r="F373">
        <f t="shared" si="61"/>
        <v>0.42470697362269128</v>
      </c>
      <c r="G373">
        <f t="shared" si="64"/>
        <v>0</v>
      </c>
      <c r="H373">
        <f>IF(MOD(COUNTA($C$7:C373)-1,$J$2),H372,ROUND(F373*P373,-2))</f>
        <v>4200</v>
      </c>
      <c r="I373">
        <f t="shared" si="65"/>
        <v>0</v>
      </c>
      <c r="J373">
        <f t="shared" si="66"/>
        <v>0</v>
      </c>
      <c r="K373">
        <f t="shared" si="67"/>
        <v>-8199.7278164580675</v>
      </c>
      <c r="L373">
        <f t="shared" si="68"/>
        <v>746.27218354193246</v>
      </c>
      <c r="M373">
        <f t="shared" si="69"/>
        <v>0</v>
      </c>
      <c r="N373">
        <f t="shared" si="71"/>
        <v>746.27218354193246</v>
      </c>
      <c r="O373" s="5">
        <f t="shared" si="62"/>
        <v>0.14071410867738865</v>
      </c>
      <c r="P373">
        <f t="shared" si="70"/>
        <v>10000</v>
      </c>
      <c r="Q373">
        <f t="shared" si="63"/>
        <v>1407.1410867738864</v>
      </c>
    </row>
    <row r="374" spans="1:17" x14ac:dyDescent="0.15">
      <c r="A374" s="10">
        <v>45876.569444444962</v>
      </c>
      <c r="B374">
        <f>COUNT(A374:$A$1158)/(48*252)</f>
        <v>6.4897486772486773E-2</v>
      </c>
      <c r="C374">
        <v>2.1269999999999998</v>
      </c>
      <c r="D374">
        <v>3.1E-2</v>
      </c>
      <c r="E374">
        <f t="shared" si="60"/>
        <v>-0.20171219498786341</v>
      </c>
      <c r="F374">
        <f t="shared" si="61"/>
        <v>0.42007086417273498</v>
      </c>
      <c r="G374">
        <f t="shared" si="64"/>
        <v>-3.0000000000001137E-3</v>
      </c>
      <c r="H374">
        <f>IF(MOD(COUNTA($C$7:C374)-1,$J$2),H373,ROUND(F374*P374,-2))</f>
        <v>4200</v>
      </c>
      <c r="I374">
        <f t="shared" si="65"/>
        <v>0</v>
      </c>
      <c r="J374">
        <f t="shared" si="66"/>
        <v>0</v>
      </c>
      <c r="K374">
        <f t="shared" si="67"/>
        <v>-8199.7278164580675</v>
      </c>
      <c r="L374">
        <f t="shared" si="68"/>
        <v>733.6721835419321</v>
      </c>
      <c r="M374">
        <f t="shared" si="69"/>
        <v>-12.600000000000364</v>
      </c>
      <c r="N374">
        <f t="shared" si="71"/>
        <v>733.6721835419321</v>
      </c>
      <c r="O374" s="5">
        <f t="shared" si="62"/>
        <v>0.14238604563549462</v>
      </c>
      <c r="P374">
        <f t="shared" si="70"/>
        <v>10000</v>
      </c>
      <c r="Q374">
        <f t="shared" si="63"/>
        <v>1423.8604563549461</v>
      </c>
    </row>
    <row r="375" spans="1:17" x14ac:dyDescent="0.15">
      <c r="A375" s="10">
        <v>45876.572916666977</v>
      </c>
      <c r="B375">
        <f>COUNT(A375:$A$1158)/(48*252)</f>
        <v>6.4814814814814811E-2</v>
      </c>
      <c r="C375">
        <v>2.125</v>
      </c>
      <c r="D375">
        <v>3.1E-2</v>
      </c>
      <c r="E375">
        <f t="shared" si="60"/>
        <v>-0.20970418386432571</v>
      </c>
      <c r="F375">
        <f t="shared" si="61"/>
        <v>0.41694927994579095</v>
      </c>
      <c r="G375">
        <f t="shared" si="64"/>
        <v>-1.9999999999997797E-3</v>
      </c>
      <c r="H375">
        <f>IF(MOD(COUNTA($C$7:C375)-1,$J$2),H374,ROUND(F375*P375,-2))</f>
        <v>4200</v>
      </c>
      <c r="I375">
        <f t="shared" si="65"/>
        <v>0</v>
      </c>
      <c r="J375">
        <f t="shared" si="66"/>
        <v>0</v>
      </c>
      <c r="K375">
        <f t="shared" si="67"/>
        <v>-8199.7278164580675</v>
      </c>
      <c r="L375">
        <f t="shared" si="68"/>
        <v>725.27218354193246</v>
      </c>
      <c r="M375">
        <f t="shared" si="69"/>
        <v>-8.3999999999996362</v>
      </c>
      <c r="N375">
        <f t="shared" si="71"/>
        <v>725.27218354193246</v>
      </c>
      <c r="O375" s="5">
        <f t="shared" si="62"/>
        <v>0.14348831188370248</v>
      </c>
      <c r="P375">
        <f t="shared" si="70"/>
        <v>10000</v>
      </c>
      <c r="Q375">
        <f t="shared" si="63"/>
        <v>1434.8831188370248</v>
      </c>
    </row>
    <row r="376" spans="1:17" x14ac:dyDescent="0.15">
      <c r="A376" s="10">
        <v>45876.576388888992</v>
      </c>
      <c r="B376">
        <f>COUNT(A376:$A$1158)/(48*252)</f>
        <v>6.4732142857142863E-2</v>
      </c>
      <c r="C376">
        <v>2.1269999999999998</v>
      </c>
      <c r="D376">
        <v>3.1E-2</v>
      </c>
      <c r="E376">
        <f t="shared" si="60"/>
        <v>-0.20216523259131688</v>
      </c>
      <c r="F376">
        <f t="shared" si="61"/>
        <v>0.41989377614010942</v>
      </c>
      <c r="G376">
        <f t="shared" si="64"/>
        <v>1.9999999999997797E-3</v>
      </c>
      <c r="H376">
        <f>IF(MOD(COUNTA($C$7:C376)-1,$J$2),H375,ROUND(F376*P376,-2))</f>
        <v>4200</v>
      </c>
      <c r="I376">
        <f t="shared" si="65"/>
        <v>0</v>
      </c>
      <c r="J376">
        <f t="shared" si="66"/>
        <v>0</v>
      </c>
      <c r="K376">
        <f t="shared" si="67"/>
        <v>-8199.7278164580675</v>
      </c>
      <c r="L376">
        <f t="shared" si="68"/>
        <v>733.6721835419321</v>
      </c>
      <c r="M376">
        <f t="shared" si="69"/>
        <v>8.3999999999996362</v>
      </c>
      <c r="N376">
        <f t="shared" si="71"/>
        <v>733.6721835419321</v>
      </c>
      <c r="O376" s="5">
        <f t="shared" si="62"/>
        <v>0.14226440309716115</v>
      </c>
      <c r="P376">
        <f t="shared" si="70"/>
        <v>10000</v>
      </c>
      <c r="Q376">
        <f t="shared" si="63"/>
        <v>1422.6440309716115</v>
      </c>
    </row>
    <row r="377" spans="1:17" x14ac:dyDescent="0.15">
      <c r="A377" s="10">
        <v>45876.579861111008</v>
      </c>
      <c r="B377">
        <f>COUNT(A377:$A$1158)/(48*252)</f>
        <v>6.4649470899470901E-2</v>
      </c>
      <c r="C377">
        <v>2.1259999999999999</v>
      </c>
      <c r="D377">
        <v>3.1E-2</v>
      </c>
      <c r="E377">
        <f t="shared" si="60"/>
        <v>-0.20627918467334308</v>
      </c>
      <c r="F377">
        <f t="shared" si="61"/>
        <v>0.41828641855466703</v>
      </c>
      <c r="G377">
        <f t="shared" si="64"/>
        <v>-9.9999999999988987E-4</v>
      </c>
      <c r="H377">
        <f>IF(MOD(COUNTA($C$7:C377)-1,$J$2),H376,ROUND(F377*P377,-2))</f>
        <v>4200</v>
      </c>
      <c r="I377">
        <f t="shared" si="65"/>
        <v>0</v>
      </c>
      <c r="J377">
        <f t="shared" si="66"/>
        <v>0</v>
      </c>
      <c r="K377">
        <f t="shared" si="67"/>
        <v>-8199.7278164580675</v>
      </c>
      <c r="L377">
        <f t="shared" si="68"/>
        <v>729.47218354193137</v>
      </c>
      <c r="M377">
        <f t="shared" si="69"/>
        <v>-4.2000000000007276</v>
      </c>
      <c r="N377">
        <f t="shared" si="71"/>
        <v>729.47218354193137</v>
      </c>
      <c r="O377" s="5">
        <f t="shared" si="62"/>
        <v>0.14278447951687423</v>
      </c>
      <c r="P377">
        <f t="shared" si="70"/>
        <v>10000</v>
      </c>
      <c r="Q377">
        <f t="shared" si="63"/>
        <v>1427.8447951687424</v>
      </c>
    </row>
    <row r="378" spans="1:17" x14ac:dyDescent="0.15">
      <c r="A378" s="10">
        <v>45876.583333333023</v>
      </c>
      <c r="B378">
        <f>COUNT(A378:$A$1158)/(48*252)</f>
        <v>6.4566798941798939E-2</v>
      </c>
      <c r="C378">
        <v>2.1259999999999999</v>
      </c>
      <c r="D378">
        <v>0.03</v>
      </c>
      <c r="E378">
        <f t="shared" si="60"/>
        <v>-0.20650912217372233</v>
      </c>
      <c r="F378">
        <f t="shared" si="61"/>
        <v>0.41819661992405188</v>
      </c>
      <c r="G378">
        <f t="shared" si="64"/>
        <v>0</v>
      </c>
      <c r="H378">
        <f>IF(MOD(COUNTA($C$7:C378)-1,$J$2),H377,ROUND(F378*P378,-2))</f>
        <v>4200</v>
      </c>
      <c r="I378">
        <f t="shared" si="65"/>
        <v>0</v>
      </c>
      <c r="J378">
        <f t="shared" si="66"/>
        <v>0</v>
      </c>
      <c r="K378">
        <f t="shared" si="67"/>
        <v>-8199.7278164580675</v>
      </c>
      <c r="L378">
        <f t="shared" si="68"/>
        <v>729.47218354193137</v>
      </c>
      <c r="M378">
        <f t="shared" si="69"/>
        <v>0</v>
      </c>
      <c r="N378">
        <f t="shared" si="71"/>
        <v>729.47218354193137</v>
      </c>
      <c r="O378" s="5">
        <f t="shared" si="62"/>
        <v>0.14272365311988833</v>
      </c>
      <c r="P378">
        <f t="shared" si="70"/>
        <v>10000</v>
      </c>
      <c r="Q378">
        <f t="shared" si="63"/>
        <v>1427.2365311988833</v>
      </c>
    </row>
    <row r="379" spans="1:17" x14ac:dyDescent="0.15">
      <c r="A379" s="10">
        <v>45876.586805555969</v>
      </c>
      <c r="B379">
        <f>COUNT(A379:$A$1158)/(48*252)</f>
        <v>6.4484126984126991E-2</v>
      </c>
      <c r="C379">
        <v>2.12</v>
      </c>
      <c r="D379">
        <v>2.9000000000000001E-2</v>
      </c>
      <c r="E379">
        <f t="shared" si="60"/>
        <v>-0.23012908418025549</v>
      </c>
      <c r="F379">
        <f t="shared" si="61"/>
        <v>0.40899573270868839</v>
      </c>
      <c r="G379">
        <f t="shared" si="64"/>
        <v>-5.9999999999997833E-3</v>
      </c>
      <c r="H379">
        <f>IF(MOD(COUNTA($C$7:C379)-1,$J$2),H378,ROUND(F379*P379,-2))</f>
        <v>4100</v>
      </c>
      <c r="I379">
        <f t="shared" si="65"/>
        <v>-100</v>
      </c>
      <c r="J379">
        <f t="shared" si="66"/>
        <v>0</v>
      </c>
      <c r="K379">
        <f t="shared" si="67"/>
        <v>-7987.7373564580676</v>
      </c>
      <c r="L379">
        <f t="shared" si="68"/>
        <v>704.26264354193245</v>
      </c>
      <c r="M379">
        <f t="shared" si="69"/>
        <v>-25.209539999998924</v>
      </c>
      <c r="N379">
        <f t="shared" si="71"/>
        <v>704.26264354193245</v>
      </c>
      <c r="O379" s="5">
        <f t="shared" si="62"/>
        <v>0.14618149212472864</v>
      </c>
      <c r="P379">
        <f t="shared" si="70"/>
        <v>10000</v>
      </c>
      <c r="Q379">
        <f t="shared" si="63"/>
        <v>1461.8149212472863</v>
      </c>
    </row>
    <row r="380" spans="1:17" x14ac:dyDescent="0.15">
      <c r="A380" s="10">
        <v>45876.590277777985</v>
      </c>
      <c r="B380">
        <f>COUNT(A380:$A$1158)/(48*252)</f>
        <v>6.4401455026455029E-2</v>
      </c>
      <c r="C380">
        <v>2.121</v>
      </c>
      <c r="D380">
        <v>2.8000000000000001E-2</v>
      </c>
      <c r="E380">
        <f t="shared" si="60"/>
        <v>-0.22646941738682083</v>
      </c>
      <c r="F380">
        <f t="shared" si="61"/>
        <v>0.41041817137193037</v>
      </c>
      <c r="G380">
        <f t="shared" si="64"/>
        <v>9.9999999999988987E-4</v>
      </c>
      <c r="H380">
        <f>IF(MOD(COUNTA($C$7:C380)-1,$J$2),H379,ROUND(F380*P380,-2))</f>
        <v>4100</v>
      </c>
      <c r="I380">
        <f t="shared" si="65"/>
        <v>0</v>
      </c>
      <c r="J380">
        <f t="shared" si="66"/>
        <v>0</v>
      </c>
      <c r="K380">
        <f t="shared" si="67"/>
        <v>-7987.7373564580676</v>
      </c>
      <c r="L380">
        <f t="shared" si="68"/>
        <v>708.36264354193281</v>
      </c>
      <c r="M380">
        <f t="shared" si="69"/>
        <v>4.1000000000003638</v>
      </c>
      <c r="N380">
        <f t="shared" si="71"/>
        <v>708.36264354193281</v>
      </c>
      <c r="O380" s="5">
        <f t="shared" si="62"/>
        <v>0.14553080597809576</v>
      </c>
      <c r="P380">
        <f t="shared" si="70"/>
        <v>10000</v>
      </c>
      <c r="Q380">
        <f t="shared" si="63"/>
        <v>1455.3080597809576</v>
      </c>
    </row>
    <row r="381" spans="1:17" x14ac:dyDescent="0.15">
      <c r="A381" s="10">
        <v>45876.59375</v>
      </c>
      <c r="B381">
        <f>COUNT(A381:$A$1158)/(48*252)</f>
        <v>6.4318783068783067E-2</v>
      </c>
      <c r="C381">
        <v>2.13</v>
      </c>
      <c r="D381">
        <v>3.1E-2</v>
      </c>
      <c r="E381">
        <f t="shared" si="60"/>
        <v>-0.1916247794484584</v>
      </c>
      <c r="F381">
        <f t="shared" si="61"/>
        <v>0.42401806550688526</v>
      </c>
      <c r="G381">
        <f t="shared" si="64"/>
        <v>8.999999999999897E-3</v>
      </c>
      <c r="H381">
        <f>IF(MOD(COUNTA($C$7:C381)-1,$J$2),H380,ROUND(F381*P381,-2))</f>
        <v>4100</v>
      </c>
      <c r="I381">
        <f t="shared" si="65"/>
        <v>0</v>
      </c>
      <c r="J381">
        <f t="shared" si="66"/>
        <v>0</v>
      </c>
      <c r="K381">
        <f t="shared" si="67"/>
        <v>-7987.7373564580676</v>
      </c>
      <c r="L381">
        <f t="shared" si="68"/>
        <v>745.26264354193245</v>
      </c>
      <c r="M381">
        <f t="shared" si="69"/>
        <v>36.899999999999636</v>
      </c>
      <c r="N381">
        <f t="shared" si="71"/>
        <v>745.26264354193245</v>
      </c>
      <c r="O381" s="5">
        <f t="shared" si="62"/>
        <v>0.14022483342131276</v>
      </c>
      <c r="P381">
        <f t="shared" si="70"/>
        <v>10000</v>
      </c>
      <c r="Q381">
        <f t="shared" si="63"/>
        <v>1402.2483342131275</v>
      </c>
    </row>
    <row r="382" spans="1:17" x14ac:dyDescent="0.15">
      <c r="A382" s="10">
        <v>45876.597222222015</v>
      </c>
      <c r="B382">
        <f>COUNT(A382:$A$1158)/(48*252)</f>
        <v>6.4236111111111105E-2</v>
      </c>
      <c r="C382">
        <v>2.1360000000000001</v>
      </c>
      <c r="D382">
        <v>3.3000000000000002E-2</v>
      </c>
      <c r="E382">
        <f t="shared" si="60"/>
        <v>-0.16852133326117713</v>
      </c>
      <c r="F382">
        <f t="shared" si="61"/>
        <v>0.43308658107641396</v>
      </c>
      <c r="G382">
        <f t="shared" si="64"/>
        <v>6.0000000000002274E-3</v>
      </c>
      <c r="H382">
        <f>IF(MOD(COUNTA($C$7:C382)-1,$J$2),H381,ROUND(F382*P382,-2))</f>
        <v>4100</v>
      </c>
      <c r="I382">
        <f t="shared" si="65"/>
        <v>0</v>
      </c>
      <c r="J382">
        <f t="shared" si="66"/>
        <v>0</v>
      </c>
      <c r="K382">
        <f t="shared" si="67"/>
        <v>-7987.7373564580676</v>
      </c>
      <c r="L382">
        <f t="shared" si="68"/>
        <v>769.86264354193281</v>
      </c>
      <c r="M382">
        <f t="shared" si="69"/>
        <v>24.600000000000364</v>
      </c>
      <c r="N382">
        <f t="shared" si="71"/>
        <v>769.86264354193281</v>
      </c>
      <c r="O382" s="5">
        <f t="shared" si="62"/>
        <v>0.13673454870356672</v>
      </c>
      <c r="P382">
        <f t="shared" si="70"/>
        <v>10000</v>
      </c>
      <c r="Q382">
        <f t="shared" si="63"/>
        <v>1367.3454870356672</v>
      </c>
    </row>
    <row r="383" spans="1:17" x14ac:dyDescent="0.15">
      <c r="A383" s="10">
        <v>45876.600694444962</v>
      </c>
      <c r="B383">
        <f>COUNT(A383:$A$1158)/(48*252)</f>
        <v>6.4153439153439157E-2</v>
      </c>
      <c r="C383">
        <v>2.137</v>
      </c>
      <c r="D383">
        <v>3.2000000000000001E-2</v>
      </c>
      <c r="E383">
        <f t="shared" si="60"/>
        <v>-0.16484450513215193</v>
      </c>
      <c r="F383">
        <f t="shared" si="61"/>
        <v>0.43453318658072959</v>
      </c>
      <c r="G383">
        <f t="shared" si="64"/>
        <v>9.9999999999988987E-4</v>
      </c>
      <c r="H383">
        <f>IF(MOD(COUNTA($C$7:C383)-1,$J$2),H382,ROUND(F383*P383,-2))</f>
        <v>4100</v>
      </c>
      <c r="I383">
        <f t="shared" si="65"/>
        <v>0</v>
      </c>
      <c r="J383">
        <f t="shared" si="66"/>
        <v>0</v>
      </c>
      <c r="K383">
        <f t="shared" si="67"/>
        <v>-7987.7373564580676</v>
      </c>
      <c r="L383">
        <f t="shared" si="68"/>
        <v>773.96264354193318</v>
      </c>
      <c r="M383">
        <f t="shared" si="69"/>
        <v>4.1000000000003638</v>
      </c>
      <c r="N383">
        <f t="shared" si="71"/>
        <v>773.96264354193318</v>
      </c>
      <c r="O383" s="5">
        <f t="shared" si="62"/>
        <v>0.13610644255585935</v>
      </c>
      <c r="P383">
        <f t="shared" si="70"/>
        <v>10000</v>
      </c>
      <c r="Q383">
        <f t="shared" si="63"/>
        <v>1361.0644255585935</v>
      </c>
    </row>
    <row r="384" spans="1:17" x14ac:dyDescent="0.15">
      <c r="A384" s="10">
        <v>45876.604166666977</v>
      </c>
      <c r="B384">
        <f>COUNT(A384:$A$1158)/(48*252)</f>
        <v>6.4070767195767195E-2</v>
      </c>
      <c r="C384">
        <v>2.1349999999999998</v>
      </c>
      <c r="D384">
        <v>3.1E-2</v>
      </c>
      <c r="E384">
        <f t="shared" si="60"/>
        <v>-0.17282316905295281</v>
      </c>
      <c r="F384">
        <f t="shared" si="61"/>
        <v>0.43139521239904288</v>
      </c>
      <c r="G384">
        <f t="shared" si="64"/>
        <v>-2.0000000000002238E-3</v>
      </c>
      <c r="H384">
        <f>IF(MOD(COUNTA($C$7:C384)-1,$J$2),H383,ROUND(F384*P384,-2))</f>
        <v>4100</v>
      </c>
      <c r="I384">
        <f t="shared" si="65"/>
        <v>0</v>
      </c>
      <c r="J384">
        <f t="shared" si="66"/>
        <v>0</v>
      </c>
      <c r="K384">
        <f t="shared" si="67"/>
        <v>-7987.7373564580676</v>
      </c>
      <c r="L384">
        <f t="shared" si="68"/>
        <v>765.76264354193245</v>
      </c>
      <c r="M384">
        <f t="shared" si="69"/>
        <v>-8.2000000000007276</v>
      </c>
      <c r="N384">
        <f t="shared" si="71"/>
        <v>765.76264354193245</v>
      </c>
      <c r="O384" s="5">
        <f t="shared" si="62"/>
        <v>0.13717859905951824</v>
      </c>
      <c r="P384">
        <f t="shared" si="70"/>
        <v>10000</v>
      </c>
      <c r="Q384">
        <f t="shared" si="63"/>
        <v>1371.7859905951823</v>
      </c>
    </row>
    <row r="385" spans="1:17" x14ac:dyDescent="0.15">
      <c r="A385" s="10">
        <v>45876.607638888992</v>
      </c>
      <c r="B385">
        <f>COUNT(A385:$A$1158)/(48*252)</f>
        <v>6.3988095238095233E-2</v>
      </c>
      <c r="C385">
        <v>2.1320000000000001</v>
      </c>
      <c r="D385">
        <v>0.03</v>
      </c>
      <c r="E385">
        <f t="shared" si="60"/>
        <v>-0.18471541588990203</v>
      </c>
      <c r="F385">
        <f t="shared" si="61"/>
        <v>0.42672612705864826</v>
      </c>
      <c r="G385">
        <f t="shared" si="64"/>
        <v>-2.9999999999996696E-3</v>
      </c>
      <c r="H385">
        <f>IF(MOD(COUNTA($C$7:C385)-1,$J$2),H384,ROUND(F385*P385,-2))</f>
        <v>4300</v>
      </c>
      <c r="I385">
        <f t="shared" si="65"/>
        <v>200</v>
      </c>
      <c r="J385">
        <f t="shared" si="66"/>
        <v>0</v>
      </c>
      <c r="K385">
        <f t="shared" si="67"/>
        <v>-8414.1565444580683</v>
      </c>
      <c r="L385">
        <f t="shared" si="68"/>
        <v>753.44345554193205</v>
      </c>
      <c r="M385">
        <f t="shared" si="69"/>
        <v>-12.319188000000395</v>
      </c>
      <c r="N385">
        <f t="shared" si="71"/>
        <v>753.44345554193205</v>
      </c>
      <c r="O385" s="5">
        <f t="shared" si="62"/>
        <v>0.13882966929910046</v>
      </c>
      <c r="P385">
        <f t="shared" si="70"/>
        <v>10000</v>
      </c>
      <c r="Q385">
        <f t="shared" si="63"/>
        <v>1388.2966929910046</v>
      </c>
    </row>
    <row r="386" spans="1:17" x14ac:dyDescent="0.15">
      <c r="A386" s="10">
        <v>45876.611111111008</v>
      </c>
      <c r="B386">
        <f>COUNT(A386:$A$1158)/(48*252)</f>
        <v>6.3905423280423285E-2</v>
      </c>
      <c r="C386">
        <v>2.133</v>
      </c>
      <c r="D386">
        <v>0.03</v>
      </c>
      <c r="E386">
        <f t="shared" si="60"/>
        <v>-0.18103484322545338</v>
      </c>
      <c r="F386">
        <f t="shared" si="61"/>
        <v>0.4281701134557519</v>
      </c>
      <c r="G386">
        <f t="shared" si="64"/>
        <v>9.9999999999988987E-4</v>
      </c>
      <c r="H386">
        <f>IF(MOD(COUNTA($C$7:C386)-1,$J$2),H385,ROUND(F386*P386,-2))</f>
        <v>4300</v>
      </c>
      <c r="I386">
        <f t="shared" si="65"/>
        <v>0</v>
      </c>
      <c r="J386">
        <f t="shared" si="66"/>
        <v>0</v>
      </c>
      <c r="K386">
        <f t="shared" si="67"/>
        <v>-8414.1565444580683</v>
      </c>
      <c r="L386">
        <f t="shared" si="68"/>
        <v>757.74345554193133</v>
      </c>
      <c r="M386">
        <f t="shared" si="69"/>
        <v>4.2999999999992724</v>
      </c>
      <c r="N386">
        <f t="shared" si="71"/>
        <v>757.74345554193133</v>
      </c>
      <c r="O386" s="5">
        <f t="shared" si="62"/>
        <v>0.13819541500917176</v>
      </c>
      <c r="P386">
        <f t="shared" si="70"/>
        <v>10000</v>
      </c>
      <c r="Q386">
        <f t="shared" si="63"/>
        <v>1381.9541500917176</v>
      </c>
    </row>
    <row r="387" spans="1:17" x14ac:dyDescent="0.15">
      <c r="A387" s="10">
        <v>45876.614583333023</v>
      </c>
      <c r="B387">
        <f>COUNT(A387:$A$1158)/(48*252)</f>
        <v>6.3822751322751323E-2</v>
      </c>
      <c r="C387">
        <v>2.1269999999999998</v>
      </c>
      <c r="D387">
        <v>2.8000000000000001E-2</v>
      </c>
      <c r="E387">
        <f t="shared" si="60"/>
        <v>-0.20468380175349118</v>
      </c>
      <c r="F387">
        <f t="shared" si="61"/>
        <v>0.41890958839886444</v>
      </c>
      <c r="G387">
        <f t="shared" si="64"/>
        <v>-6.0000000000002274E-3</v>
      </c>
      <c r="H387">
        <f>IF(MOD(COUNTA($C$7:C387)-1,$J$2),H386,ROUND(F387*P387,-2))</f>
        <v>4300</v>
      </c>
      <c r="I387">
        <f t="shared" si="65"/>
        <v>0</v>
      </c>
      <c r="J387">
        <f t="shared" si="66"/>
        <v>0</v>
      </c>
      <c r="K387">
        <f t="shared" si="67"/>
        <v>-8414.1565444580683</v>
      </c>
      <c r="L387">
        <f t="shared" si="68"/>
        <v>731.94345554193023</v>
      </c>
      <c r="M387">
        <f t="shared" si="69"/>
        <v>-25.800000000001091</v>
      </c>
      <c r="N387">
        <f t="shared" si="71"/>
        <v>731.94345554193023</v>
      </c>
      <c r="O387" s="5">
        <f t="shared" si="62"/>
        <v>0.141592653749544</v>
      </c>
      <c r="P387">
        <f t="shared" si="70"/>
        <v>10000</v>
      </c>
      <c r="Q387">
        <f t="shared" si="63"/>
        <v>1415.92653749544</v>
      </c>
    </row>
    <row r="388" spans="1:17" x14ac:dyDescent="0.15">
      <c r="A388" s="10">
        <v>45876.618055555969</v>
      </c>
      <c r="B388">
        <f>COUNT(A388:$A$1158)/(48*252)</f>
        <v>6.3740079365079361E-2</v>
      </c>
      <c r="C388">
        <v>2.13</v>
      </c>
      <c r="D388">
        <v>2.9000000000000001E-2</v>
      </c>
      <c r="E388">
        <f t="shared" si="60"/>
        <v>-0.19318256831516642</v>
      </c>
      <c r="F388">
        <f t="shared" si="61"/>
        <v>0.42340799503131232</v>
      </c>
      <c r="G388">
        <f t="shared" si="64"/>
        <v>3.0000000000001137E-3</v>
      </c>
      <c r="H388">
        <f>IF(MOD(COUNTA($C$7:C388)-1,$J$2),H387,ROUND(F388*P388,-2))</f>
        <v>4300</v>
      </c>
      <c r="I388">
        <f t="shared" si="65"/>
        <v>0</v>
      </c>
      <c r="J388">
        <f t="shared" si="66"/>
        <v>0</v>
      </c>
      <c r="K388">
        <f t="shared" si="67"/>
        <v>-8414.1565444580683</v>
      </c>
      <c r="L388">
        <f t="shared" si="68"/>
        <v>744.84345554193169</v>
      </c>
      <c r="M388">
        <f t="shared" si="69"/>
        <v>12.900000000001455</v>
      </c>
      <c r="N388">
        <f t="shared" si="71"/>
        <v>744.84345554193169</v>
      </c>
      <c r="O388" s="5">
        <f t="shared" si="62"/>
        <v>0.13979469568311975</v>
      </c>
      <c r="P388">
        <f t="shared" si="70"/>
        <v>10000</v>
      </c>
      <c r="Q388">
        <f t="shared" si="63"/>
        <v>1397.9469568311974</v>
      </c>
    </row>
    <row r="389" spans="1:17" x14ac:dyDescent="0.15">
      <c r="A389" s="10">
        <v>45876.621527777985</v>
      </c>
      <c r="B389">
        <f>COUNT(A389:$A$1158)/(48*252)</f>
        <v>6.3657407407407413E-2</v>
      </c>
      <c r="C389">
        <v>2.1269999999999998</v>
      </c>
      <c r="D389">
        <v>2.9000000000000001E-2</v>
      </c>
      <c r="E389">
        <f t="shared" si="60"/>
        <v>-0.20514668398102856</v>
      </c>
      <c r="F389">
        <f t="shared" si="61"/>
        <v>0.41872876172248469</v>
      </c>
      <c r="G389">
        <f t="shared" si="64"/>
        <v>-3.0000000000001137E-3</v>
      </c>
      <c r="H389">
        <f>IF(MOD(COUNTA($C$7:C389)-1,$J$2),H388,ROUND(F389*P389,-2))</f>
        <v>4300</v>
      </c>
      <c r="I389">
        <f t="shared" si="65"/>
        <v>0</v>
      </c>
      <c r="J389">
        <f t="shared" si="66"/>
        <v>0</v>
      </c>
      <c r="K389">
        <f t="shared" si="67"/>
        <v>-8414.1565444580683</v>
      </c>
      <c r="L389">
        <f t="shared" si="68"/>
        <v>731.94345554193023</v>
      </c>
      <c r="M389">
        <f t="shared" si="69"/>
        <v>-12.900000000001455</v>
      </c>
      <c r="N389">
        <f t="shared" si="71"/>
        <v>731.94345554193023</v>
      </c>
      <c r="O389" s="5">
        <f t="shared" si="62"/>
        <v>0.14147001942509463</v>
      </c>
      <c r="P389">
        <f t="shared" si="70"/>
        <v>10000</v>
      </c>
      <c r="Q389">
        <f t="shared" si="63"/>
        <v>1414.7001942509462</v>
      </c>
    </row>
    <row r="390" spans="1:17" x14ac:dyDescent="0.15">
      <c r="A390" s="10">
        <v>45876.625</v>
      </c>
      <c r="B390">
        <f>COUNT(A390:$A$1158)/(48*252)</f>
        <v>6.3574735449735451E-2</v>
      </c>
      <c r="C390">
        <v>2.1269999999999998</v>
      </c>
      <c r="D390">
        <v>2.9000000000000001E-2</v>
      </c>
      <c r="E390">
        <f t="shared" si="60"/>
        <v>-0.20537870585327744</v>
      </c>
      <c r="F390">
        <f t="shared" si="61"/>
        <v>0.41863812796690131</v>
      </c>
      <c r="G390">
        <f t="shared" si="64"/>
        <v>0</v>
      </c>
      <c r="H390">
        <f>IF(MOD(COUNTA($C$7:C390)-1,$J$2),H389,ROUND(F390*P390,-2))</f>
        <v>4300</v>
      </c>
      <c r="I390">
        <f t="shared" si="65"/>
        <v>0</v>
      </c>
      <c r="J390">
        <f t="shared" si="66"/>
        <v>0</v>
      </c>
      <c r="K390">
        <f t="shared" si="67"/>
        <v>-8414.1565444580683</v>
      </c>
      <c r="L390">
        <f t="shared" si="68"/>
        <v>731.94345554193023</v>
      </c>
      <c r="M390">
        <f t="shared" si="69"/>
        <v>0</v>
      </c>
      <c r="N390">
        <f t="shared" si="71"/>
        <v>731.94345554193023</v>
      </c>
      <c r="O390" s="5">
        <f t="shared" si="62"/>
        <v>0.14140864431569944</v>
      </c>
      <c r="P390">
        <f t="shared" si="70"/>
        <v>10000</v>
      </c>
      <c r="Q390">
        <f t="shared" si="63"/>
        <v>1414.0864431569944</v>
      </c>
    </row>
    <row r="391" spans="1:17" x14ac:dyDescent="0.15">
      <c r="A391" s="10">
        <v>45877.399305555969</v>
      </c>
      <c r="B391">
        <f>COUNT(A391:$A$1158)/(48*252)</f>
        <v>6.3492063492063489E-2</v>
      </c>
      <c r="C391">
        <v>2.141</v>
      </c>
      <c r="D391">
        <v>3.5000000000000003E-2</v>
      </c>
      <c r="E391">
        <f t="shared" si="60"/>
        <v>-0.15089390480785808</v>
      </c>
      <c r="F391">
        <f t="shared" si="61"/>
        <v>0.4400297043462798</v>
      </c>
      <c r="G391">
        <f t="shared" si="64"/>
        <v>1.4000000000000234E-2</v>
      </c>
      <c r="H391">
        <f>IF(MOD(COUNTA($C$7:C391)-1,$J$2),H390,ROUND(F391*P391,-2))</f>
        <v>4400</v>
      </c>
      <c r="I391">
        <f t="shared" si="65"/>
        <v>100</v>
      </c>
      <c r="J391">
        <f t="shared" si="66"/>
        <v>0</v>
      </c>
      <c r="K391">
        <f t="shared" si="67"/>
        <v>-8628.2661789580688</v>
      </c>
      <c r="L391">
        <f t="shared" si="68"/>
        <v>792.13382104193079</v>
      </c>
      <c r="M391">
        <f t="shared" si="69"/>
        <v>60.190365500000553</v>
      </c>
      <c r="N391">
        <f t="shared" si="71"/>
        <v>792.13382104193079</v>
      </c>
      <c r="O391" s="5">
        <f t="shared" si="62"/>
        <v>0.13335718984743439</v>
      </c>
      <c r="P391">
        <f t="shared" si="70"/>
        <v>10000</v>
      </c>
      <c r="Q391">
        <f t="shared" si="63"/>
        <v>1333.5718984743439</v>
      </c>
    </row>
    <row r="392" spans="1:17" x14ac:dyDescent="0.15">
      <c r="A392" s="10">
        <v>45877.402777777985</v>
      </c>
      <c r="B392">
        <f>COUNT(A392:$A$1158)/(48*252)</f>
        <v>6.340939153439154E-2</v>
      </c>
      <c r="C392">
        <v>2.1389999999999998</v>
      </c>
      <c r="D392">
        <v>3.5000000000000003E-2</v>
      </c>
      <c r="E392">
        <f t="shared" ref="E392:E455" si="72">(LN(C392/$B$2)+($B$1+0.5*$D$1*$D$1)*B392)/($D$1*SQRT(B392))</f>
        <v>-0.15889092822341841</v>
      </c>
      <c r="F392">
        <f t="shared" ref="F392:F455" si="73">NORMSDIST(E392)</f>
        <v>0.43687740406271292</v>
      </c>
      <c r="G392">
        <f t="shared" si="64"/>
        <v>-2.0000000000002238E-3</v>
      </c>
      <c r="H392">
        <f>IF(MOD(COUNTA($C$7:C392)-1,$J$2),H391,ROUND(F392*P392,-2))</f>
        <v>4400</v>
      </c>
      <c r="I392">
        <f t="shared" si="65"/>
        <v>0</v>
      </c>
      <c r="J392">
        <f t="shared" si="66"/>
        <v>0</v>
      </c>
      <c r="K392">
        <f t="shared" si="67"/>
        <v>-8628.2661789580688</v>
      </c>
      <c r="L392">
        <f t="shared" si="68"/>
        <v>783.3338210419297</v>
      </c>
      <c r="M392">
        <f t="shared" si="69"/>
        <v>-8.8000000000010914</v>
      </c>
      <c r="N392">
        <f t="shared" si="71"/>
        <v>783.3338210419297</v>
      </c>
      <c r="O392" s="5">
        <f t="shared" ref="O392:O455" si="74">put_bs($B$1,$J$1,C392,$B$2,B392)</f>
        <v>0.13441772670351626</v>
      </c>
      <c r="P392">
        <f t="shared" si="70"/>
        <v>10000</v>
      </c>
      <c r="Q392">
        <f t="shared" ref="Q392:Q455" si="75">P392*O392</f>
        <v>1344.1772670351627</v>
      </c>
    </row>
    <row r="393" spans="1:17" x14ac:dyDescent="0.15">
      <c r="A393" s="10">
        <v>45877.40625</v>
      </c>
      <c r="B393">
        <f>COUNT(A393:$A$1158)/(48*252)</f>
        <v>6.3326719576719578E-2</v>
      </c>
      <c r="C393">
        <v>2.141</v>
      </c>
      <c r="D393">
        <v>3.5000000000000003E-2</v>
      </c>
      <c r="E393">
        <f t="shared" si="72"/>
        <v>-0.15128851161533111</v>
      </c>
      <c r="F393">
        <f t="shared" si="73"/>
        <v>0.43987406568777282</v>
      </c>
      <c r="G393">
        <f t="shared" ref="G393:G456" si="76">C393-C392</f>
        <v>2.0000000000002238E-3</v>
      </c>
      <c r="H393">
        <f>IF(MOD(COUNTA($C$7:C393)-1,$J$2),H392,ROUND(F393*P393,-2))</f>
        <v>4400</v>
      </c>
      <c r="I393">
        <f t="shared" ref="I393:I456" si="77">H393-H392</f>
        <v>0</v>
      </c>
      <c r="J393">
        <f t="shared" ref="J393:J456" si="78">J392</f>
        <v>0</v>
      </c>
      <c r="K393">
        <f t="shared" ref="K393:K456" si="79">K392-I393*C393-ABS(I393*C393*$F$2)</f>
        <v>-8628.2661789580688</v>
      </c>
      <c r="L393">
        <f t="shared" ref="L393:L456" si="80">K393+H393*C393</f>
        <v>792.13382104193079</v>
      </c>
      <c r="M393">
        <f t="shared" ref="M393:M456" si="81">L393-L392</f>
        <v>8.8000000000010914</v>
      </c>
      <c r="N393">
        <f t="shared" si="71"/>
        <v>792.13382104193079</v>
      </c>
      <c r="O393" s="5">
        <f t="shared" si="74"/>
        <v>0.13323188120727547</v>
      </c>
      <c r="P393">
        <f t="shared" ref="P393:P456" si="82">P392</f>
        <v>10000</v>
      </c>
      <c r="Q393">
        <f t="shared" si="75"/>
        <v>1332.3188120727548</v>
      </c>
    </row>
    <row r="394" spans="1:17" x14ac:dyDescent="0.15">
      <c r="A394" s="10">
        <v>45877.409722222015</v>
      </c>
      <c r="B394">
        <f>COUNT(A394:$A$1158)/(48*252)</f>
        <v>6.3244047619047616E-2</v>
      </c>
      <c r="C394">
        <v>2.1469999999999998</v>
      </c>
      <c r="D394">
        <v>3.6999999999999998E-2</v>
      </c>
      <c r="E394">
        <f t="shared" si="72"/>
        <v>-0.1280997877076282</v>
      </c>
      <c r="F394">
        <f t="shared" si="73"/>
        <v>0.44903500202485114</v>
      </c>
      <c r="G394">
        <f t="shared" si="76"/>
        <v>5.9999999999997833E-3</v>
      </c>
      <c r="H394">
        <f>IF(MOD(COUNTA($C$7:C394)-1,$J$2),H393,ROUND(F394*P394,-2))</f>
        <v>4400</v>
      </c>
      <c r="I394">
        <f t="shared" si="77"/>
        <v>0</v>
      </c>
      <c r="J394">
        <f t="shared" si="78"/>
        <v>0</v>
      </c>
      <c r="K394">
        <f t="shared" si="79"/>
        <v>-8628.2661789580688</v>
      </c>
      <c r="L394">
        <f t="shared" si="80"/>
        <v>818.53382104193042</v>
      </c>
      <c r="M394">
        <f t="shared" si="81"/>
        <v>26.399999999999636</v>
      </c>
      <c r="N394">
        <f t="shared" ref="N394:N457" si="83">L394-$F$1</f>
        <v>818.53382104193042</v>
      </c>
      <c r="O394" s="5">
        <f t="shared" si="74"/>
        <v>0.12983565666075814</v>
      </c>
      <c r="P394">
        <f t="shared" si="82"/>
        <v>10000</v>
      </c>
      <c r="Q394">
        <f t="shared" si="75"/>
        <v>1298.3565666075813</v>
      </c>
    </row>
    <row r="395" spans="1:17" x14ac:dyDescent="0.15">
      <c r="A395" s="10">
        <v>45877.413194444962</v>
      </c>
      <c r="B395">
        <f>COUNT(A395:$A$1158)/(48*252)</f>
        <v>6.3161375661375668E-2</v>
      </c>
      <c r="C395">
        <v>2.1469999999999998</v>
      </c>
      <c r="D395">
        <v>3.6999999999999998E-2</v>
      </c>
      <c r="E395">
        <f t="shared" si="72"/>
        <v>-0.12828259745806669</v>
      </c>
      <c r="F395">
        <f t="shared" si="73"/>
        <v>0.44896266826427234</v>
      </c>
      <c r="G395">
        <f t="shared" si="76"/>
        <v>0</v>
      </c>
      <c r="H395">
        <f>IF(MOD(COUNTA($C$7:C395)-1,$J$2),H394,ROUND(F395*P395,-2))</f>
        <v>4400</v>
      </c>
      <c r="I395">
        <f t="shared" si="77"/>
        <v>0</v>
      </c>
      <c r="J395">
        <f t="shared" si="78"/>
        <v>0</v>
      </c>
      <c r="K395">
        <f t="shared" si="79"/>
        <v>-8628.2661789580688</v>
      </c>
      <c r="L395">
        <f t="shared" si="80"/>
        <v>818.53382104193042</v>
      </c>
      <c r="M395">
        <f t="shared" si="81"/>
        <v>0</v>
      </c>
      <c r="N395">
        <f t="shared" si="83"/>
        <v>818.53382104193042</v>
      </c>
      <c r="O395" s="5">
        <f t="shared" si="74"/>
        <v>0.12977244875177729</v>
      </c>
      <c r="P395">
        <f t="shared" si="82"/>
        <v>10000</v>
      </c>
      <c r="Q395">
        <f t="shared" si="75"/>
        <v>1297.724487517773</v>
      </c>
    </row>
    <row r="396" spans="1:17" x14ac:dyDescent="0.15">
      <c r="A396" s="10">
        <v>45877.416666666977</v>
      </c>
      <c r="B396">
        <f>COUNT(A396:$A$1158)/(48*252)</f>
        <v>6.3078703703703706E-2</v>
      </c>
      <c r="C396">
        <v>2.145</v>
      </c>
      <c r="D396">
        <v>3.5000000000000003E-2</v>
      </c>
      <c r="E396">
        <f t="shared" si="72"/>
        <v>-0.13626413615922567</v>
      </c>
      <c r="F396">
        <f t="shared" si="73"/>
        <v>0.445806237293566</v>
      </c>
      <c r="G396">
        <f t="shared" si="76"/>
        <v>-1.9999999999997797E-3</v>
      </c>
      <c r="H396">
        <f>IF(MOD(COUNTA($C$7:C396)-1,$J$2),H395,ROUND(F396*P396,-2))</f>
        <v>4400</v>
      </c>
      <c r="I396">
        <f t="shared" si="77"/>
        <v>0</v>
      </c>
      <c r="J396">
        <f t="shared" si="78"/>
        <v>0</v>
      </c>
      <c r="K396">
        <f t="shared" si="79"/>
        <v>-8628.2661789580688</v>
      </c>
      <c r="L396">
        <f t="shared" si="80"/>
        <v>809.73382104193115</v>
      </c>
      <c r="M396">
        <f t="shared" si="81"/>
        <v>-8.7999999999992724</v>
      </c>
      <c r="N396">
        <f t="shared" si="83"/>
        <v>809.73382104193115</v>
      </c>
      <c r="O396" s="5">
        <f t="shared" si="74"/>
        <v>0.13081450271536332</v>
      </c>
      <c r="P396">
        <f t="shared" si="82"/>
        <v>10000</v>
      </c>
      <c r="Q396">
        <f t="shared" si="75"/>
        <v>1308.1450271536332</v>
      </c>
    </row>
    <row r="397" spans="1:17" x14ac:dyDescent="0.15">
      <c r="A397" s="10">
        <v>45877.420138888992</v>
      </c>
      <c r="B397">
        <f>COUNT(A397:$A$1158)/(48*252)</f>
        <v>6.2996031746031744E-2</v>
      </c>
      <c r="C397">
        <v>2.1440000000000001</v>
      </c>
      <c r="D397">
        <v>3.5000000000000003E-2</v>
      </c>
      <c r="E397">
        <f t="shared" si="72"/>
        <v>-0.14035715497936541</v>
      </c>
      <c r="F397">
        <f t="shared" si="73"/>
        <v>0.4441889040281754</v>
      </c>
      <c r="G397">
        <f t="shared" si="76"/>
        <v>-9.9999999999988987E-4</v>
      </c>
      <c r="H397">
        <f>IF(MOD(COUNTA($C$7:C397)-1,$J$2),H396,ROUND(F397*P397,-2))</f>
        <v>4400</v>
      </c>
      <c r="I397">
        <f t="shared" si="77"/>
        <v>0</v>
      </c>
      <c r="J397">
        <f t="shared" si="78"/>
        <v>0</v>
      </c>
      <c r="K397">
        <f t="shared" si="79"/>
        <v>-8628.2661789580688</v>
      </c>
      <c r="L397">
        <f t="shared" si="80"/>
        <v>805.33382104193151</v>
      </c>
      <c r="M397">
        <f t="shared" si="81"/>
        <v>-4.3999999999996362</v>
      </c>
      <c r="N397">
        <f t="shared" si="83"/>
        <v>805.33382104193151</v>
      </c>
      <c r="O397" s="5">
        <f t="shared" si="74"/>
        <v>0.13130639805378452</v>
      </c>
      <c r="P397">
        <f t="shared" si="82"/>
        <v>10000</v>
      </c>
      <c r="Q397">
        <f t="shared" si="75"/>
        <v>1313.0639805378453</v>
      </c>
    </row>
    <row r="398" spans="1:17" x14ac:dyDescent="0.15">
      <c r="A398" s="10">
        <v>45877.423611111008</v>
      </c>
      <c r="B398">
        <f>COUNT(A398:$A$1158)/(48*252)</f>
        <v>6.2913359788359782E-2</v>
      </c>
      <c r="C398">
        <v>2.145</v>
      </c>
      <c r="D398">
        <v>3.5000000000000003E-2</v>
      </c>
      <c r="E398">
        <f t="shared" si="72"/>
        <v>-0.13664147233026941</v>
      </c>
      <c r="F398">
        <f t="shared" si="73"/>
        <v>0.44565709687515831</v>
      </c>
      <c r="G398">
        <f t="shared" si="76"/>
        <v>9.9999999999988987E-4</v>
      </c>
      <c r="H398">
        <f>IF(MOD(COUNTA($C$7:C398)-1,$J$2),H397,ROUND(F398*P398,-2))</f>
        <v>4400</v>
      </c>
      <c r="I398">
        <f t="shared" si="77"/>
        <v>0</v>
      </c>
      <c r="J398">
        <f t="shared" si="78"/>
        <v>0</v>
      </c>
      <c r="K398">
        <f t="shared" si="79"/>
        <v>-8628.2661789580688</v>
      </c>
      <c r="L398">
        <f t="shared" si="80"/>
        <v>809.73382104193115</v>
      </c>
      <c r="M398">
        <f t="shared" si="81"/>
        <v>4.3999999999996362</v>
      </c>
      <c r="N398">
        <f t="shared" si="83"/>
        <v>809.73382104193115</v>
      </c>
      <c r="O398" s="5">
        <f t="shared" si="74"/>
        <v>0.1306881723597062</v>
      </c>
      <c r="P398">
        <f t="shared" si="82"/>
        <v>10000</v>
      </c>
      <c r="Q398">
        <f t="shared" si="75"/>
        <v>1306.8817235970621</v>
      </c>
    </row>
    <row r="399" spans="1:17" x14ac:dyDescent="0.15">
      <c r="A399" s="10">
        <v>45877.427083333023</v>
      </c>
      <c r="B399">
        <f>COUNT(A399:$A$1158)/(48*252)</f>
        <v>6.2830687830687834E-2</v>
      </c>
      <c r="C399">
        <v>2.145</v>
      </c>
      <c r="D399">
        <v>3.4000000000000002E-2</v>
      </c>
      <c r="E399">
        <f t="shared" si="72"/>
        <v>-0.13683060090029911</v>
      </c>
      <c r="F399">
        <f t="shared" si="73"/>
        <v>0.44558234755316023</v>
      </c>
      <c r="G399">
        <f t="shared" si="76"/>
        <v>0</v>
      </c>
      <c r="H399">
        <f>IF(MOD(COUNTA($C$7:C399)-1,$J$2),H398,ROUND(F399*P399,-2))</f>
        <v>4400</v>
      </c>
      <c r="I399">
        <f t="shared" si="77"/>
        <v>0</v>
      </c>
      <c r="J399">
        <f t="shared" si="78"/>
        <v>0</v>
      </c>
      <c r="K399">
        <f t="shared" si="79"/>
        <v>-8628.2661789580688</v>
      </c>
      <c r="L399">
        <f t="shared" si="80"/>
        <v>809.73382104193115</v>
      </c>
      <c r="M399">
        <f t="shared" si="81"/>
        <v>0</v>
      </c>
      <c r="N399">
        <f t="shared" si="83"/>
        <v>809.73382104193115</v>
      </c>
      <c r="O399" s="5">
        <f t="shared" si="74"/>
        <v>0.13062494463760133</v>
      </c>
      <c r="P399">
        <f t="shared" si="82"/>
        <v>10000</v>
      </c>
      <c r="Q399">
        <f t="shared" si="75"/>
        <v>1306.2494463760133</v>
      </c>
    </row>
    <row r="400" spans="1:17" x14ac:dyDescent="0.15">
      <c r="A400" s="10">
        <v>45877.430555555969</v>
      </c>
      <c r="B400">
        <f>COUNT(A400:$A$1158)/(48*252)</f>
        <v>6.2748015873015872E-2</v>
      </c>
      <c r="C400">
        <v>2.1480000000000001</v>
      </c>
      <c r="D400">
        <v>3.5000000000000003E-2</v>
      </c>
      <c r="E400">
        <f t="shared" si="72"/>
        <v>-0.12529433353246666</v>
      </c>
      <c r="F400">
        <f t="shared" si="73"/>
        <v>0.45014526901012991</v>
      </c>
      <c r="G400">
        <f t="shared" si="76"/>
        <v>3.0000000000001137E-3</v>
      </c>
      <c r="H400">
        <f>IF(MOD(COUNTA($C$7:C400)-1,$J$2),H399,ROUND(F400*P400,-2))</f>
        <v>4400</v>
      </c>
      <c r="I400">
        <f t="shared" si="77"/>
        <v>0</v>
      </c>
      <c r="J400">
        <f t="shared" si="78"/>
        <v>0</v>
      </c>
      <c r="K400">
        <f t="shared" si="79"/>
        <v>-8628.2661789580688</v>
      </c>
      <c r="L400">
        <f t="shared" si="80"/>
        <v>822.93382104193188</v>
      </c>
      <c r="M400">
        <f t="shared" si="81"/>
        <v>13.200000000000728</v>
      </c>
      <c r="N400">
        <f t="shared" si="83"/>
        <v>822.93382104193188</v>
      </c>
      <c r="O400" s="5">
        <f t="shared" si="74"/>
        <v>0.12890515407334657</v>
      </c>
      <c r="P400">
        <f t="shared" si="82"/>
        <v>10000</v>
      </c>
      <c r="Q400">
        <f t="shared" si="75"/>
        <v>1289.0515407334658</v>
      </c>
    </row>
    <row r="401" spans="1:17" x14ac:dyDescent="0.15">
      <c r="A401" s="10">
        <v>45877.434027777985</v>
      </c>
      <c r="B401">
        <f>COUNT(A401:$A$1158)/(48*252)</f>
        <v>6.266534391534391E-2</v>
      </c>
      <c r="C401">
        <v>2.1480000000000001</v>
      </c>
      <c r="D401">
        <v>3.5000000000000003E-2</v>
      </c>
      <c r="E401">
        <f t="shared" si="72"/>
        <v>-0.12547634755198395</v>
      </c>
      <c r="F401">
        <f t="shared" si="73"/>
        <v>0.45007322447739317</v>
      </c>
      <c r="G401">
        <f t="shared" si="76"/>
        <v>0</v>
      </c>
      <c r="H401">
        <f>IF(MOD(COUNTA($C$7:C401)-1,$J$2),H400,ROUND(F401*P401,-2))</f>
        <v>4400</v>
      </c>
      <c r="I401">
        <f t="shared" si="77"/>
        <v>0</v>
      </c>
      <c r="J401">
        <f t="shared" si="78"/>
        <v>0</v>
      </c>
      <c r="K401">
        <f t="shared" si="79"/>
        <v>-8628.2661789580688</v>
      </c>
      <c r="L401">
        <f t="shared" si="80"/>
        <v>822.93382104193188</v>
      </c>
      <c r="M401">
        <f t="shared" si="81"/>
        <v>0</v>
      </c>
      <c r="N401">
        <f t="shared" si="83"/>
        <v>822.93382104193188</v>
      </c>
      <c r="O401" s="5">
        <f t="shared" si="74"/>
        <v>0.12884162211679873</v>
      </c>
      <c r="P401">
        <f t="shared" si="82"/>
        <v>10000</v>
      </c>
      <c r="Q401">
        <f t="shared" si="75"/>
        <v>1288.4162211679873</v>
      </c>
    </row>
    <row r="402" spans="1:17" x14ac:dyDescent="0.15">
      <c r="A402" s="10">
        <v>45877.4375</v>
      </c>
      <c r="B402">
        <f>COUNT(A402:$A$1158)/(48*252)</f>
        <v>6.2582671957671962E-2</v>
      </c>
      <c r="C402">
        <v>2.1520000000000001</v>
      </c>
      <c r="D402">
        <v>3.5999999999999997E-2</v>
      </c>
      <c r="E402">
        <f t="shared" si="72"/>
        <v>-0.11002922765931422</v>
      </c>
      <c r="F402">
        <f t="shared" si="73"/>
        <v>0.45619309765819427</v>
      </c>
      <c r="G402">
        <f t="shared" si="76"/>
        <v>4.0000000000000036E-3</v>
      </c>
      <c r="H402">
        <f>IF(MOD(COUNTA($C$7:C402)-1,$J$2),H401,ROUND(F402*P402,-2))</f>
        <v>4400</v>
      </c>
      <c r="I402">
        <f t="shared" si="77"/>
        <v>0</v>
      </c>
      <c r="J402">
        <f t="shared" si="78"/>
        <v>0</v>
      </c>
      <c r="K402">
        <f t="shared" si="79"/>
        <v>-8628.2661789580688</v>
      </c>
      <c r="L402">
        <f t="shared" si="80"/>
        <v>840.53382104193224</v>
      </c>
      <c r="M402">
        <f t="shared" si="81"/>
        <v>17.600000000000364</v>
      </c>
      <c r="N402">
        <f t="shared" si="83"/>
        <v>840.53382104193224</v>
      </c>
      <c r="O402" s="5">
        <f t="shared" si="74"/>
        <v>0.12659043621230937</v>
      </c>
      <c r="P402">
        <f t="shared" si="82"/>
        <v>10000</v>
      </c>
      <c r="Q402">
        <f t="shared" si="75"/>
        <v>1265.9043621230937</v>
      </c>
    </row>
    <row r="403" spans="1:17" x14ac:dyDescent="0.15">
      <c r="A403" s="10">
        <v>45877.440972222015</v>
      </c>
      <c r="B403">
        <f>COUNT(A403:$A$1158)/(48*252)</f>
        <v>6.25E-2</v>
      </c>
      <c r="C403">
        <v>2.1520000000000001</v>
      </c>
      <c r="D403">
        <v>3.5000000000000003E-2</v>
      </c>
      <c r="E403">
        <f t="shared" si="72"/>
        <v>-0.11020149893267454</v>
      </c>
      <c r="F403">
        <f t="shared" si="73"/>
        <v>0.45612478676979656</v>
      </c>
      <c r="G403">
        <f t="shared" si="76"/>
        <v>0</v>
      </c>
      <c r="H403">
        <f>IF(MOD(COUNTA($C$7:C403)-1,$J$2),H402,ROUND(F403*P403,-2))</f>
        <v>4600</v>
      </c>
      <c r="I403">
        <f t="shared" si="77"/>
        <v>200</v>
      </c>
      <c r="J403">
        <f t="shared" si="78"/>
        <v>0</v>
      </c>
      <c r="K403">
        <f t="shared" si="79"/>
        <v>-9058.6855469580678</v>
      </c>
      <c r="L403">
        <f t="shared" si="80"/>
        <v>840.51445304193294</v>
      </c>
      <c r="M403">
        <f t="shared" si="81"/>
        <v>-1.936799999930372E-2</v>
      </c>
      <c r="N403">
        <f t="shared" si="83"/>
        <v>840.51445304193294</v>
      </c>
      <c r="O403" s="5">
        <f t="shared" si="74"/>
        <v>0.12652653837252981</v>
      </c>
      <c r="P403">
        <f t="shared" si="82"/>
        <v>10000</v>
      </c>
      <c r="Q403">
        <f t="shared" si="75"/>
        <v>1265.2653837252981</v>
      </c>
    </row>
    <row r="404" spans="1:17" x14ac:dyDescent="0.15">
      <c r="A404" s="10">
        <v>45877.444444444962</v>
      </c>
      <c r="B404">
        <f>COUNT(A404:$A$1158)/(48*252)</f>
        <v>6.2417328042328045E-2</v>
      </c>
      <c r="C404">
        <v>2.1469999999999998</v>
      </c>
      <c r="D404">
        <v>3.4000000000000002E-2</v>
      </c>
      <c r="E404">
        <f t="shared" si="72"/>
        <v>-0.12994124561232268</v>
      </c>
      <c r="F404">
        <f t="shared" si="73"/>
        <v>0.44830645581336459</v>
      </c>
      <c r="G404">
        <f t="shared" si="76"/>
        <v>-5.0000000000003375E-3</v>
      </c>
      <c r="H404">
        <f>IF(MOD(COUNTA($C$7:C404)-1,$J$2),H403,ROUND(F404*P404,-2))</f>
        <v>4600</v>
      </c>
      <c r="I404">
        <f t="shared" si="77"/>
        <v>0</v>
      </c>
      <c r="J404">
        <f t="shared" si="78"/>
        <v>0</v>
      </c>
      <c r="K404">
        <f t="shared" si="79"/>
        <v>-9058.6855469580678</v>
      </c>
      <c r="L404">
        <f t="shared" si="80"/>
        <v>817.51445304193112</v>
      </c>
      <c r="M404">
        <f t="shared" si="81"/>
        <v>-23.000000000001819</v>
      </c>
      <c r="N404">
        <f t="shared" si="83"/>
        <v>817.51445304193112</v>
      </c>
      <c r="O404" s="5">
        <f t="shared" si="74"/>
        <v>0.12920169063462805</v>
      </c>
      <c r="P404">
        <f t="shared" si="82"/>
        <v>10000</v>
      </c>
      <c r="Q404">
        <f t="shared" si="75"/>
        <v>1292.0169063462806</v>
      </c>
    </row>
    <row r="405" spans="1:17" x14ac:dyDescent="0.15">
      <c r="A405" s="10">
        <v>45877.447916666977</v>
      </c>
      <c r="B405">
        <f>COUNT(A405:$A$1158)/(48*252)</f>
        <v>6.2334656084656083E-2</v>
      </c>
      <c r="C405">
        <v>2.1480000000000001</v>
      </c>
      <c r="D405">
        <v>3.5000000000000003E-2</v>
      </c>
      <c r="E405">
        <f t="shared" si="72"/>
        <v>-0.12620736211708317</v>
      </c>
      <c r="F405">
        <f t="shared" si="73"/>
        <v>0.44978389192030443</v>
      </c>
      <c r="G405">
        <f t="shared" si="76"/>
        <v>1.000000000000334E-3</v>
      </c>
      <c r="H405">
        <f>IF(MOD(COUNTA($C$7:C405)-1,$J$2),H404,ROUND(F405*P405,-2))</f>
        <v>4600</v>
      </c>
      <c r="I405">
        <f t="shared" si="77"/>
        <v>0</v>
      </c>
      <c r="J405">
        <f t="shared" si="78"/>
        <v>0</v>
      </c>
      <c r="K405">
        <f t="shared" si="79"/>
        <v>-9058.6855469580678</v>
      </c>
      <c r="L405">
        <f t="shared" si="80"/>
        <v>822.1144530419333</v>
      </c>
      <c r="M405">
        <f t="shared" si="81"/>
        <v>4.6000000000021828</v>
      </c>
      <c r="N405">
        <f t="shared" si="83"/>
        <v>822.1144530419333</v>
      </c>
      <c r="O405" s="5">
        <f t="shared" si="74"/>
        <v>0.12858707037300299</v>
      </c>
      <c r="P405">
        <f t="shared" si="82"/>
        <v>10000</v>
      </c>
      <c r="Q405">
        <f t="shared" si="75"/>
        <v>1285.8707037300298</v>
      </c>
    </row>
    <row r="406" spans="1:17" x14ac:dyDescent="0.15">
      <c r="A406" s="10">
        <v>45877.451388888992</v>
      </c>
      <c r="B406">
        <f>COUNT(A406:$A$1158)/(48*252)</f>
        <v>6.2251984126984128E-2</v>
      </c>
      <c r="C406">
        <v>2.1440000000000001</v>
      </c>
      <c r="D406">
        <v>3.3000000000000002E-2</v>
      </c>
      <c r="E406">
        <f t="shared" si="72"/>
        <v>-0.14209095583795955</v>
      </c>
      <c r="F406">
        <f t="shared" si="73"/>
        <v>0.44350408094458632</v>
      </c>
      <c r="G406">
        <f t="shared" si="76"/>
        <v>-4.0000000000000036E-3</v>
      </c>
      <c r="H406">
        <f>IF(MOD(COUNTA($C$7:C406)-1,$J$2),H405,ROUND(F406*P406,-2))</f>
        <v>4600</v>
      </c>
      <c r="I406">
        <f t="shared" si="77"/>
        <v>0</v>
      </c>
      <c r="J406">
        <f t="shared" si="78"/>
        <v>0</v>
      </c>
      <c r="K406">
        <f t="shared" si="79"/>
        <v>-9058.6855469580678</v>
      </c>
      <c r="L406">
        <f t="shared" si="80"/>
        <v>803.71445304193367</v>
      </c>
      <c r="M406">
        <f t="shared" si="81"/>
        <v>-18.399999999999636</v>
      </c>
      <c r="N406">
        <f t="shared" si="83"/>
        <v>803.71445304193367</v>
      </c>
      <c r="O406" s="5">
        <f t="shared" si="74"/>
        <v>0.13073689586046555</v>
      </c>
      <c r="P406">
        <f t="shared" si="82"/>
        <v>10000</v>
      </c>
      <c r="Q406">
        <f t="shared" si="75"/>
        <v>1307.3689586046555</v>
      </c>
    </row>
    <row r="407" spans="1:17" x14ac:dyDescent="0.15">
      <c r="A407" s="10">
        <v>45877.454861111008</v>
      </c>
      <c r="B407">
        <f>COUNT(A407:$A$1158)/(48*252)</f>
        <v>6.2169312169312166E-2</v>
      </c>
      <c r="C407">
        <v>2.145</v>
      </c>
      <c r="D407">
        <v>3.4000000000000002E-2</v>
      </c>
      <c r="E407">
        <f t="shared" si="72"/>
        <v>-0.13835480986272478</v>
      </c>
      <c r="F407">
        <f t="shared" si="73"/>
        <v>0.44498000498302503</v>
      </c>
      <c r="G407">
        <f t="shared" si="76"/>
        <v>9.9999999999988987E-4</v>
      </c>
      <c r="H407">
        <f>IF(MOD(COUNTA($C$7:C407)-1,$J$2),H406,ROUND(F407*P407,-2))</f>
        <v>4600</v>
      </c>
      <c r="I407">
        <f t="shared" si="77"/>
        <v>0</v>
      </c>
      <c r="J407">
        <f t="shared" si="78"/>
        <v>0</v>
      </c>
      <c r="K407">
        <f t="shared" si="79"/>
        <v>-9058.6855469580678</v>
      </c>
      <c r="L407">
        <f t="shared" si="80"/>
        <v>808.31445304193221</v>
      </c>
      <c r="M407">
        <f t="shared" si="81"/>
        <v>4.5999999999985448</v>
      </c>
      <c r="N407">
        <f t="shared" si="83"/>
        <v>808.31445304193221</v>
      </c>
      <c r="O407" s="5">
        <f t="shared" si="74"/>
        <v>0.13011761141246647</v>
      </c>
      <c r="P407">
        <f t="shared" si="82"/>
        <v>10000</v>
      </c>
      <c r="Q407">
        <f t="shared" si="75"/>
        <v>1301.1761141246648</v>
      </c>
    </row>
    <row r="408" spans="1:17" x14ac:dyDescent="0.15">
      <c r="A408" s="10">
        <v>45877.458333333023</v>
      </c>
      <c r="B408">
        <f>COUNT(A408:$A$1158)/(48*252)</f>
        <v>6.2086640211640211E-2</v>
      </c>
      <c r="C408">
        <v>2.1480000000000001</v>
      </c>
      <c r="D408">
        <v>3.5000000000000003E-2</v>
      </c>
      <c r="E408">
        <f t="shared" si="72"/>
        <v>-0.1267587557735452</v>
      </c>
      <c r="F408">
        <f t="shared" si="73"/>
        <v>0.4495656702316887</v>
      </c>
      <c r="G408">
        <f t="shared" si="76"/>
        <v>3.0000000000001137E-3</v>
      </c>
      <c r="H408">
        <f>IF(MOD(COUNTA($C$7:C408)-1,$J$2),H407,ROUND(F408*P408,-2))</f>
        <v>4600</v>
      </c>
      <c r="I408">
        <f t="shared" si="77"/>
        <v>0</v>
      </c>
      <c r="J408">
        <f t="shared" si="78"/>
        <v>0</v>
      </c>
      <c r="K408">
        <f t="shared" si="79"/>
        <v>-9058.6855469580678</v>
      </c>
      <c r="L408">
        <f t="shared" si="80"/>
        <v>822.1144530419333</v>
      </c>
      <c r="M408">
        <f t="shared" si="81"/>
        <v>13.800000000001091</v>
      </c>
      <c r="N408">
        <f t="shared" si="83"/>
        <v>822.1144530419333</v>
      </c>
      <c r="O408" s="5">
        <f t="shared" si="74"/>
        <v>0.12839570919321641</v>
      </c>
      <c r="P408">
        <f t="shared" si="82"/>
        <v>10000</v>
      </c>
      <c r="Q408">
        <f t="shared" si="75"/>
        <v>1283.9570919321641</v>
      </c>
    </row>
    <row r="409" spans="1:17" x14ac:dyDescent="0.15">
      <c r="A409" s="10">
        <v>45877.461805555969</v>
      </c>
      <c r="B409">
        <f>COUNT(A409:$A$1158)/(48*252)</f>
        <v>6.2003968253968256E-2</v>
      </c>
      <c r="C409">
        <v>2.1480000000000001</v>
      </c>
      <c r="D409">
        <v>3.4000000000000002E-2</v>
      </c>
      <c r="E409">
        <f t="shared" si="72"/>
        <v>-0.12694315543513812</v>
      </c>
      <c r="F409">
        <f t="shared" si="73"/>
        <v>0.44949269490752325</v>
      </c>
      <c r="G409">
        <f t="shared" si="76"/>
        <v>0</v>
      </c>
      <c r="H409">
        <f>IF(MOD(COUNTA($C$7:C409)-1,$J$2),H408,ROUND(F409*P409,-2))</f>
        <v>4500</v>
      </c>
      <c r="I409">
        <f t="shared" si="77"/>
        <v>-100</v>
      </c>
      <c r="J409">
        <f t="shared" si="78"/>
        <v>0</v>
      </c>
      <c r="K409">
        <f t="shared" si="79"/>
        <v>-8843.8952129580684</v>
      </c>
      <c r="L409">
        <f t="shared" si="80"/>
        <v>822.10478704193156</v>
      </c>
      <c r="M409">
        <f t="shared" si="81"/>
        <v>-9.6660000017436687E-3</v>
      </c>
      <c r="N409">
        <f t="shared" si="83"/>
        <v>822.10478704193156</v>
      </c>
      <c r="O409" s="5">
        <f t="shared" si="74"/>
        <v>0.12833183648632462</v>
      </c>
      <c r="P409">
        <f t="shared" si="82"/>
        <v>10000</v>
      </c>
      <c r="Q409">
        <f t="shared" si="75"/>
        <v>1283.3183648632462</v>
      </c>
    </row>
    <row r="410" spans="1:17" x14ac:dyDescent="0.15">
      <c r="A410" s="10">
        <v>45877.465277777985</v>
      </c>
      <c r="B410">
        <f>COUNT(A410:$A$1158)/(48*252)</f>
        <v>6.1921296296296294E-2</v>
      </c>
      <c r="C410">
        <v>2.1469999999999998</v>
      </c>
      <c r="D410">
        <v>3.4000000000000002E-2</v>
      </c>
      <c r="E410">
        <f t="shared" si="72"/>
        <v>-0.13106059832000819</v>
      </c>
      <c r="F410">
        <f t="shared" si="73"/>
        <v>0.44786368511380931</v>
      </c>
      <c r="G410">
        <f t="shared" si="76"/>
        <v>-1.000000000000334E-3</v>
      </c>
      <c r="H410">
        <f>IF(MOD(COUNTA($C$7:C410)-1,$J$2),H409,ROUND(F410*P410,-2))</f>
        <v>4500</v>
      </c>
      <c r="I410">
        <f t="shared" si="77"/>
        <v>0</v>
      </c>
      <c r="J410">
        <f t="shared" si="78"/>
        <v>0</v>
      </c>
      <c r="K410">
        <f t="shared" si="79"/>
        <v>-8843.8952129580684</v>
      </c>
      <c r="L410">
        <f t="shared" si="80"/>
        <v>817.60478704192974</v>
      </c>
      <c r="M410">
        <f t="shared" si="81"/>
        <v>-4.500000000001819</v>
      </c>
      <c r="N410">
        <f t="shared" si="83"/>
        <v>817.60478704192974</v>
      </c>
      <c r="O410" s="5">
        <f t="shared" si="74"/>
        <v>0.12881927918168712</v>
      </c>
      <c r="P410">
        <f t="shared" si="82"/>
        <v>10000</v>
      </c>
      <c r="Q410">
        <f t="shared" si="75"/>
        <v>1288.1927918168712</v>
      </c>
    </row>
    <row r="411" spans="1:17" x14ac:dyDescent="0.15">
      <c r="A411" s="10">
        <v>45877.46875</v>
      </c>
      <c r="B411">
        <f>COUNT(A411:$A$1158)/(48*252)</f>
        <v>6.1838624338624339E-2</v>
      </c>
      <c r="C411">
        <v>2.145</v>
      </c>
      <c r="D411">
        <v>3.4000000000000002E-2</v>
      </c>
      <c r="E411">
        <f t="shared" si="72"/>
        <v>-0.13912447114745333</v>
      </c>
      <c r="F411">
        <f t="shared" si="73"/>
        <v>0.44467589554602133</v>
      </c>
      <c r="G411">
        <f t="shared" si="76"/>
        <v>-1.9999999999997797E-3</v>
      </c>
      <c r="H411">
        <f>IF(MOD(COUNTA($C$7:C411)-1,$J$2),H410,ROUND(F411*P411,-2))</f>
        <v>4500</v>
      </c>
      <c r="I411">
        <f t="shared" si="77"/>
        <v>0</v>
      </c>
      <c r="J411">
        <f t="shared" si="78"/>
        <v>0</v>
      </c>
      <c r="K411">
        <f t="shared" si="79"/>
        <v>-8843.8952129580684</v>
      </c>
      <c r="L411">
        <f t="shared" si="80"/>
        <v>808.60478704193156</v>
      </c>
      <c r="M411">
        <f t="shared" si="81"/>
        <v>-8.999999999998181</v>
      </c>
      <c r="N411">
        <f t="shared" si="83"/>
        <v>808.60478704193156</v>
      </c>
      <c r="O411" s="5">
        <f t="shared" si="74"/>
        <v>0.12986292888799844</v>
      </c>
      <c r="P411">
        <f t="shared" si="82"/>
        <v>10000</v>
      </c>
      <c r="Q411">
        <f t="shared" si="75"/>
        <v>1298.6292888799844</v>
      </c>
    </row>
    <row r="412" spans="1:17" x14ac:dyDescent="0.15">
      <c r="A412" s="10">
        <v>45877.472222222015</v>
      </c>
      <c r="B412">
        <f>COUNT(A412:$A$1158)/(48*252)</f>
        <v>6.1755952380952384E-2</v>
      </c>
      <c r="C412">
        <v>2.15</v>
      </c>
      <c r="D412">
        <v>3.5000000000000003E-2</v>
      </c>
      <c r="E412">
        <f t="shared" si="72"/>
        <v>-0.11962766636937956</v>
      </c>
      <c r="F412">
        <f t="shared" si="73"/>
        <v>0.45238905125390311</v>
      </c>
      <c r="G412">
        <f t="shared" si="76"/>
        <v>4.9999999999998934E-3</v>
      </c>
      <c r="H412">
        <f>IF(MOD(COUNTA($C$7:C412)-1,$J$2),H411,ROUND(F412*P412,-2))</f>
        <v>4500</v>
      </c>
      <c r="I412">
        <f t="shared" si="77"/>
        <v>0</v>
      </c>
      <c r="J412">
        <f t="shared" si="78"/>
        <v>0</v>
      </c>
      <c r="K412">
        <f t="shared" si="79"/>
        <v>-8843.8952129580684</v>
      </c>
      <c r="L412">
        <f t="shared" si="80"/>
        <v>831.10478704193156</v>
      </c>
      <c r="M412">
        <f t="shared" si="81"/>
        <v>22.5</v>
      </c>
      <c r="N412">
        <f t="shared" si="83"/>
        <v>831.10478704193156</v>
      </c>
      <c r="O412" s="5">
        <f t="shared" si="74"/>
        <v>0.12704162236647387</v>
      </c>
      <c r="P412">
        <f t="shared" si="82"/>
        <v>10000</v>
      </c>
      <c r="Q412">
        <f t="shared" si="75"/>
        <v>1270.4162236647387</v>
      </c>
    </row>
    <row r="413" spans="1:17" x14ac:dyDescent="0.15">
      <c r="A413" s="10">
        <v>45877.475694444962</v>
      </c>
      <c r="B413">
        <f>COUNT(A413:$A$1158)/(48*252)</f>
        <v>6.1673280423280422E-2</v>
      </c>
      <c r="C413">
        <v>2.1520000000000001</v>
      </c>
      <c r="D413">
        <v>3.5000000000000003E-2</v>
      </c>
      <c r="E413">
        <f t="shared" si="72"/>
        <v>-0.11193955110974564</v>
      </c>
      <c r="F413">
        <f t="shared" si="73"/>
        <v>0.45543566820515291</v>
      </c>
      <c r="G413">
        <f t="shared" si="76"/>
        <v>2.0000000000002238E-3</v>
      </c>
      <c r="H413">
        <f>IF(MOD(COUNTA($C$7:C413)-1,$J$2),H412,ROUND(F413*P413,-2))</f>
        <v>4500</v>
      </c>
      <c r="I413">
        <f t="shared" si="77"/>
        <v>0</v>
      </c>
      <c r="J413">
        <f t="shared" si="78"/>
        <v>0</v>
      </c>
      <c r="K413">
        <f t="shared" si="79"/>
        <v>-8843.8952129580684</v>
      </c>
      <c r="L413">
        <f t="shared" si="80"/>
        <v>840.10478704193156</v>
      </c>
      <c r="M413">
        <f t="shared" si="81"/>
        <v>9</v>
      </c>
      <c r="N413">
        <f t="shared" si="83"/>
        <v>840.10478704193156</v>
      </c>
      <c r="O413" s="5">
        <f t="shared" si="74"/>
        <v>0.12588518573941609</v>
      </c>
      <c r="P413">
        <f t="shared" si="82"/>
        <v>10000</v>
      </c>
      <c r="Q413">
        <f t="shared" si="75"/>
        <v>1258.851857394161</v>
      </c>
    </row>
    <row r="414" spans="1:17" x14ac:dyDescent="0.15">
      <c r="A414" s="10">
        <v>45877.479166666977</v>
      </c>
      <c r="B414">
        <f>COUNT(A414:$A$1158)/(48*252)</f>
        <v>6.1590608465608467E-2</v>
      </c>
      <c r="C414">
        <v>2.1589999999999998</v>
      </c>
      <c r="D414">
        <v>3.5999999999999997E-2</v>
      </c>
      <c r="E414">
        <f t="shared" si="72"/>
        <v>-8.4614342838065321E-2</v>
      </c>
      <c r="F414">
        <f t="shared" si="73"/>
        <v>0.46628399801359816</v>
      </c>
      <c r="G414">
        <f t="shared" si="76"/>
        <v>6.9999999999996732E-3</v>
      </c>
      <c r="H414">
        <f>IF(MOD(COUNTA($C$7:C414)-1,$J$2),H413,ROUND(F414*P414,-2))</f>
        <v>4500</v>
      </c>
      <c r="I414">
        <f t="shared" si="77"/>
        <v>0</v>
      </c>
      <c r="J414">
        <f t="shared" si="78"/>
        <v>0</v>
      </c>
      <c r="K414">
        <f t="shared" si="79"/>
        <v>-8843.8952129580684</v>
      </c>
      <c r="L414">
        <f t="shared" si="80"/>
        <v>871.60478704193156</v>
      </c>
      <c r="M414">
        <f t="shared" si="81"/>
        <v>31.5</v>
      </c>
      <c r="N414">
        <f t="shared" si="83"/>
        <v>871.60478704193156</v>
      </c>
      <c r="O414" s="5">
        <f t="shared" si="74"/>
        <v>0.12204659018673336</v>
      </c>
      <c r="P414">
        <f t="shared" si="82"/>
        <v>10000</v>
      </c>
      <c r="Q414">
        <f t="shared" si="75"/>
        <v>1220.4659018673335</v>
      </c>
    </row>
    <row r="415" spans="1:17" x14ac:dyDescent="0.15">
      <c r="A415" s="10">
        <v>45877.545138888992</v>
      </c>
      <c r="B415">
        <f>COUNT(A415:$A$1158)/(48*252)</f>
        <v>6.1507936507936505E-2</v>
      </c>
      <c r="C415">
        <v>2.1589999999999998</v>
      </c>
      <c r="D415">
        <v>3.7999999999999999E-2</v>
      </c>
      <c r="E415">
        <f t="shared" si="72"/>
        <v>-8.477151229730627E-2</v>
      </c>
      <c r="F415">
        <f t="shared" si="73"/>
        <v>0.4662215209441079</v>
      </c>
      <c r="G415">
        <f t="shared" si="76"/>
        <v>0</v>
      </c>
      <c r="H415">
        <f>IF(MOD(COUNTA($C$7:C415)-1,$J$2),H414,ROUND(F415*P415,-2))</f>
        <v>4700</v>
      </c>
      <c r="I415">
        <f t="shared" si="77"/>
        <v>200</v>
      </c>
      <c r="J415">
        <f t="shared" si="78"/>
        <v>0</v>
      </c>
      <c r="K415">
        <f t="shared" si="79"/>
        <v>-9275.7146439580683</v>
      </c>
      <c r="L415">
        <f t="shared" si="80"/>
        <v>871.58535604193094</v>
      </c>
      <c r="M415">
        <f t="shared" si="81"/>
        <v>-1.9431000000622589E-2</v>
      </c>
      <c r="N415">
        <f t="shared" si="83"/>
        <v>871.58535604193094</v>
      </c>
      <c r="O415" s="5">
        <f t="shared" si="74"/>
        <v>0.12198170940922948</v>
      </c>
      <c r="P415">
        <f t="shared" si="82"/>
        <v>10000</v>
      </c>
      <c r="Q415">
        <f t="shared" si="75"/>
        <v>1219.8170940922948</v>
      </c>
    </row>
    <row r="416" spans="1:17" x14ac:dyDescent="0.15">
      <c r="A416" s="10">
        <v>45877.548611111008</v>
      </c>
      <c r="B416">
        <f>COUNT(A416:$A$1158)/(48*252)</f>
        <v>6.1425264550264549E-2</v>
      </c>
      <c r="C416">
        <v>2.1589999999999998</v>
      </c>
      <c r="D416">
        <v>3.6999999999999998E-2</v>
      </c>
      <c r="E416">
        <f t="shared" si="72"/>
        <v>-8.4928931460116777E-2</v>
      </c>
      <c r="F416">
        <f t="shared" si="73"/>
        <v>0.46615894544833136</v>
      </c>
      <c r="G416">
        <f t="shared" si="76"/>
        <v>0</v>
      </c>
      <c r="H416">
        <f>IF(MOD(COUNTA($C$7:C416)-1,$J$2),H415,ROUND(F416*P416,-2))</f>
        <v>4700</v>
      </c>
      <c r="I416">
        <f t="shared" si="77"/>
        <v>0</v>
      </c>
      <c r="J416">
        <f t="shared" si="78"/>
        <v>0</v>
      </c>
      <c r="K416">
        <f t="shared" si="79"/>
        <v>-9275.7146439580683</v>
      </c>
      <c r="L416">
        <f t="shared" si="80"/>
        <v>871.58535604193094</v>
      </c>
      <c r="M416">
        <f t="shared" si="81"/>
        <v>0</v>
      </c>
      <c r="N416">
        <f t="shared" si="83"/>
        <v>871.58535604193094</v>
      </c>
      <c r="O416" s="5">
        <f t="shared" si="74"/>
        <v>0.12191678397128491</v>
      </c>
      <c r="P416">
        <f t="shared" si="82"/>
        <v>10000</v>
      </c>
      <c r="Q416">
        <f t="shared" si="75"/>
        <v>1219.1678397128492</v>
      </c>
    </row>
    <row r="417" spans="1:17" x14ac:dyDescent="0.15">
      <c r="A417" s="10">
        <v>45877.552083333023</v>
      </c>
      <c r="B417">
        <f>COUNT(A417:$A$1158)/(48*252)</f>
        <v>6.1342592592592594E-2</v>
      </c>
      <c r="C417">
        <v>2.1589999999999998</v>
      </c>
      <c r="D417">
        <v>3.6999999999999998E-2</v>
      </c>
      <c r="E417">
        <f t="shared" si="72"/>
        <v>-8.5086601122069755E-2</v>
      </c>
      <c r="F417">
        <f t="shared" si="73"/>
        <v>0.46609627121554459</v>
      </c>
      <c r="G417">
        <f t="shared" si="76"/>
        <v>0</v>
      </c>
      <c r="H417">
        <f>IF(MOD(COUNTA($C$7:C417)-1,$J$2),H416,ROUND(F417*P417,-2))</f>
        <v>4700</v>
      </c>
      <c r="I417">
        <f t="shared" si="77"/>
        <v>0</v>
      </c>
      <c r="J417">
        <f t="shared" si="78"/>
        <v>0</v>
      </c>
      <c r="K417">
        <f t="shared" si="79"/>
        <v>-9275.7146439580683</v>
      </c>
      <c r="L417">
        <f t="shared" si="80"/>
        <v>871.58535604193094</v>
      </c>
      <c r="M417">
        <f t="shared" si="81"/>
        <v>0</v>
      </c>
      <c r="N417">
        <f t="shared" si="83"/>
        <v>871.58535604193094</v>
      </c>
      <c r="O417" s="5">
        <f t="shared" si="74"/>
        <v>0.12185181378528287</v>
      </c>
      <c r="P417">
        <f t="shared" si="82"/>
        <v>10000</v>
      </c>
      <c r="Q417">
        <f t="shared" si="75"/>
        <v>1218.5181378528287</v>
      </c>
    </row>
    <row r="418" spans="1:17" x14ac:dyDescent="0.15">
      <c r="A418" s="10">
        <v>45877.555555555969</v>
      </c>
      <c r="B418">
        <f>COUNT(A418:$A$1158)/(48*252)</f>
        <v>6.1259920634920632E-2</v>
      </c>
      <c r="C418">
        <v>2.161</v>
      </c>
      <c r="D418">
        <v>3.6999999999999998E-2</v>
      </c>
      <c r="E418">
        <f t="shared" si="72"/>
        <v>-7.738245831851033E-2</v>
      </c>
      <c r="F418">
        <f t="shared" si="73"/>
        <v>0.46915964758455542</v>
      </c>
      <c r="G418">
        <f t="shared" si="76"/>
        <v>2.0000000000002238E-3</v>
      </c>
      <c r="H418">
        <f>IF(MOD(COUNTA($C$7:C418)-1,$J$2),H417,ROUND(F418*P418,-2))</f>
        <v>4700</v>
      </c>
      <c r="I418">
        <f t="shared" si="77"/>
        <v>0</v>
      </c>
      <c r="J418">
        <f t="shared" si="78"/>
        <v>0</v>
      </c>
      <c r="K418">
        <f t="shared" si="79"/>
        <v>-9275.7146439580683</v>
      </c>
      <c r="L418">
        <f t="shared" si="80"/>
        <v>880.98535604193239</v>
      </c>
      <c r="M418">
        <f t="shared" si="81"/>
        <v>9.4000000000014552</v>
      </c>
      <c r="N418">
        <f t="shared" si="83"/>
        <v>880.98535604193239</v>
      </c>
      <c r="O418" s="5">
        <f t="shared" si="74"/>
        <v>0.12072199205818346</v>
      </c>
      <c r="P418">
        <f t="shared" si="82"/>
        <v>10000</v>
      </c>
      <c r="Q418">
        <f t="shared" si="75"/>
        <v>1207.2199205818347</v>
      </c>
    </row>
    <row r="419" spans="1:17" x14ac:dyDescent="0.15">
      <c r="A419" s="10">
        <v>45877.559027777985</v>
      </c>
      <c r="B419">
        <f>COUNT(A419:$A$1158)/(48*252)</f>
        <v>6.1177248677248677E-2</v>
      </c>
      <c r="C419">
        <v>2.165</v>
      </c>
      <c r="D419">
        <v>3.7999999999999999E-2</v>
      </c>
      <c r="E419">
        <f t="shared" si="72"/>
        <v>-6.1822392768331874E-2</v>
      </c>
      <c r="F419">
        <f t="shared" si="73"/>
        <v>0.4753521353719149</v>
      </c>
      <c r="G419">
        <f t="shared" si="76"/>
        <v>4.0000000000000036E-3</v>
      </c>
      <c r="H419">
        <f>IF(MOD(COUNTA($C$7:C419)-1,$J$2),H418,ROUND(F419*P419,-2))</f>
        <v>4700</v>
      </c>
      <c r="I419">
        <f t="shared" si="77"/>
        <v>0</v>
      </c>
      <c r="J419">
        <f t="shared" si="78"/>
        <v>0</v>
      </c>
      <c r="K419">
        <f t="shared" si="79"/>
        <v>-9275.7146439580683</v>
      </c>
      <c r="L419">
        <f t="shared" si="80"/>
        <v>899.78535604193166</v>
      </c>
      <c r="M419">
        <f t="shared" si="81"/>
        <v>18.799999999999272</v>
      </c>
      <c r="N419">
        <f t="shared" si="83"/>
        <v>899.78535604193166</v>
      </c>
      <c r="O419" s="5">
        <f t="shared" si="74"/>
        <v>0.11854571197504815</v>
      </c>
      <c r="P419">
        <f t="shared" si="82"/>
        <v>10000</v>
      </c>
      <c r="Q419">
        <f t="shared" si="75"/>
        <v>1185.4571197504815</v>
      </c>
    </row>
    <row r="420" spans="1:17" x14ac:dyDescent="0.15">
      <c r="A420" s="10">
        <v>45877.5625</v>
      </c>
      <c r="B420">
        <f>COUNT(A420:$A$1158)/(48*252)</f>
        <v>6.1094576719576722E-2</v>
      </c>
      <c r="C420">
        <v>2.1619999999999999</v>
      </c>
      <c r="D420">
        <v>3.9E-2</v>
      </c>
      <c r="E420">
        <f t="shared" si="72"/>
        <v>-7.3754809958142611E-2</v>
      </c>
      <c r="F420">
        <f t="shared" si="73"/>
        <v>0.47060274273378422</v>
      </c>
      <c r="G420">
        <f t="shared" si="76"/>
        <v>-3.0000000000001137E-3</v>
      </c>
      <c r="H420">
        <f>IF(MOD(COUNTA($C$7:C420)-1,$J$2),H419,ROUND(F420*P420,-2))</f>
        <v>4700</v>
      </c>
      <c r="I420">
        <f t="shared" si="77"/>
        <v>0</v>
      </c>
      <c r="J420">
        <f t="shared" si="78"/>
        <v>0</v>
      </c>
      <c r="K420">
        <f t="shared" si="79"/>
        <v>-9275.7146439580683</v>
      </c>
      <c r="L420">
        <f t="shared" si="80"/>
        <v>885.6853560419313</v>
      </c>
      <c r="M420">
        <f t="shared" si="81"/>
        <v>-14.100000000000364</v>
      </c>
      <c r="N420">
        <f t="shared" si="83"/>
        <v>885.6853560419313</v>
      </c>
      <c r="O420" s="5">
        <f t="shared" si="74"/>
        <v>0.12006139997798493</v>
      </c>
      <c r="P420">
        <f t="shared" si="82"/>
        <v>10000</v>
      </c>
      <c r="Q420">
        <f t="shared" si="75"/>
        <v>1200.6139997798493</v>
      </c>
    </row>
    <row r="421" spans="1:17" x14ac:dyDescent="0.15">
      <c r="A421" s="10">
        <v>45877.565972222015</v>
      </c>
      <c r="B421">
        <f>COUNT(A421:$A$1158)/(48*252)</f>
        <v>6.101190476190476E-2</v>
      </c>
      <c r="C421">
        <v>2.1629999999999998</v>
      </c>
      <c r="D421">
        <v>3.7999999999999999E-2</v>
      </c>
      <c r="E421">
        <f t="shared" si="72"/>
        <v>-6.9971033801262683E-2</v>
      </c>
      <c r="F421">
        <f t="shared" si="73"/>
        <v>0.47210835739538526</v>
      </c>
      <c r="G421">
        <f t="shared" si="76"/>
        <v>9.9999999999988987E-4</v>
      </c>
      <c r="H421">
        <f>IF(MOD(COUNTA($C$7:C421)-1,$J$2),H420,ROUND(F421*P421,-2))</f>
        <v>4700</v>
      </c>
      <c r="I421">
        <f t="shared" si="77"/>
        <v>0</v>
      </c>
      <c r="J421">
        <f t="shared" si="78"/>
        <v>0</v>
      </c>
      <c r="K421">
        <f t="shared" si="79"/>
        <v>-9275.7146439580683</v>
      </c>
      <c r="L421">
        <f t="shared" si="80"/>
        <v>890.38535604193021</v>
      </c>
      <c r="M421">
        <f t="shared" si="81"/>
        <v>4.6999999999989086</v>
      </c>
      <c r="N421">
        <f t="shared" si="83"/>
        <v>890.38535604193021</v>
      </c>
      <c r="O421" s="5">
        <f t="shared" si="74"/>
        <v>0.11946739097943637</v>
      </c>
      <c r="P421">
        <f t="shared" si="82"/>
        <v>10000</v>
      </c>
      <c r="Q421">
        <f t="shared" si="75"/>
        <v>1194.6739097943637</v>
      </c>
    </row>
    <row r="422" spans="1:17" x14ac:dyDescent="0.15">
      <c r="A422" s="10">
        <v>45877.569444444962</v>
      </c>
      <c r="B422">
        <f>COUNT(A422:$A$1158)/(48*252)</f>
        <v>6.0929232804232805E-2</v>
      </c>
      <c r="C422">
        <v>2.16</v>
      </c>
      <c r="D422">
        <v>3.9E-2</v>
      </c>
      <c r="E422">
        <f t="shared" si="72"/>
        <v>-8.1936137490220204E-2</v>
      </c>
      <c r="F422">
        <f t="shared" si="73"/>
        <v>0.46734874873896104</v>
      </c>
      <c r="G422">
        <f t="shared" si="76"/>
        <v>-2.9999999999996696E-3</v>
      </c>
      <c r="H422">
        <f>IF(MOD(COUNTA($C$7:C422)-1,$J$2),H421,ROUND(F422*P422,-2))</f>
        <v>4700</v>
      </c>
      <c r="I422">
        <f t="shared" si="77"/>
        <v>0</v>
      </c>
      <c r="J422">
        <f t="shared" si="78"/>
        <v>0</v>
      </c>
      <c r="K422">
        <f t="shared" si="79"/>
        <v>-9275.7146439580683</v>
      </c>
      <c r="L422">
        <f t="shared" si="80"/>
        <v>876.28535604193166</v>
      </c>
      <c r="M422">
        <f t="shared" si="81"/>
        <v>-14.099999999998545</v>
      </c>
      <c r="N422">
        <f t="shared" si="83"/>
        <v>876.28535604193166</v>
      </c>
      <c r="O422" s="5">
        <f t="shared" si="74"/>
        <v>0.12099285364332557</v>
      </c>
      <c r="P422">
        <f t="shared" si="82"/>
        <v>10000</v>
      </c>
      <c r="Q422">
        <f t="shared" si="75"/>
        <v>1209.9285364332557</v>
      </c>
    </row>
    <row r="423" spans="1:17" x14ac:dyDescent="0.15">
      <c r="A423" s="10">
        <v>45877.572916666977</v>
      </c>
      <c r="B423">
        <f>COUNT(A423:$A$1158)/(48*252)</f>
        <v>6.0846560846560843E-2</v>
      </c>
      <c r="C423">
        <v>2.161</v>
      </c>
      <c r="D423">
        <v>3.7999999999999999E-2</v>
      </c>
      <c r="E423">
        <f t="shared" si="72"/>
        <v>-7.8149200651039433E-2</v>
      </c>
      <c r="F423">
        <f t="shared" si="73"/>
        <v>0.46885468518669227</v>
      </c>
      <c r="G423">
        <f t="shared" si="76"/>
        <v>9.9999999999988987E-4</v>
      </c>
      <c r="H423">
        <f>IF(MOD(COUNTA($C$7:C423)-1,$J$2),H422,ROUND(F423*P423,-2))</f>
        <v>4700</v>
      </c>
      <c r="I423">
        <f t="shared" si="77"/>
        <v>0</v>
      </c>
      <c r="J423">
        <f t="shared" si="78"/>
        <v>0</v>
      </c>
      <c r="K423">
        <f t="shared" si="79"/>
        <v>-9275.7146439580683</v>
      </c>
      <c r="L423">
        <f t="shared" si="80"/>
        <v>880.98535604193239</v>
      </c>
      <c r="M423">
        <f t="shared" si="81"/>
        <v>4.7000000000007276</v>
      </c>
      <c r="N423">
        <f t="shared" si="83"/>
        <v>880.98535604193239</v>
      </c>
      <c r="O423" s="5">
        <f t="shared" si="74"/>
        <v>0.120395620982648</v>
      </c>
      <c r="P423">
        <f t="shared" si="82"/>
        <v>10000</v>
      </c>
      <c r="Q423">
        <f t="shared" si="75"/>
        <v>1203.9562098264801</v>
      </c>
    </row>
    <row r="424" spans="1:17" x14ac:dyDescent="0.15">
      <c r="A424" s="10">
        <v>45877.576388888992</v>
      </c>
      <c r="B424">
        <f>COUNT(A424:$A$1158)/(48*252)</f>
        <v>6.0763888888888888E-2</v>
      </c>
      <c r="C424">
        <v>2.1619999999999999</v>
      </c>
      <c r="D424">
        <v>3.7999999999999999E-2</v>
      </c>
      <c r="E424">
        <f t="shared" si="72"/>
        <v>-7.4358976753083172E-2</v>
      </c>
      <c r="F424">
        <f t="shared" si="73"/>
        <v>0.470362375102028</v>
      </c>
      <c r="G424">
        <f t="shared" si="76"/>
        <v>9.9999999999988987E-4</v>
      </c>
      <c r="H424">
        <f>IF(MOD(COUNTA($C$7:C424)-1,$J$2),H423,ROUND(F424*P424,-2))</f>
        <v>4700</v>
      </c>
      <c r="I424">
        <f t="shared" si="77"/>
        <v>0</v>
      </c>
      <c r="J424">
        <f t="shared" si="78"/>
        <v>0</v>
      </c>
      <c r="K424">
        <f t="shared" si="79"/>
        <v>-9275.7146439580683</v>
      </c>
      <c r="L424">
        <f t="shared" si="80"/>
        <v>885.6853560419313</v>
      </c>
      <c r="M424">
        <f t="shared" si="81"/>
        <v>4.6999999999989086</v>
      </c>
      <c r="N424">
        <f t="shared" si="83"/>
        <v>885.6853560419313</v>
      </c>
      <c r="O424" s="5">
        <f t="shared" si="74"/>
        <v>0.11979978833646587</v>
      </c>
      <c r="P424">
        <f t="shared" si="82"/>
        <v>10000</v>
      </c>
      <c r="Q424">
        <f t="shared" si="75"/>
        <v>1197.9978833646587</v>
      </c>
    </row>
    <row r="425" spans="1:17" x14ac:dyDescent="0.15">
      <c r="A425" s="10">
        <v>45877.579861111008</v>
      </c>
      <c r="B425">
        <f>COUNT(A425:$A$1158)/(48*252)</f>
        <v>6.0681216931216933E-2</v>
      </c>
      <c r="C425">
        <v>2.16</v>
      </c>
      <c r="D425">
        <v>3.7999999999999999E-2</v>
      </c>
      <c r="E425">
        <f t="shared" si="72"/>
        <v>-8.240642668003198E-2</v>
      </c>
      <c r="F425">
        <f t="shared" si="73"/>
        <v>0.4671617628412314</v>
      </c>
      <c r="G425">
        <f t="shared" si="76"/>
        <v>-1.9999999999997797E-3</v>
      </c>
      <c r="H425">
        <f>IF(MOD(COUNTA($C$7:C425)-1,$J$2),H424,ROUND(F425*P425,-2))</f>
        <v>4700</v>
      </c>
      <c r="I425">
        <f t="shared" si="77"/>
        <v>0</v>
      </c>
      <c r="J425">
        <f t="shared" si="78"/>
        <v>0</v>
      </c>
      <c r="K425">
        <f t="shared" si="79"/>
        <v>-9275.7146439580683</v>
      </c>
      <c r="L425">
        <f t="shared" si="80"/>
        <v>876.28535604193166</v>
      </c>
      <c r="M425">
        <f t="shared" si="81"/>
        <v>-9.3999999999996362</v>
      </c>
      <c r="N425">
        <f t="shared" si="83"/>
        <v>876.28535604193166</v>
      </c>
      <c r="O425" s="5">
        <f t="shared" si="74"/>
        <v>0.1207968072987935</v>
      </c>
      <c r="P425">
        <f t="shared" si="82"/>
        <v>10000</v>
      </c>
      <c r="Q425">
        <f t="shared" si="75"/>
        <v>1207.9680729879349</v>
      </c>
    </row>
    <row r="426" spans="1:17" x14ac:dyDescent="0.15">
      <c r="A426" s="10">
        <v>45877.583333333023</v>
      </c>
      <c r="B426">
        <f>COUNT(A426:$A$1158)/(48*252)</f>
        <v>6.0598544973544971E-2</v>
      </c>
      <c r="C426">
        <v>2.1579999999999999</v>
      </c>
      <c r="D426">
        <v>3.6999999999999998E-2</v>
      </c>
      <c r="E426">
        <f t="shared" si="72"/>
        <v>-9.0472205488197843E-2</v>
      </c>
      <c r="F426">
        <f t="shared" si="73"/>
        <v>0.46395599008145949</v>
      </c>
      <c r="G426">
        <f t="shared" si="76"/>
        <v>-2.0000000000002238E-3</v>
      </c>
      <c r="H426">
        <f>IF(MOD(COUNTA($C$7:C426)-1,$J$2),H425,ROUND(F426*P426,-2))</f>
        <v>4700</v>
      </c>
      <c r="I426">
        <f t="shared" si="77"/>
        <v>0</v>
      </c>
      <c r="J426">
        <f t="shared" si="78"/>
        <v>0</v>
      </c>
      <c r="K426">
        <f t="shared" si="79"/>
        <v>-9275.7146439580683</v>
      </c>
      <c r="L426">
        <f t="shared" si="80"/>
        <v>866.88535604193203</v>
      </c>
      <c r="M426">
        <f t="shared" si="81"/>
        <v>-9.3999999999996362</v>
      </c>
      <c r="N426">
        <f t="shared" si="83"/>
        <v>866.88535604193203</v>
      </c>
      <c r="O426" s="5">
        <f t="shared" si="74"/>
        <v>0.12180031198492025</v>
      </c>
      <c r="P426">
        <f t="shared" si="82"/>
        <v>10000</v>
      </c>
      <c r="Q426">
        <f t="shared" si="75"/>
        <v>1218.0031198492024</v>
      </c>
    </row>
    <row r="427" spans="1:17" x14ac:dyDescent="0.15">
      <c r="A427" s="10">
        <v>45877.586805555969</v>
      </c>
      <c r="B427">
        <f>COUNT(A427:$A$1158)/(48*252)</f>
        <v>6.0515873015873016E-2</v>
      </c>
      <c r="C427">
        <v>2.1589999999999998</v>
      </c>
      <c r="D427">
        <v>3.6999999999999998E-2</v>
      </c>
      <c r="E427">
        <f t="shared" si="72"/>
        <v>-8.6677252869142976E-2</v>
      </c>
      <c r="F427">
        <f t="shared" si="73"/>
        <v>0.46546402896754402</v>
      </c>
      <c r="G427">
        <f t="shared" si="76"/>
        <v>9.9999999999988987E-4</v>
      </c>
      <c r="H427">
        <f>IF(MOD(COUNTA($C$7:C427)-1,$J$2),H426,ROUND(F427*P427,-2))</f>
        <v>4700</v>
      </c>
      <c r="I427">
        <f t="shared" si="77"/>
        <v>0</v>
      </c>
      <c r="J427">
        <f t="shared" si="78"/>
        <v>0</v>
      </c>
      <c r="K427">
        <f t="shared" si="79"/>
        <v>-9275.7146439580683</v>
      </c>
      <c r="L427">
        <f t="shared" si="80"/>
        <v>871.58535604193094</v>
      </c>
      <c r="M427">
        <f t="shared" si="81"/>
        <v>4.6999999999989086</v>
      </c>
      <c r="N427">
        <f t="shared" si="83"/>
        <v>871.58535604193094</v>
      </c>
      <c r="O427" s="5">
        <f t="shared" si="74"/>
        <v>0.12119963129946476</v>
      </c>
      <c r="P427">
        <f t="shared" si="82"/>
        <v>10000</v>
      </c>
      <c r="Q427">
        <f t="shared" si="75"/>
        <v>1211.9963129946475</v>
      </c>
    </row>
    <row r="428" spans="1:17" x14ac:dyDescent="0.15">
      <c r="A428" s="10">
        <v>45877.590277777985</v>
      </c>
      <c r="B428">
        <f>COUNT(A428:$A$1158)/(48*252)</f>
        <v>6.0433201058201061E-2</v>
      </c>
      <c r="C428">
        <v>2.1619999999999999</v>
      </c>
      <c r="D428">
        <v>3.7999999999999999E-2</v>
      </c>
      <c r="E428">
        <f t="shared" si="72"/>
        <v>-7.4966992613614336E-2</v>
      </c>
      <c r="F428">
        <f t="shared" si="73"/>
        <v>0.47012048702226472</v>
      </c>
      <c r="G428">
        <f t="shared" si="76"/>
        <v>3.0000000000001137E-3</v>
      </c>
      <c r="H428">
        <f>IF(MOD(COUNTA($C$7:C428)-1,$J$2),H427,ROUND(F428*P428,-2))</f>
        <v>4700</v>
      </c>
      <c r="I428">
        <f t="shared" si="77"/>
        <v>0</v>
      </c>
      <c r="J428">
        <f t="shared" si="78"/>
        <v>0</v>
      </c>
      <c r="K428">
        <f t="shared" si="79"/>
        <v>-9275.7146439580683</v>
      </c>
      <c r="L428">
        <f t="shared" si="80"/>
        <v>885.6853560419313</v>
      </c>
      <c r="M428">
        <f t="shared" si="81"/>
        <v>14.100000000000364</v>
      </c>
      <c r="N428">
        <f t="shared" si="83"/>
        <v>885.6853560419313</v>
      </c>
      <c r="O428" s="5">
        <f t="shared" si="74"/>
        <v>0.11953744462645655</v>
      </c>
      <c r="P428">
        <f t="shared" si="82"/>
        <v>10000</v>
      </c>
      <c r="Q428">
        <f t="shared" si="75"/>
        <v>1195.3744462645654</v>
      </c>
    </row>
    <row r="429" spans="1:17" x14ac:dyDescent="0.15">
      <c r="A429" s="10">
        <v>45877.59375</v>
      </c>
      <c r="B429">
        <f>COUNT(A429:$A$1158)/(48*252)</f>
        <v>6.0350529100529099E-2</v>
      </c>
      <c r="C429">
        <v>2.16</v>
      </c>
      <c r="D429">
        <v>3.7999999999999999E-2</v>
      </c>
      <c r="E429">
        <f t="shared" si="72"/>
        <v>-8.3037015358668656E-2</v>
      </c>
      <c r="F429">
        <f t="shared" si="73"/>
        <v>0.46691105361599311</v>
      </c>
      <c r="G429">
        <f t="shared" si="76"/>
        <v>-1.9999999999997797E-3</v>
      </c>
      <c r="H429">
        <f>IF(MOD(COUNTA($C$7:C429)-1,$J$2),H428,ROUND(F429*P429,-2))</f>
        <v>4700</v>
      </c>
      <c r="I429">
        <f t="shared" si="77"/>
        <v>0</v>
      </c>
      <c r="J429">
        <f t="shared" si="78"/>
        <v>0</v>
      </c>
      <c r="K429">
        <f t="shared" si="79"/>
        <v>-9275.7146439580683</v>
      </c>
      <c r="L429">
        <f t="shared" si="80"/>
        <v>876.28535604193166</v>
      </c>
      <c r="M429">
        <f t="shared" si="81"/>
        <v>-9.3999999999996362</v>
      </c>
      <c r="N429">
        <f t="shared" si="83"/>
        <v>876.28535604193166</v>
      </c>
      <c r="O429" s="5">
        <f t="shared" si="74"/>
        <v>0.12053477264171364</v>
      </c>
      <c r="P429">
        <f t="shared" si="82"/>
        <v>10000</v>
      </c>
      <c r="Q429">
        <f t="shared" si="75"/>
        <v>1205.3477264171363</v>
      </c>
    </row>
    <row r="430" spans="1:17" x14ac:dyDescent="0.15">
      <c r="A430" s="10">
        <v>45877.597222222015</v>
      </c>
      <c r="B430">
        <f>COUNT(A430:$A$1158)/(48*252)</f>
        <v>6.0267857142857144E-2</v>
      </c>
      <c r="C430">
        <v>2.16</v>
      </c>
      <c r="D430">
        <v>3.6999999999999998E-2</v>
      </c>
      <c r="E430">
        <f t="shared" si="72"/>
        <v>-8.31952994880375E-2</v>
      </c>
      <c r="F430">
        <f t="shared" si="73"/>
        <v>0.46684812512468421</v>
      </c>
      <c r="G430">
        <f t="shared" si="76"/>
        <v>0</v>
      </c>
      <c r="H430">
        <f>IF(MOD(COUNTA($C$7:C430)-1,$J$2),H429,ROUND(F430*P430,-2))</f>
        <v>4700</v>
      </c>
      <c r="I430">
        <f t="shared" si="77"/>
        <v>0</v>
      </c>
      <c r="J430">
        <f t="shared" si="78"/>
        <v>0</v>
      </c>
      <c r="K430">
        <f t="shared" si="79"/>
        <v>-9275.7146439580683</v>
      </c>
      <c r="L430">
        <f t="shared" si="80"/>
        <v>876.28535604193166</v>
      </c>
      <c r="M430">
        <f t="shared" si="81"/>
        <v>0</v>
      </c>
      <c r="N430">
        <f t="shared" si="83"/>
        <v>876.28535604193166</v>
      </c>
      <c r="O430" s="5">
        <f t="shared" si="74"/>
        <v>0.12046914916763973</v>
      </c>
      <c r="P430">
        <f t="shared" si="82"/>
        <v>10000</v>
      </c>
      <c r="Q430">
        <f t="shared" si="75"/>
        <v>1204.6914916763974</v>
      </c>
    </row>
    <row r="431" spans="1:17" x14ac:dyDescent="0.15">
      <c r="A431" s="10">
        <v>45877.600694444962</v>
      </c>
      <c r="B431">
        <f>COUNT(A431:$A$1158)/(48*252)</f>
        <v>6.0185185185185182E-2</v>
      </c>
      <c r="C431">
        <v>2.157</v>
      </c>
      <c r="D431">
        <v>3.6999999999999998E-2</v>
      </c>
      <c r="E431">
        <f t="shared" si="72"/>
        <v>-9.5260034535192703E-2</v>
      </c>
      <c r="F431">
        <f t="shared" si="73"/>
        <v>0.46205414303369913</v>
      </c>
      <c r="G431">
        <f t="shared" si="76"/>
        <v>-3.0000000000001137E-3</v>
      </c>
      <c r="H431">
        <f>IF(MOD(COUNTA($C$7:C431)-1,$J$2),H430,ROUND(F431*P431,-2))</f>
        <v>4700</v>
      </c>
      <c r="I431">
        <f t="shared" si="77"/>
        <v>0</v>
      </c>
      <c r="J431">
        <f t="shared" si="78"/>
        <v>0</v>
      </c>
      <c r="K431">
        <f t="shared" si="79"/>
        <v>-9275.7146439580683</v>
      </c>
      <c r="L431">
        <f t="shared" si="80"/>
        <v>862.1853560419313</v>
      </c>
      <c r="M431">
        <f t="shared" si="81"/>
        <v>-14.100000000000364</v>
      </c>
      <c r="N431">
        <f t="shared" si="83"/>
        <v>862.1853560419313</v>
      </c>
      <c r="O431" s="5">
        <f t="shared" si="74"/>
        <v>0.12201022034187359</v>
      </c>
      <c r="P431">
        <f t="shared" si="82"/>
        <v>10000</v>
      </c>
      <c r="Q431">
        <f t="shared" si="75"/>
        <v>1220.1022034187358</v>
      </c>
    </row>
    <row r="432" spans="1:17" x14ac:dyDescent="0.15">
      <c r="A432" s="10">
        <v>45877.604166666977</v>
      </c>
      <c r="B432">
        <f>COUNT(A432:$A$1158)/(48*252)</f>
        <v>6.0102513227513227E-2</v>
      </c>
      <c r="C432">
        <v>2.1539999999999999</v>
      </c>
      <c r="D432">
        <v>3.5000000000000003E-2</v>
      </c>
      <c r="E432">
        <f t="shared" si="72"/>
        <v>-0.10735798068681676</v>
      </c>
      <c r="F432">
        <f t="shared" si="73"/>
        <v>0.4572524941699726</v>
      </c>
      <c r="G432">
        <f t="shared" si="76"/>
        <v>-3.0000000000001137E-3</v>
      </c>
      <c r="H432">
        <f>IF(MOD(COUNTA($C$7:C432)-1,$J$2),H431,ROUND(F432*P432,-2))</f>
        <v>4700</v>
      </c>
      <c r="I432">
        <f t="shared" si="77"/>
        <v>0</v>
      </c>
      <c r="J432">
        <f t="shared" si="78"/>
        <v>0</v>
      </c>
      <c r="K432">
        <f t="shared" si="79"/>
        <v>-9275.7146439580683</v>
      </c>
      <c r="L432">
        <f t="shared" si="80"/>
        <v>848.08535604193094</v>
      </c>
      <c r="M432">
        <f t="shared" si="81"/>
        <v>-14.100000000000364</v>
      </c>
      <c r="N432">
        <f t="shared" si="83"/>
        <v>848.08535604193094</v>
      </c>
      <c r="O432" s="5">
        <f t="shared" si="74"/>
        <v>0.12356583803240362</v>
      </c>
      <c r="P432">
        <f t="shared" si="82"/>
        <v>10000</v>
      </c>
      <c r="Q432">
        <f t="shared" si="75"/>
        <v>1235.6583803240362</v>
      </c>
    </row>
    <row r="433" spans="1:17" x14ac:dyDescent="0.15">
      <c r="A433" s="10">
        <v>45877.607638888992</v>
      </c>
      <c r="B433">
        <f>COUNT(A433:$A$1158)/(48*252)</f>
        <v>6.0019841269841272E-2</v>
      </c>
      <c r="C433">
        <v>2.157</v>
      </c>
      <c r="D433">
        <v>3.5999999999999997E-2</v>
      </c>
      <c r="E433">
        <f t="shared" si="72"/>
        <v>-9.5594276758897381E-2</v>
      </c>
      <c r="F433">
        <f t="shared" si="73"/>
        <v>0.46192140543437971</v>
      </c>
      <c r="G433">
        <f t="shared" si="76"/>
        <v>3.0000000000001137E-3</v>
      </c>
      <c r="H433">
        <f>IF(MOD(COUNTA($C$7:C433)-1,$J$2),H432,ROUND(F433*P433,-2))</f>
        <v>4600</v>
      </c>
      <c r="I433">
        <f t="shared" si="77"/>
        <v>-100</v>
      </c>
      <c r="J433">
        <f t="shared" si="78"/>
        <v>0</v>
      </c>
      <c r="K433">
        <f t="shared" si="79"/>
        <v>-9060.0243504580685</v>
      </c>
      <c r="L433">
        <f t="shared" si="80"/>
        <v>862.17564954193222</v>
      </c>
      <c r="M433">
        <f t="shared" si="81"/>
        <v>14.09029350000128</v>
      </c>
      <c r="N433">
        <f t="shared" si="83"/>
        <v>862.17564954193222</v>
      </c>
      <c r="O433" s="5">
        <f t="shared" si="74"/>
        <v>0.12187913114367155</v>
      </c>
      <c r="P433">
        <f t="shared" si="82"/>
        <v>10000</v>
      </c>
      <c r="Q433">
        <f t="shared" si="75"/>
        <v>1218.7913114367154</v>
      </c>
    </row>
    <row r="434" spans="1:17" x14ac:dyDescent="0.15">
      <c r="A434" s="10">
        <v>45877.611111111008</v>
      </c>
      <c r="B434">
        <f>COUNT(A434:$A$1158)/(48*252)</f>
        <v>5.993716931216931E-2</v>
      </c>
      <c r="C434">
        <v>2.157</v>
      </c>
      <c r="D434">
        <v>3.5999999999999997E-2</v>
      </c>
      <c r="E434">
        <f t="shared" si="72"/>
        <v>-9.5761811294436353E-2</v>
      </c>
      <c r="F434">
        <f t="shared" si="73"/>
        <v>0.46185487404653858</v>
      </c>
      <c r="G434">
        <f t="shared" si="76"/>
        <v>0</v>
      </c>
      <c r="H434">
        <f>IF(MOD(COUNTA($C$7:C434)-1,$J$2),H433,ROUND(F434*P434,-2))</f>
        <v>4600</v>
      </c>
      <c r="I434">
        <f t="shared" si="77"/>
        <v>0</v>
      </c>
      <c r="J434">
        <f t="shared" si="78"/>
        <v>0</v>
      </c>
      <c r="K434">
        <f t="shared" si="79"/>
        <v>-9060.0243504580685</v>
      </c>
      <c r="L434">
        <f t="shared" si="80"/>
        <v>862.17564954193222</v>
      </c>
      <c r="M434">
        <f t="shared" si="81"/>
        <v>0</v>
      </c>
      <c r="N434">
        <f t="shared" si="83"/>
        <v>862.17564954193222</v>
      </c>
      <c r="O434" s="5">
        <f t="shared" si="74"/>
        <v>0.12181351748581903</v>
      </c>
      <c r="P434">
        <f t="shared" si="82"/>
        <v>10000</v>
      </c>
      <c r="Q434">
        <f t="shared" si="75"/>
        <v>1218.1351748581903</v>
      </c>
    </row>
    <row r="435" spans="1:17" x14ac:dyDescent="0.15">
      <c r="A435" s="10">
        <v>45877.614583333023</v>
      </c>
      <c r="B435">
        <f>COUNT(A435:$A$1158)/(48*252)</f>
        <v>5.9854497354497355E-2</v>
      </c>
      <c r="C435">
        <v>2.1560000000000001</v>
      </c>
      <c r="D435">
        <v>3.5000000000000003E-2</v>
      </c>
      <c r="E435">
        <f t="shared" si="72"/>
        <v>-9.9912992688148558E-2</v>
      </c>
      <c r="F435">
        <f t="shared" si="73"/>
        <v>0.46020670064726837</v>
      </c>
      <c r="G435">
        <f t="shared" si="76"/>
        <v>-9.9999999999988987E-4</v>
      </c>
      <c r="H435">
        <f>IF(MOD(COUNTA($C$7:C435)-1,$J$2),H434,ROUND(F435*P435,-2))</f>
        <v>4600</v>
      </c>
      <c r="I435">
        <f t="shared" si="77"/>
        <v>0</v>
      </c>
      <c r="J435">
        <f t="shared" si="78"/>
        <v>0</v>
      </c>
      <c r="K435">
        <f t="shared" si="79"/>
        <v>-9060.0243504580685</v>
      </c>
      <c r="L435">
        <f t="shared" si="80"/>
        <v>857.57564954193185</v>
      </c>
      <c r="M435">
        <f t="shared" si="81"/>
        <v>-4.6000000000003638</v>
      </c>
      <c r="N435">
        <f t="shared" si="83"/>
        <v>857.57564954193185</v>
      </c>
      <c r="O435" s="5">
        <f t="shared" si="74"/>
        <v>0.12228686018889601</v>
      </c>
      <c r="P435">
        <f t="shared" si="82"/>
        <v>10000</v>
      </c>
      <c r="Q435">
        <f t="shared" si="75"/>
        <v>1222.86860188896</v>
      </c>
    </row>
    <row r="436" spans="1:17" x14ac:dyDescent="0.15">
      <c r="A436" s="10">
        <v>45877.618055555969</v>
      </c>
      <c r="B436">
        <f>COUNT(A436:$A$1158)/(48*252)</f>
        <v>5.97718253968254E-2</v>
      </c>
      <c r="C436">
        <v>2.1539999999999999</v>
      </c>
      <c r="D436">
        <v>3.4000000000000002E-2</v>
      </c>
      <c r="E436">
        <f t="shared" si="72"/>
        <v>-0.10806163280390953</v>
      </c>
      <c r="F436">
        <f t="shared" si="73"/>
        <v>0.45697340123479857</v>
      </c>
      <c r="G436">
        <f t="shared" si="76"/>
        <v>-2.0000000000002238E-3</v>
      </c>
      <c r="H436">
        <f>IF(MOD(COUNTA($C$7:C436)-1,$J$2),H435,ROUND(F436*P436,-2))</f>
        <v>4600</v>
      </c>
      <c r="I436">
        <f t="shared" si="77"/>
        <v>0</v>
      </c>
      <c r="J436">
        <f t="shared" si="78"/>
        <v>0</v>
      </c>
      <c r="K436">
        <f t="shared" si="79"/>
        <v>-9060.0243504580685</v>
      </c>
      <c r="L436">
        <f t="shared" si="80"/>
        <v>848.37564954193112</v>
      </c>
      <c r="M436">
        <f t="shared" si="81"/>
        <v>-9.2000000000007276</v>
      </c>
      <c r="N436">
        <f t="shared" si="83"/>
        <v>848.37564954193112</v>
      </c>
      <c r="O436" s="5">
        <f t="shared" si="74"/>
        <v>0.12330410906030664</v>
      </c>
      <c r="P436">
        <f t="shared" si="82"/>
        <v>10000</v>
      </c>
      <c r="Q436">
        <f t="shared" si="75"/>
        <v>1233.0410906030666</v>
      </c>
    </row>
    <row r="437" spans="1:17" x14ac:dyDescent="0.15">
      <c r="A437" s="10">
        <v>45877.621527777985</v>
      </c>
      <c r="B437">
        <f>COUNT(A437:$A$1158)/(48*252)</f>
        <v>5.9689153439153438E-2</v>
      </c>
      <c r="C437">
        <v>2.1520000000000001</v>
      </c>
      <c r="D437">
        <v>3.5000000000000003E-2</v>
      </c>
      <c r="E437">
        <f t="shared" si="72"/>
        <v>-0.11622901903443397</v>
      </c>
      <c r="F437">
        <f t="shared" si="73"/>
        <v>0.45373551937148748</v>
      </c>
      <c r="G437">
        <f t="shared" si="76"/>
        <v>-1.9999999999997797E-3</v>
      </c>
      <c r="H437">
        <f>IF(MOD(COUNTA($C$7:C437)-1,$J$2),H436,ROUND(F437*P437,-2))</f>
        <v>4600</v>
      </c>
      <c r="I437">
        <f t="shared" si="77"/>
        <v>0</v>
      </c>
      <c r="J437">
        <f t="shared" si="78"/>
        <v>0</v>
      </c>
      <c r="K437">
        <f t="shared" si="79"/>
        <v>-9060.0243504580685</v>
      </c>
      <c r="L437">
        <f t="shared" si="80"/>
        <v>839.17564954193222</v>
      </c>
      <c r="M437">
        <f t="shared" si="81"/>
        <v>-9.1999999999989086</v>
      </c>
      <c r="N437">
        <f t="shared" si="83"/>
        <v>839.17564954193222</v>
      </c>
      <c r="O437" s="5">
        <f t="shared" si="74"/>
        <v>0.12432792314784291</v>
      </c>
      <c r="P437">
        <f t="shared" si="82"/>
        <v>10000</v>
      </c>
      <c r="Q437">
        <f t="shared" si="75"/>
        <v>1243.2792314784292</v>
      </c>
    </row>
    <row r="438" spans="1:17" x14ac:dyDescent="0.15">
      <c r="A438" s="10">
        <v>45877.625</v>
      </c>
      <c r="B438">
        <f>COUNT(A438:$A$1158)/(48*252)</f>
        <v>5.9606481481481483E-2</v>
      </c>
      <c r="C438">
        <v>2.1469999999999998</v>
      </c>
      <c r="D438">
        <v>3.5000000000000003E-2</v>
      </c>
      <c r="E438">
        <f t="shared" si="72"/>
        <v>-0.13643475262249863</v>
      </c>
      <c r="F438">
        <f t="shared" si="73"/>
        <v>0.44573880095552554</v>
      </c>
      <c r="G438">
        <f t="shared" si="76"/>
        <v>-5.0000000000003375E-3</v>
      </c>
      <c r="H438">
        <f>IF(MOD(COUNTA($C$7:C438)-1,$J$2),H437,ROUND(F438*P438,-2))</f>
        <v>4600</v>
      </c>
      <c r="I438">
        <f t="shared" si="77"/>
        <v>0</v>
      </c>
      <c r="J438">
        <f t="shared" si="78"/>
        <v>0</v>
      </c>
      <c r="K438">
        <f t="shared" si="79"/>
        <v>-9060.0243504580685</v>
      </c>
      <c r="L438">
        <f t="shared" si="80"/>
        <v>816.1756495419304</v>
      </c>
      <c r="M438">
        <f t="shared" si="81"/>
        <v>-23.000000000001819</v>
      </c>
      <c r="N438">
        <f t="shared" si="83"/>
        <v>816.1756495419304</v>
      </c>
      <c r="O438" s="5">
        <f t="shared" si="74"/>
        <v>0.12701396815314081</v>
      </c>
      <c r="P438">
        <f t="shared" si="82"/>
        <v>10000</v>
      </c>
      <c r="Q438">
        <f t="shared" si="75"/>
        <v>1270.1396815314081</v>
      </c>
    </row>
    <row r="439" spans="1:17" x14ac:dyDescent="0.15">
      <c r="A439" s="10">
        <v>45885.399305555969</v>
      </c>
      <c r="B439">
        <f>COUNT(A439:$A$1158)/(48*252)</f>
        <v>5.9523809523809521E-2</v>
      </c>
      <c r="C439">
        <v>2.222</v>
      </c>
      <c r="D439">
        <v>6.4000000000000001E-2</v>
      </c>
      <c r="E439">
        <f>(LN(C439/$B$2)+($B$1+0.5*$D$1*$D$1)*B439)/($D$1*SQRT(B439))</f>
        <v>0.15913916474882439</v>
      </c>
      <c r="F439">
        <f t="shared" si="73"/>
        <v>0.56322038381258688</v>
      </c>
      <c r="G439">
        <f t="shared" si="76"/>
        <v>7.5000000000000178E-2</v>
      </c>
      <c r="H439">
        <f>IF(MOD(COUNTA($C$7:C439)-1,$J$2),H438,ROUND(F439*P439,-2))</f>
        <v>5600</v>
      </c>
      <c r="I439">
        <f t="shared" si="77"/>
        <v>1000</v>
      </c>
      <c r="J439">
        <f t="shared" si="78"/>
        <v>0</v>
      </c>
      <c r="K439">
        <f t="shared" si="79"/>
        <v>-11282.124340458069</v>
      </c>
      <c r="L439">
        <f t="shared" si="80"/>
        <v>1161.0756595419316</v>
      </c>
      <c r="M439">
        <f t="shared" si="81"/>
        <v>344.9000100000012</v>
      </c>
      <c r="N439">
        <f t="shared" si="83"/>
        <v>1161.0756595419316</v>
      </c>
      <c r="O439" s="5">
        <f t="shared" si="74"/>
        <v>8.9809604168734847E-2</v>
      </c>
      <c r="P439">
        <f t="shared" si="82"/>
        <v>10000</v>
      </c>
      <c r="Q439">
        <f t="shared" si="75"/>
        <v>898.09604168734847</v>
      </c>
    </row>
    <row r="440" spans="1:17" x14ac:dyDescent="0.15">
      <c r="A440" s="10">
        <v>45885.402777777985</v>
      </c>
      <c r="B440">
        <f>COUNT(A440:$A$1158)/(48*252)</f>
        <v>5.9441137566137565E-2</v>
      </c>
      <c r="C440">
        <v>2.2120000000000002</v>
      </c>
      <c r="D440">
        <v>5.8999999999999997E-2</v>
      </c>
      <c r="E440">
        <f t="shared" si="72"/>
        <v>0.12026651060742813</v>
      </c>
      <c r="F440">
        <f t="shared" si="73"/>
        <v>0.54786398390922275</v>
      </c>
      <c r="G440">
        <f t="shared" si="76"/>
        <v>-9.9999999999997868E-3</v>
      </c>
      <c r="H440">
        <f>IF(MOD(COUNTA($C$7:C440)-1,$J$2),H439,ROUND(F440*P440,-2))</f>
        <v>5600</v>
      </c>
      <c r="I440">
        <f t="shared" si="77"/>
        <v>0</v>
      </c>
      <c r="J440">
        <f t="shared" si="78"/>
        <v>0</v>
      </c>
      <c r="K440">
        <f t="shared" si="79"/>
        <v>-11282.124340458069</v>
      </c>
      <c r="L440">
        <f t="shared" si="80"/>
        <v>1105.0756595419316</v>
      </c>
      <c r="M440">
        <f t="shared" si="81"/>
        <v>-56</v>
      </c>
      <c r="N440">
        <f t="shared" si="83"/>
        <v>1105.0756595419316</v>
      </c>
      <c r="O440" s="5">
        <f t="shared" si="74"/>
        <v>9.4186078439345566E-2</v>
      </c>
      <c r="P440">
        <f t="shared" si="82"/>
        <v>10000</v>
      </c>
      <c r="Q440">
        <f t="shared" si="75"/>
        <v>941.86078439345567</v>
      </c>
    </row>
    <row r="441" spans="1:17" x14ac:dyDescent="0.15">
      <c r="A441" s="10">
        <v>45885.40625</v>
      </c>
      <c r="B441">
        <f>COUNT(A441:$A$1158)/(48*252)</f>
        <v>5.935846560846561E-2</v>
      </c>
      <c r="C441">
        <v>2.2149999999999999</v>
      </c>
      <c r="D441">
        <v>6.2E-2</v>
      </c>
      <c r="E441">
        <f t="shared" si="72"/>
        <v>0.13193903552638697</v>
      </c>
      <c r="F441">
        <f t="shared" si="73"/>
        <v>0.55248374368938546</v>
      </c>
      <c r="G441">
        <f t="shared" si="76"/>
        <v>2.9999999999996696E-3</v>
      </c>
      <c r="H441">
        <f>IF(MOD(COUNTA($C$7:C441)-1,$J$2),H440,ROUND(F441*P441,-2))</f>
        <v>5600</v>
      </c>
      <c r="I441">
        <f t="shared" si="77"/>
        <v>0</v>
      </c>
      <c r="J441">
        <f t="shared" si="78"/>
        <v>0</v>
      </c>
      <c r="K441">
        <f t="shared" si="79"/>
        <v>-11282.124340458069</v>
      </c>
      <c r="L441">
        <f t="shared" si="80"/>
        <v>1121.8756595419309</v>
      </c>
      <c r="M441">
        <f t="shared" si="81"/>
        <v>16.799999999999272</v>
      </c>
      <c r="N441">
        <f t="shared" si="83"/>
        <v>1121.8756595419309</v>
      </c>
      <c r="O441" s="5">
        <f t="shared" si="74"/>
        <v>9.2768602678379275E-2</v>
      </c>
      <c r="P441">
        <f t="shared" si="82"/>
        <v>10000</v>
      </c>
      <c r="Q441">
        <f t="shared" si="75"/>
        <v>927.68602678379273</v>
      </c>
    </row>
    <row r="442" spans="1:17" x14ac:dyDescent="0.15">
      <c r="A442" s="10">
        <v>45885.409722222015</v>
      </c>
      <c r="B442">
        <f>COUNT(A442:$A$1158)/(48*252)</f>
        <v>5.9275793650793648E-2</v>
      </c>
      <c r="C442">
        <v>2.222</v>
      </c>
      <c r="D442">
        <v>6.5000000000000002E-2</v>
      </c>
      <c r="E442">
        <f t="shared" si="72"/>
        <v>0.15916515764545122</v>
      </c>
      <c r="F442">
        <f t="shared" si="73"/>
        <v>0.56323062297740545</v>
      </c>
      <c r="G442">
        <f t="shared" si="76"/>
        <v>7.0000000000001172E-3</v>
      </c>
      <c r="H442">
        <f>IF(MOD(COUNTA($C$7:C442)-1,$J$2),H441,ROUND(F442*P442,-2))</f>
        <v>5600</v>
      </c>
      <c r="I442">
        <f t="shared" si="77"/>
        <v>0</v>
      </c>
      <c r="J442">
        <f t="shared" si="78"/>
        <v>0</v>
      </c>
      <c r="K442">
        <f t="shared" si="79"/>
        <v>-11282.124340458069</v>
      </c>
      <c r="L442">
        <f t="shared" si="80"/>
        <v>1161.0756595419316</v>
      </c>
      <c r="M442">
        <f t="shared" si="81"/>
        <v>39.200000000000728</v>
      </c>
      <c r="N442">
        <f t="shared" si="83"/>
        <v>1161.0756595419316</v>
      </c>
      <c r="O442" s="5">
        <f t="shared" si="74"/>
        <v>8.9605577259328162E-2</v>
      </c>
      <c r="P442">
        <f t="shared" si="82"/>
        <v>10000</v>
      </c>
      <c r="Q442">
        <f t="shared" si="75"/>
        <v>896.05577259328163</v>
      </c>
    </row>
    <row r="443" spans="1:17" x14ac:dyDescent="0.15">
      <c r="A443" s="10">
        <v>45885.413194444962</v>
      </c>
      <c r="B443">
        <f>COUNT(A443:$A$1158)/(48*252)</f>
        <v>5.9193121693121693E-2</v>
      </c>
      <c r="C443">
        <v>2.214</v>
      </c>
      <c r="D443">
        <v>6.2E-2</v>
      </c>
      <c r="E443">
        <f t="shared" si="72"/>
        <v>0.12801799364161243</v>
      </c>
      <c r="F443">
        <f t="shared" si="73"/>
        <v>0.55093263333008846</v>
      </c>
      <c r="G443">
        <f t="shared" si="76"/>
        <v>-8.0000000000000071E-3</v>
      </c>
      <c r="H443">
        <f>IF(MOD(COUNTA($C$7:C443)-1,$J$2),H442,ROUND(F443*P443,-2))</f>
        <v>5600</v>
      </c>
      <c r="I443">
        <f t="shared" si="77"/>
        <v>0</v>
      </c>
      <c r="J443">
        <f t="shared" si="78"/>
        <v>0</v>
      </c>
      <c r="K443">
        <f t="shared" si="79"/>
        <v>-11282.124340458069</v>
      </c>
      <c r="L443">
        <f t="shared" si="80"/>
        <v>1116.2756595419305</v>
      </c>
      <c r="M443">
        <f t="shared" si="81"/>
        <v>-44.800000000001091</v>
      </c>
      <c r="N443">
        <f t="shared" si="83"/>
        <v>1116.2756595419305</v>
      </c>
      <c r="O443" s="5">
        <f t="shared" si="74"/>
        <v>9.3080736396974784E-2</v>
      </c>
      <c r="P443">
        <f t="shared" si="82"/>
        <v>10000</v>
      </c>
      <c r="Q443">
        <f t="shared" si="75"/>
        <v>930.80736396974783</v>
      </c>
    </row>
    <row r="444" spans="1:17" x14ac:dyDescent="0.15">
      <c r="A444" s="10">
        <v>45885.416666666977</v>
      </c>
      <c r="B444">
        <f>COUNT(A444:$A$1158)/(48*252)</f>
        <v>5.9110449735449738E-2</v>
      </c>
      <c r="C444">
        <v>2.2149999999999999</v>
      </c>
      <c r="D444">
        <v>6.3E-2</v>
      </c>
      <c r="E444">
        <f t="shared" si="72"/>
        <v>0.13190852577277887</v>
      </c>
      <c r="F444">
        <f t="shared" si="73"/>
        <v>0.55247167751602344</v>
      </c>
      <c r="G444">
        <f t="shared" si="76"/>
        <v>9.9999999999988987E-4</v>
      </c>
      <c r="H444">
        <f>IF(MOD(COUNTA($C$7:C444)-1,$J$2),H443,ROUND(F444*P444,-2))</f>
        <v>5600</v>
      </c>
      <c r="I444">
        <f t="shared" si="77"/>
        <v>0</v>
      </c>
      <c r="J444">
        <f t="shared" si="78"/>
        <v>0</v>
      </c>
      <c r="K444">
        <f t="shared" si="79"/>
        <v>-11282.124340458069</v>
      </c>
      <c r="L444">
        <f t="shared" si="80"/>
        <v>1121.8756595419309</v>
      </c>
      <c r="M444">
        <f t="shared" si="81"/>
        <v>5.6000000000003638</v>
      </c>
      <c r="N444">
        <f t="shared" si="83"/>
        <v>1121.8756595419309</v>
      </c>
      <c r="O444" s="5">
        <f t="shared" si="74"/>
        <v>9.2564285183249884E-2</v>
      </c>
      <c r="P444">
        <f t="shared" si="82"/>
        <v>10000</v>
      </c>
      <c r="Q444">
        <f t="shared" si="75"/>
        <v>925.64285183249888</v>
      </c>
    </row>
    <row r="445" spans="1:17" x14ac:dyDescent="0.15">
      <c r="A445" s="10">
        <v>45885.420138888992</v>
      </c>
      <c r="B445">
        <f>COUNT(A445:$A$1158)/(48*252)</f>
        <v>5.9027777777777776E-2</v>
      </c>
      <c r="C445">
        <v>2.2120000000000002</v>
      </c>
      <c r="D445">
        <v>6.2E-2</v>
      </c>
      <c r="E445">
        <f t="shared" si="72"/>
        <v>0.12017482698745545</v>
      </c>
      <c r="F445">
        <f t="shared" si="73"/>
        <v>0.54782767080409578</v>
      </c>
      <c r="G445">
        <f t="shared" si="76"/>
        <v>-2.9999999999996696E-3</v>
      </c>
      <c r="H445">
        <f>IF(MOD(COUNTA($C$7:C445)-1,$J$2),H444,ROUND(F445*P445,-2))</f>
        <v>5500</v>
      </c>
      <c r="I445">
        <f t="shared" si="77"/>
        <v>-100</v>
      </c>
      <c r="J445">
        <f t="shared" si="78"/>
        <v>0</v>
      </c>
      <c r="K445">
        <f t="shared" si="79"/>
        <v>-11060.934294458068</v>
      </c>
      <c r="L445">
        <f t="shared" si="80"/>
        <v>1105.0657055419342</v>
      </c>
      <c r="M445">
        <f t="shared" si="81"/>
        <v>-16.809953999996651</v>
      </c>
      <c r="N445">
        <f t="shared" si="83"/>
        <v>1105.0657055419342</v>
      </c>
      <c r="O445" s="5">
        <f t="shared" si="74"/>
        <v>9.3845633554595853E-2</v>
      </c>
      <c r="P445">
        <f t="shared" si="82"/>
        <v>10000</v>
      </c>
      <c r="Q445">
        <f t="shared" si="75"/>
        <v>938.4563355459585</v>
      </c>
    </row>
    <row r="446" spans="1:17" x14ac:dyDescent="0.15">
      <c r="A446" s="10">
        <v>45885.423611111008</v>
      </c>
      <c r="B446">
        <f>COUNT(A446:$A$1158)/(48*252)</f>
        <v>5.8945105820105821E-2</v>
      </c>
      <c r="C446">
        <v>2.2149999999999999</v>
      </c>
      <c r="D446">
        <v>6.2E-2</v>
      </c>
      <c r="E446">
        <f t="shared" si="72"/>
        <v>0.13188843750190007</v>
      </c>
      <c r="F446">
        <f t="shared" si="73"/>
        <v>0.55246373286425754</v>
      </c>
      <c r="G446">
        <f t="shared" si="76"/>
        <v>2.9999999999996696E-3</v>
      </c>
      <c r="H446">
        <f>IF(MOD(COUNTA($C$7:C446)-1,$J$2),H445,ROUND(F446*P446,-2))</f>
        <v>5500</v>
      </c>
      <c r="I446">
        <f t="shared" si="77"/>
        <v>0</v>
      </c>
      <c r="J446">
        <f t="shared" si="78"/>
        <v>0</v>
      </c>
      <c r="K446">
        <f t="shared" si="79"/>
        <v>-11060.934294458068</v>
      </c>
      <c r="L446">
        <f t="shared" si="80"/>
        <v>1121.5657055419324</v>
      </c>
      <c r="M446">
        <f t="shared" si="81"/>
        <v>16.499999999998181</v>
      </c>
      <c r="N446">
        <f t="shared" si="83"/>
        <v>1121.5657055419324</v>
      </c>
      <c r="O446" s="5">
        <f t="shared" si="74"/>
        <v>9.2427824692351668E-2</v>
      </c>
      <c r="P446">
        <f t="shared" si="82"/>
        <v>10000</v>
      </c>
      <c r="Q446">
        <f t="shared" si="75"/>
        <v>924.27824692351669</v>
      </c>
    </row>
    <row r="447" spans="1:17" x14ac:dyDescent="0.15">
      <c r="A447" s="10">
        <v>45885.427083333023</v>
      </c>
      <c r="B447">
        <f>COUNT(A447:$A$1158)/(48*252)</f>
        <v>5.8862433862433859E-2</v>
      </c>
      <c r="C447">
        <v>2.2189999999999999</v>
      </c>
      <c r="D447">
        <v>6.4000000000000001E-2</v>
      </c>
      <c r="E447">
        <f t="shared" si="72"/>
        <v>0.14750720387085856</v>
      </c>
      <c r="F447">
        <f t="shared" si="73"/>
        <v>0.55863415296887675</v>
      </c>
      <c r="G447">
        <f t="shared" si="76"/>
        <v>4.0000000000000036E-3</v>
      </c>
      <c r="H447">
        <f>IF(MOD(COUNTA($C$7:C447)-1,$J$2),H446,ROUND(F447*P447,-2))</f>
        <v>5500</v>
      </c>
      <c r="I447">
        <f t="shared" si="77"/>
        <v>0</v>
      </c>
      <c r="J447">
        <f t="shared" si="78"/>
        <v>0</v>
      </c>
      <c r="K447">
        <f t="shared" si="79"/>
        <v>-11060.934294458068</v>
      </c>
      <c r="L447">
        <f t="shared" si="80"/>
        <v>1143.5657055419324</v>
      </c>
      <c r="M447">
        <f t="shared" si="81"/>
        <v>22</v>
      </c>
      <c r="N447">
        <f t="shared" si="83"/>
        <v>1143.5657055419324</v>
      </c>
      <c r="O447" s="5">
        <f t="shared" si="74"/>
        <v>9.058171558043604E-2</v>
      </c>
      <c r="P447">
        <f t="shared" si="82"/>
        <v>10000</v>
      </c>
      <c r="Q447">
        <f t="shared" si="75"/>
        <v>905.81715580436037</v>
      </c>
    </row>
    <row r="448" spans="1:17" x14ac:dyDescent="0.15">
      <c r="A448" s="10">
        <v>45885.430555555969</v>
      </c>
      <c r="B448">
        <f>COUNT(A448:$A$1158)/(48*252)</f>
        <v>5.8779761904761904E-2</v>
      </c>
      <c r="C448">
        <v>2.218</v>
      </c>
      <c r="D448">
        <v>6.5000000000000002E-2</v>
      </c>
      <c r="E448">
        <f t="shared" si="72"/>
        <v>0.14360098810055238</v>
      </c>
      <c r="F448">
        <f t="shared" si="73"/>
        <v>0.5570922198230186</v>
      </c>
      <c r="G448">
        <f t="shared" si="76"/>
        <v>-9.9999999999988987E-4</v>
      </c>
      <c r="H448">
        <f>IF(MOD(COUNTA($C$7:C448)-1,$J$2),H447,ROUND(F448*P448,-2))</f>
        <v>5500</v>
      </c>
      <c r="I448">
        <f t="shared" si="77"/>
        <v>0</v>
      </c>
      <c r="J448">
        <f t="shared" si="78"/>
        <v>0</v>
      </c>
      <c r="K448">
        <f t="shared" si="79"/>
        <v>-11060.934294458068</v>
      </c>
      <c r="L448">
        <f t="shared" si="80"/>
        <v>1138.0657055419324</v>
      </c>
      <c r="M448">
        <f t="shared" si="81"/>
        <v>-5.5</v>
      </c>
      <c r="N448">
        <f t="shared" si="83"/>
        <v>1138.0657055419324</v>
      </c>
      <c r="O448" s="5">
        <f t="shared" si="74"/>
        <v>9.0955489742122531E-2</v>
      </c>
      <c r="P448">
        <f t="shared" si="82"/>
        <v>10000</v>
      </c>
      <c r="Q448">
        <f t="shared" si="75"/>
        <v>909.55489742122529</v>
      </c>
    </row>
    <row r="449" spans="1:17" x14ac:dyDescent="0.15">
      <c r="A449" s="10">
        <v>45885.434027777985</v>
      </c>
      <c r="B449">
        <f>COUNT(A449:$A$1158)/(48*252)</f>
        <v>5.8697089947089949E-2</v>
      </c>
      <c r="C449">
        <v>2.2170000000000001</v>
      </c>
      <c r="D449">
        <v>6.5000000000000002E-2</v>
      </c>
      <c r="E449">
        <f t="shared" si="72"/>
        <v>0.13968758228992856</v>
      </c>
      <c r="F449">
        <f t="shared" si="73"/>
        <v>0.55554658094851672</v>
      </c>
      <c r="G449">
        <f t="shared" si="76"/>
        <v>-9.9999999999988987E-4</v>
      </c>
      <c r="H449">
        <f>IF(MOD(COUNTA($C$7:C449)-1,$J$2),H448,ROUND(F449*P449,-2))</f>
        <v>5500</v>
      </c>
      <c r="I449">
        <f t="shared" si="77"/>
        <v>0</v>
      </c>
      <c r="J449">
        <f t="shared" si="78"/>
        <v>0</v>
      </c>
      <c r="K449">
        <f t="shared" si="79"/>
        <v>-11060.934294458068</v>
      </c>
      <c r="L449">
        <f t="shared" si="80"/>
        <v>1132.5657055419324</v>
      </c>
      <c r="M449">
        <f t="shared" si="81"/>
        <v>-5.5</v>
      </c>
      <c r="N449">
        <f t="shared" si="83"/>
        <v>1132.5657055419324</v>
      </c>
      <c r="O449" s="5">
        <f t="shared" si="74"/>
        <v>9.1330758191962125E-2</v>
      </c>
      <c r="P449">
        <f t="shared" si="82"/>
        <v>10000</v>
      </c>
      <c r="Q449">
        <f t="shared" si="75"/>
        <v>913.30758191962127</v>
      </c>
    </row>
    <row r="450" spans="1:17" x14ac:dyDescent="0.15">
      <c r="A450" s="10">
        <v>45885.4375</v>
      </c>
      <c r="B450">
        <f>COUNT(A450:$A$1158)/(48*252)</f>
        <v>5.8614417989417987E-2</v>
      </c>
      <c r="C450">
        <v>2.2189999999999999</v>
      </c>
      <c r="D450">
        <v>6.6000000000000003E-2</v>
      </c>
      <c r="E450">
        <f t="shared" si="72"/>
        <v>0.14751063738949238</v>
      </c>
      <c r="F450">
        <f t="shared" si="73"/>
        <v>0.55863550792300776</v>
      </c>
      <c r="G450">
        <f t="shared" si="76"/>
        <v>1.9999999999997797E-3</v>
      </c>
      <c r="H450">
        <f>IF(MOD(COUNTA($C$7:C450)-1,$J$2),H449,ROUND(F450*P450,-2))</f>
        <v>5500</v>
      </c>
      <c r="I450">
        <f t="shared" si="77"/>
        <v>0</v>
      </c>
      <c r="J450">
        <f t="shared" si="78"/>
        <v>0</v>
      </c>
      <c r="K450">
        <f t="shared" si="79"/>
        <v>-11060.934294458068</v>
      </c>
      <c r="L450">
        <f t="shared" si="80"/>
        <v>1143.5657055419324</v>
      </c>
      <c r="M450">
        <f t="shared" si="81"/>
        <v>11</v>
      </c>
      <c r="N450">
        <f t="shared" si="83"/>
        <v>1143.5657055419324</v>
      </c>
      <c r="O450" s="5">
        <f t="shared" si="74"/>
        <v>9.0376478189412968E-2</v>
      </c>
      <c r="P450">
        <f t="shared" si="82"/>
        <v>10000</v>
      </c>
      <c r="Q450">
        <f t="shared" si="75"/>
        <v>903.76478189412967</v>
      </c>
    </row>
    <row r="451" spans="1:17" x14ac:dyDescent="0.15">
      <c r="A451" s="10">
        <v>45885.440972222015</v>
      </c>
      <c r="B451">
        <f>COUNT(A451:$A$1158)/(48*252)</f>
        <v>5.8531746031746032E-2</v>
      </c>
      <c r="C451">
        <v>2.2189999999999999</v>
      </c>
      <c r="D451">
        <v>6.5000000000000002E-2</v>
      </c>
      <c r="E451">
        <f t="shared" si="72"/>
        <v>0.14751193174525043</v>
      </c>
      <c r="F451">
        <f t="shared" si="73"/>
        <v>0.55863601870866431</v>
      </c>
      <c r="G451">
        <f t="shared" si="76"/>
        <v>0</v>
      </c>
      <c r="H451">
        <f>IF(MOD(COUNTA($C$7:C451)-1,$J$2),H450,ROUND(F451*P451,-2))</f>
        <v>5600</v>
      </c>
      <c r="I451">
        <f t="shared" si="77"/>
        <v>100</v>
      </c>
      <c r="J451">
        <f t="shared" si="78"/>
        <v>0</v>
      </c>
      <c r="K451">
        <f t="shared" si="79"/>
        <v>-11282.844279958068</v>
      </c>
      <c r="L451">
        <f t="shared" si="80"/>
        <v>1143.5557200419316</v>
      </c>
      <c r="M451">
        <f t="shared" si="81"/>
        <v>-9.9855000007664785E-3</v>
      </c>
      <c r="N451">
        <f t="shared" si="83"/>
        <v>1143.5557200419316</v>
      </c>
      <c r="O451" s="5">
        <f t="shared" si="74"/>
        <v>9.0307965207441332E-2</v>
      </c>
      <c r="P451">
        <f t="shared" si="82"/>
        <v>10000</v>
      </c>
      <c r="Q451">
        <f t="shared" si="75"/>
        <v>903.07965207441327</v>
      </c>
    </row>
    <row r="452" spans="1:17" x14ac:dyDescent="0.15">
      <c r="A452" s="10">
        <v>45885.444444444962</v>
      </c>
      <c r="B452">
        <f>COUNT(A452:$A$1158)/(48*252)</f>
        <v>5.8449074074074077E-2</v>
      </c>
      <c r="C452">
        <v>2.2149999999999999</v>
      </c>
      <c r="D452">
        <v>6.3E-2</v>
      </c>
      <c r="E452">
        <f t="shared" si="72"/>
        <v>0.1318294002974594</v>
      </c>
      <c r="F452">
        <f t="shared" si="73"/>
        <v>0.55244038429033382</v>
      </c>
      <c r="G452">
        <f t="shared" si="76"/>
        <v>-4.0000000000000036E-3</v>
      </c>
      <c r="H452">
        <f>IF(MOD(COUNTA($C$7:C452)-1,$J$2),H451,ROUND(F452*P452,-2))</f>
        <v>5600</v>
      </c>
      <c r="I452">
        <f t="shared" si="77"/>
        <v>0</v>
      </c>
      <c r="J452">
        <f t="shared" si="78"/>
        <v>0</v>
      </c>
      <c r="K452">
        <f t="shared" si="79"/>
        <v>-11282.844279958068</v>
      </c>
      <c r="L452">
        <f t="shared" si="80"/>
        <v>1121.155720041932</v>
      </c>
      <c r="M452">
        <f t="shared" si="81"/>
        <v>-22.399999999999636</v>
      </c>
      <c r="N452">
        <f t="shared" si="83"/>
        <v>1121.155720041932</v>
      </c>
      <c r="O452" s="5">
        <f t="shared" si="74"/>
        <v>9.2017239652292249E-2</v>
      </c>
      <c r="P452">
        <f t="shared" si="82"/>
        <v>10000</v>
      </c>
      <c r="Q452">
        <f t="shared" si="75"/>
        <v>920.17239652292244</v>
      </c>
    </row>
    <row r="453" spans="1:17" x14ac:dyDescent="0.15">
      <c r="A453" s="10">
        <v>45885.447916666977</v>
      </c>
      <c r="B453">
        <f>COUNT(A453:$A$1158)/(48*252)</f>
        <v>5.8366402116402115E-2</v>
      </c>
      <c r="C453">
        <v>2.2170000000000001</v>
      </c>
      <c r="D453">
        <v>6.4000000000000001E-2</v>
      </c>
      <c r="E453">
        <f t="shared" si="72"/>
        <v>0.13967078437306024</v>
      </c>
      <c r="F453">
        <f t="shared" si="73"/>
        <v>0.55553994460449674</v>
      </c>
      <c r="G453">
        <f t="shared" si="76"/>
        <v>2.0000000000002238E-3</v>
      </c>
      <c r="H453">
        <f>IF(MOD(COUNTA($C$7:C453)-1,$J$2),H452,ROUND(F453*P453,-2))</f>
        <v>5600</v>
      </c>
      <c r="I453">
        <f t="shared" si="77"/>
        <v>0</v>
      </c>
      <c r="J453">
        <f t="shared" si="78"/>
        <v>0</v>
      </c>
      <c r="K453">
        <f t="shared" si="79"/>
        <v>-11282.844279958068</v>
      </c>
      <c r="L453">
        <f t="shared" si="80"/>
        <v>1132.3557200419327</v>
      </c>
      <c r="M453">
        <f t="shared" si="81"/>
        <v>11.200000000000728</v>
      </c>
      <c r="N453">
        <f t="shared" si="83"/>
        <v>1132.3557200419327</v>
      </c>
      <c r="O453" s="5">
        <f t="shared" si="74"/>
        <v>9.1056609710543523E-2</v>
      </c>
      <c r="P453">
        <f t="shared" si="82"/>
        <v>10000</v>
      </c>
      <c r="Q453">
        <f t="shared" si="75"/>
        <v>910.56609710543523</v>
      </c>
    </row>
    <row r="454" spans="1:17" x14ac:dyDescent="0.15">
      <c r="A454" s="10">
        <v>45885.451388888992</v>
      </c>
      <c r="B454">
        <f>COUNT(A454:$A$1158)/(48*252)</f>
        <v>5.828373015873016E-2</v>
      </c>
      <c r="C454">
        <v>2.2189999999999999</v>
      </c>
      <c r="D454">
        <v>6.4000000000000001E-2</v>
      </c>
      <c r="E454">
        <f t="shared" si="72"/>
        <v>0.1475162687975527</v>
      </c>
      <c r="F454">
        <f t="shared" si="73"/>
        <v>0.5586377302189458</v>
      </c>
      <c r="G454">
        <f t="shared" si="76"/>
        <v>1.9999999999997797E-3</v>
      </c>
      <c r="H454">
        <f>IF(MOD(COUNTA($C$7:C454)-1,$J$2),H453,ROUND(F454*P454,-2))</f>
        <v>5600</v>
      </c>
      <c r="I454">
        <f t="shared" si="77"/>
        <v>0</v>
      </c>
      <c r="J454">
        <f t="shared" si="78"/>
        <v>0</v>
      </c>
      <c r="K454">
        <f t="shared" si="79"/>
        <v>-11282.844279958068</v>
      </c>
      <c r="L454">
        <f t="shared" si="80"/>
        <v>1143.5557200419316</v>
      </c>
      <c r="M454">
        <f t="shared" si="81"/>
        <v>11.199999999998909</v>
      </c>
      <c r="N454">
        <f t="shared" si="83"/>
        <v>1143.5557200419316</v>
      </c>
      <c r="O454" s="5">
        <f t="shared" si="74"/>
        <v>9.0102123225299757E-2</v>
      </c>
      <c r="P454">
        <f t="shared" si="82"/>
        <v>10000</v>
      </c>
      <c r="Q454">
        <f t="shared" si="75"/>
        <v>901.02123225299761</v>
      </c>
    </row>
    <row r="455" spans="1:17" x14ac:dyDescent="0.15">
      <c r="A455" s="10">
        <v>45885.454861111008</v>
      </c>
      <c r="B455">
        <f>COUNT(A455:$A$1158)/(48*252)</f>
        <v>5.8201058201058198E-2</v>
      </c>
      <c r="C455">
        <v>2.2200000000000002</v>
      </c>
      <c r="D455">
        <v>6.5000000000000002E-2</v>
      </c>
      <c r="E455">
        <f t="shared" si="72"/>
        <v>0.1514427607548198</v>
      </c>
      <c r="F455">
        <f t="shared" si="73"/>
        <v>0.56018676988960081</v>
      </c>
      <c r="G455">
        <f t="shared" si="76"/>
        <v>1.000000000000334E-3</v>
      </c>
      <c r="H455">
        <f>IF(MOD(COUNTA($C$7:C455)-1,$J$2),H454,ROUND(F455*P455,-2))</f>
        <v>5600</v>
      </c>
      <c r="I455">
        <f t="shared" si="77"/>
        <v>0</v>
      </c>
      <c r="J455">
        <f t="shared" si="78"/>
        <v>0</v>
      </c>
      <c r="K455">
        <f t="shared" si="79"/>
        <v>-11282.844279958068</v>
      </c>
      <c r="L455">
        <f t="shared" si="80"/>
        <v>1149.1557200419338</v>
      </c>
      <c r="M455">
        <f t="shared" si="81"/>
        <v>5.6000000000021828</v>
      </c>
      <c r="N455">
        <f t="shared" si="83"/>
        <v>1149.1557200419338</v>
      </c>
      <c r="O455" s="5">
        <f t="shared" si="74"/>
        <v>8.9592820563208941E-2</v>
      </c>
      <c r="P455">
        <f t="shared" si="82"/>
        <v>10000</v>
      </c>
      <c r="Q455">
        <f t="shared" si="75"/>
        <v>895.92820563208943</v>
      </c>
    </row>
    <row r="456" spans="1:17" x14ac:dyDescent="0.15">
      <c r="A456" s="10">
        <v>45885.458333333023</v>
      </c>
      <c r="B456">
        <f>COUNT(A456:$A$1158)/(48*252)</f>
        <v>5.8118386243386243E-2</v>
      </c>
      <c r="C456">
        <v>2.2229999999999999</v>
      </c>
      <c r="D456">
        <v>6.5000000000000002E-2</v>
      </c>
      <c r="E456">
        <f t="shared" ref="E456:E519" si="84">(LN(C456/$B$2)+($B$1+0.5*$D$1*$D$1)*B456)/($D$1*SQRT(B456))</f>
        <v>0.16321967275663188</v>
      </c>
      <c r="F456">
        <f t="shared" ref="F456:F519" si="85">NORMSDIST(E456)</f>
        <v>0.56482726135446604</v>
      </c>
      <c r="G456">
        <f t="shared" si="76"/>
        <v>2.9999999999996696E-3</v>
      </c>
      <c r="H456">
        <f>IF(MOD(COUNTA($C$7:C456)-1,$J$2),H455,ROUND(F456*P456,-2))</f>
        <v>5600</v>
      </c>
      <c r="I456">
        <f t="shared" si="77"/>
        <v>0</v>
      </c>
      <c r="J456">
        <f t="shared" si="78"/>
        <v>0</v>
      </c>
      <c r="K456">
        <f t="shared" si="79"/>
        <v>-11282.844279958068</v>
      </c>
      <c r="L456">
        <f t="shared" si="80"/>
        <v>1165.9557200419313</v>
      </c>
      <c r="M456">
        <f t="shared" si="81"/>
        <v>16.799999999997453</v>
      </c>
      <c r="N456">
        <f t="shared" si="83"/>
        <v>1165.9557200419313</v>
      </c>
      <c r="O456" s="5">
        <f t="shared" ref="O456:O519" si="86">put_bs($B$1,$J$1,C456,$B$2,B456)</f>
        <v>8.8211582953472201E-2</v>
      </c>
      <c r="P456">
        <f t="shared" si="82"/>
        <v>10000</v>
      </c>
      <c r="Q456">
        <f t="shared" ref="Q456:Q519" si="87">P456*O456</f>
        <v>882.11582953472202</v>
      </c>
    </row>
    <row r="457" spans="1:17" x14ac:dyDescent="0.15">
      <c r="A457" s="10">
        <v>45885.461805555969</v>
      </c>
      <c r="B457">
        <f>COUNT(A457:$A$1158)/(48*252)</f>
        <v>5.8035714285714288E-2</v>
      </c>
      <c r="C457">
        <v>2.226</v>
      </c>
      <c r="D457">
        <v>6.7000000000000004E-2</v>
      </c>
      <c r="E457">
        <f t="shared" si="84"/>
        <v>0.17499754384104169</v>
      </c>
      <c r="F457">
        <f t="shared" si="85"/>
        <v>0.56945921823171153</v>
      </c>
      <c r="G457">
        <f t="shared" ref="G457:G520" si="88">C457-C456</f>
        <v>3.0000000000001137E-3</v>
      </c>
      <c r="H457">
        <f>IF(MOD(COUNTA($C$7:C457)-1,$J$2),H456,ROUND(F457*P457,-2))</f>
        <v>5700</v>
      </c>
      <c r="I457">
        <f t="shared" ref="I457:I520" si="89">H457-H456</f>
        <v>100</v>
      </c>
      <c r="J457">
        <f t="shared" ref="J457:J520" si="90">J456</f>
        <v>0</v>
      </c>
      <c r="K457">
        <f t="shared" ref="K457:K520" si="91">K456-I457*C457-ABS(I457*C457*$F$2)</f>
        <v>-11505.454296958069</v>
      </c>
      <c r="L457">
        <f t="shared" ref="L457:L520" si="92">K457+H457*C457</f>
        <v>1182.7457030419318</v>
      </c>
      <c r="M457">
        <f t="shared" ref="M457:M520" si="93">L457-L456</f>
        <v>16.789983000000575</v>
      </c>
      <c r="N457">
        <f t="shared" si="83"/>
        <v>1182.7457030419318</v>
      </c>
      <c r="O457" s="5">
        <f t="shared" si="86"/>
        <v>8.6844218549315566E-2</v>
      </c>
      <c r="P457">
        <f t="shared" ref="P457:P520" si="94">P456</f>
        <v>10000</v>
      </c>
      <c r="Q457">
        <f t="shared" si="87"/>
        <v>868.44218549315565</v>
      </c>
    </row>
    <row r="458" spans="1:17" x14ac:dyDescent="0.15">
      <c r="A458" s="10">
        <v>45885.465277777985</v>
      </c>
      <c r="B458">
        <f>COUNT(A458:$A$1158)/(48*252)</f>
        <v>5.7953042328042326E-2</v>
      </c>
      <c r="C458">
        <v>2.222</v>
      </c>
      <c r="D458">
        <v>6.5000000000000002E-2</v>
      </c>
      <c r="E458">
        <f t="shared" si="84"/>
        <v>0.15931766057981125</v>
      </c>
      <c r="F458">
        <f t="shared" si="85"/>
        <v>0.56329069633189011</v>
      </c>
      <c r="G458">
        <f t="shared" si="88"/>
        <v>-4.0000000000000036E-3</v>
      </c>
      <c r="H458">
        <f>IF(MOD(COUNTA($C$7:C458)-1,$J$2),H457,ROUND(F458*P458,-2))</f>
        <v>5700</v>
      </c>
      <c r="I458">
        <f t="shared" si="89"/>
        <v>0</v>
      </c>
      <c r="J458">
        <f t="shared" si="90"/>
        <v>0</v>
      </c>
      <c r="K458">
        <f t="shared" si="91"/>
        <v>-11505.454296958069</v>
      </c>
      <c r="L458">
        <f t="shared" si="92"/>
        <v>1159.9457030419308</v>
      </c>
      <c r="M458">
        <f t="shared" si="93"/>
        <v>-22.800000000001091</v>
      </c>
      <c r="N458">
        <f t="shared" ref="N458:N521" si="95">L458-$F$1</f>
        <v>1159.9457030419308</v>
      </c>
      <c r="O458" s="5">
        <f t="shared" si="86"/>
        <v>8.8509856547328347E-2</v>
      </c>
      <c r="P458">
        <f t="shared" si="94"/>
        <v>10000</v>
      </c>
      <c r="Q458">
        <f t="shared" si="87"/>
        <v>885.09856547328343</v>
      </c>
    </row>
    <row r="459" spans="1:17" x14ac:dyDescent="0.15">
      <c r="A459" s="10">
        <v>45885.46875</v>
      </c>
      <c r="B459">
        <f>COUNT(A459:$A$1158)/(48*252)</f>
        <v>5.7870370370370371E-2</v>
      </c>
      <c r="C459">
        <v>2.2210000000000001</v>
      </c>
      <c r="D459">
        <v>6.6000000000000003E-2</v>
      </c>
      <c r="E459">
        <f t="shared" si="84"/>
        <v>0.1553954409749958</v>
      </c>
      <c r="F459">
        <f t="shared" si="85"/>
        <v>0.56174521095793184</v>
      </c>
      <c r="G459">
        <f t="shared" si="88"/>
        <v>-9.9999999999988987E-4</v>
      </c>
      <c r="H459">
        <f>IF(MOD(COUNTA($C$7:C459)-1,$J$2),H458,ROUND(F459*P459,-2))</f>
        <v>5700</v>
      </c>
      <c r="I459">
        <f t="shared" si="89"/>
        <v>0</v>
      </c>
      <c r="J459">
        <f t="shared" si="90"/>
        <v>0</v>
      </c>
      <c r="K459">
        <f t="shared" si="91"/>
        <v>-11505.454296958069</v>
      </c>
      <c r="L459">
        <f t="shared" si="92"/>
        <v>1154.2457030419318</v>
      </c>
      <c r="M459">
        <f t="shared" si="93"/>
        <v>-5.6999999999989086</v>
      </c>
      <c r="N459">
        <f t="shared" si="95"/>
        <v>1154.2457030419318</v>
      </c>
      <c r="O459" s="5">
        <f t="shared" si="86"/>
        <v>8.8878424199633876E-2</v>
      </c>
      <c r="P459">
        <f t="shared" si="94"/>
        <v>10000</v>
      </c>
      <c r="Q459">
        <f t="shared" si="87"/>
        <v>888.78424199633878</v>
      </c>
    </row>
    <row r="460" spans="1:17" x14ac:dyDescent="0.15">
      <c r="A460" s="10">
        <v>45885.472222222015</v>
      </c>
      <c r="B460">
        <f>COUNT(A460:$A$1158)/(48*252)</f>
        <v>5.7787698412698416E-2</v>
      </c>
      <c r="C460">
        <v>2.226</v>
      </c>
      <c r="D460">
        <v>6.7000000000000004E-2</v>
      </c>
      <c r="E460">
        <f t="shared" si="84"/>
        <v>0.17506216390263418</v>
      </c>
      <c r="F460">
        <f t="shared" si="85"/>
        <v>0.56948460602946782</v>
      </c>
      <c r="G460">
        <f t="shared" si="88"/>
        <v>4.9999999999998934E-3</v>
      </c>
      <c r="H460">
        <f>IF(MOD(COUNTA($C$7:C460)-1,$J$2),H459,ROUND(F460*P460,-2))</f>
        <v>5700</v>
      </c>
      <c r="I460">
        <f t="shared" si="89"/>
        <v>0</v>
      </c>
      <c r="J460">
        <f t="shared" si="90"/>
        <v>0</v>
      </c>
      <c r="K460">
        <f t="shared" si="91"/>
        <v>-11505.454296958069</v>
      </c>
      <c r="L460">
        <f t="shared" si="92"/>
        <v>1182.7457030419318</v>
      </c>
      <c r="M460">
        <f t="shared" si="93"/>
        <v>28.5</v>
      </c>
      <c r="N460">
        <f t="shared" si="95"/>
        <v>1182.7457030419318</v>
      </c>
      <c r="O460" s="5">
        <f t="shared" si="86"/>
        <v>8.6637556995595055E-2</v>
      </c>
      <c r="P460">
        <f t="shared" si="94"/>
        <v>10000</v>
      </c>
      <c r="Q460">
        <f t="shared" si="87"/>
        <v>866.3755699559506</v>
      </c>
    </row>
    <row r="461" spans="1:17" x14ac:dyDescent="0.15">
      <c r="A461" s="10">
        <v>45885.475694444962</v>
      </c>
      <c r="B461">
        <f>COUNT(A461:$A$1158)/(48*252)</f>
        <v>5.7705026455026454E-2</v>
      </c>
      <c r="C461">
        <v>2.2229999999999999</v>
      </c>
      <c r="D461">
        <v>6.7000000000000004E-2</v>
      </c>
      <c r="E461">
        <f t="shared" si="84"/>
        <v>0.1632853415419194</v>
      </c>
      <c r="F461">
        <f t="shared" si="85"/>
        <v>0.56485311261799143</v>
      </c>
      <c r="G461">
        <f t="shared" si="88"/>
        <v>-3.0000000000001137E-3</v>
      </c>
      <c r="H461">
        <f>IF(MOD(COUNTA($C$7:C461)-1,$J$2),H460,ROUND(F461*P461,-2))</f>
        <v>5700</v>
      </c>
      <c r="I461">
        <f t="shared" si="89"/>
        <v>0</v>
      </c>
      <c r="J461">
        <f t="shared" si="90"/>
        <v>0</v>
      </c>
      <c r="K461">
        <f t="shared" si="91"/>
        <v>-11505.454296958069</v>
      </c>
      <c r="L461">
        <f t="shared" si="92"/>
        <v>1165.6457030419297</v>
      </c>
      <c r="M461">
        <f t="shared" si="93"/>
        <v>-17.100000000002183</v>
      </c>
      <c r="N461">
        <f t="shared" si="95"/>
        <v>1165.6457030419297</v>
      </c>
      <c r="O461" s="5">
        <f t="shared" si="86"/>
        <v>8.7867044401041317E-2</v>
      </c>
      <c r="P461">
        <f t="shared" si="94"/>
        <v>10000</v>
      </c>
      <c r="Q461">
        <f t="shared" si="87"/>
        <v>878.67044401041312</v>
      </c>
    </row>
    <row r="462" spans="1:17" x14ac:dyDescent="0.15">
      <c r="A462" s="10">
        <v>45885.479166666977</v>
      </c>
      <c r="B462">
        <f>COUNT(A462:$A$1158)/(48*252)</f>
        <v>5.7622354497354498E-2</v>
      </c>
      <c r="C462">
        <v>2.2240000000000002</v>
      </c>
      <c r="D462">
        <v>6.6000000000000003E-2</v>
      </c>
      <c r="E462">
        <f t="shared" si="84"/>
        <v>0.16723623999104142</v>
      </c>
      <c r="F462">
        <f t="shared" si="85"/>
        <v>0.5664079147297274</v>
      </c>
      <c r="G462">
        <f t="shared" si="88"/>
        <v>1.000000000000334E-3</v>
      </c>
      <c r="H462">
        <f>IF(MOD(COUNTA($C$7:C462)-1,$J$2),H461,ROUND(F462*P462,-2))</f>
        <v>5700</v>
      </c>
      <c r="I462">
        <f t="shared" si="89"/>
        <v>0</v>
      </c>
      <c r="J462">
        <f t="shared" si="90"/>
        <v>0</v>
      </c>
      <c r="K462">
        <f t="shared" si="91"/>
        <v>-11505.454296958069</v>
      </c>
      <c r="L462">
        <f t="shared" si="92"/>
        <v>1171.3457030419322</v>
      </c>
      <c r="M462">
        <f t="shared" si="93"/>
        <v>5.7000000000025466</v>
      </c>
      <c r="N462">
        <f t="shared" si="95"/>
        <v>1171.3457030419322</v>
      </c>
      <c r="O462" s="5">
        <f t="shared" si="86"/>
        <v>8.7363616314310666E-2</v>
      </c>
      <c r="P462">
        <f t="shared" si="94"/>
        <v>10000</v>
      </c>
      <c r="Q462">
        <f t="shared" si="87"/>
        <v>873.63616314310661</v>
      </c>
    </row>
    <row r="463" spans="1:17" x14ac:dyDescent="0.15">
      <c r="A463" s="10">
        <v>45885.545138888992</v>
      </c>
      <c r="B463">
        <f>COUNT(A463:$A$1158)/(48*252)</f>
        <v>5.7539682539682536E-2</v>
      </c>
      <c r="C463">
        <v>2.222</v>
      </c>
      <c r="D463">
        <v>6.5000000000000002E-2</v>
      </c>
      <c r="E463">
        <f t="shared" si="84"/>
        <v>0.15937026892922124</v>
      </c>
      <c r="F463">
        <f t="shared" si="85"/>
        <v>0.56331141926689776</v>
      </c>
      <c r="G463">
        <f t="shared" si="88"/>
        <v>-2.0000000000002238E-3</v>
      </c>
      <c r="H463">
        <f>IF(MOD(COUNTA($C$7:C463)-1,$J$2),H462,ROUND(F463*P463,-2))</f>
        <v>5600</v>
      </c>
      <c r="I463">
        <f t="shared" si="89"/>
        <v>-100</v>
      </c>
      <c r="J463">
        <f t="shared" si="90"/>
        <v>0</v>
      </c>
      <c r="K463">
        <f t="shared" si="91"/>
        <v>-11283.264295958068</v>
      </c>
      <c r="L463">
        <f t="shared" si="92"/>
        <v>1159.9357040419327</v>
      </c>
      <c r="M463">
        <f t="shared" si="93"/>
        <v>-11.409998999999516</v>
      </c>
      <c r="N463">
        <f t="shared" si="95"/>
        <v>1159.9357040419327</v>
      </c>
      <c r="O463" s="5">
        <f t="shared" si="86"/>
        <v>8.8164782426693789E-2</v>
      </c>
      <c r="P463">
        <f t="shared" si="94"/>
        <v>10000</v>
      </c>
      <c r="Q463">
        <f t="shared" si="87"/>
        <v>881.64782426693785</v>
      </c>
    </row>
    <row r="464" spans="1:17" x14ac:dyDescent="0.15">
      <c r="A464" s="10">
        <v>45885.548611111008</v>
      </c>
      <c r="B464">
        <f>COUNT(A464:$A$1158)/(48*252)</f>
        <v>5.7457010582010581E-2</v>
      </c>
      <c r="C464">
        <v>2.2210000000000001</v>
      </c>
      <c r="D464">
        <v>6.5000000000000002E-2</v>
      </c>
      <c r="E464">
        <f t="shared" si="84"/>
        <v>0.155434413379097</v>
      </c>
      <c r="F464">
        <f t="shared" si="85"/>
        <v>0.56176057205848062</v>
      </c>
      <c r="G464">
        <f t="shared" si="88"/>
        <v>-9.9999999999988987E-4</v>
      </c>
      <c r="H464">
        <f>IF(MOD(COUNTA($C$7:C464)-1,$J$2),H463,ROUND(F464*P464,-2))</f>
        <v>5600</v>
      </c>
      <c r="I464">
        <f t="shared" si="89"/>
        <v>0</v>
      </c>
      <c r="J464">
        <f t="shared" si="90"/>
        <v>0</v>
      </c>
      <c r="K464">
        <f t="shared" si="91"/>
        <v>-11283.264295958068</v>
      </c>
      <c r="L464">
        <f t="shared" si="92"/>
        <v>1154.3357040419323</v>
      </c>
      <c r="M464">
        <f t="shared" si="93"/>
        <v>-5.6000000000003638</v>
      </c>
      <c r="N464">
        <f t="shared" si="95"/>
        <v>1154.3357040419323</v>
      </c>
      <c r="O464" s="5">
        <f t="shared" si="86"/>
        <v>8.8533074887892194E-2</v>
      </c>
      <c r="P464">
        <f t="shared" si="94"/>
        <v>10000</v>
      </c>
      <c r="Q464">
        <f t="shared" si="87"/>
        <v>885.3307488789219</v>
      </c>
    </row>
    <row r="465" spans="1:17" x14ac:dyDescent="0.15">
      <c r="A465" s="10">
        <v>45885.552083333023</v>
      </c>
      <c r="B465">
        <f>COUNT(A465:$A$1158)/(48*252)</f>
        <v>5.7374338624338626E-2</v>
      </c>
      <c r="C465">
        <v>2.2170000000000001</v>
      </c>
      <c r="D465">
        <v>6.5000000000000002E-2</v>
      </c>
      <c r="E465">
        <f t="shared" si="84"/>
        <v>0.13962663506611681</v>
      </c>
      <c r="F465">
        <f t="shared" si="85"/>
        <v>0.55552250248721635</v>
      </c>
      <c r="G465">
        <f t="shared" si="88"/>
        <v>-4.0000000000000036E-3</v>
      </c>
      <c r="H465">
        <f>IF(MOD(COUNTA($C$7:C465)-1,$J$2),H464,ROUND(F465*P465,-2))</f>
        <v>5600</v>
      </c>
      <c r="I465">
        <f t="shared" si="89"/>
        <v>0</v>
      </c>
      <c r="J465">
        <f t="shared" si="90"/>
        <v>0</v>
      </c>
      <c r="K465">
        <f t="shared" si="91"/>
        <v>-11283.264295958068</v>
      </c>
      <c r="L465">
        <f t="shared" si="92"/>
        <v>1131.9357040419327</v>
      </c>
      <c r="M465">
        <f t="shared" si="93"/>
        <v>-22.399999999999636</v>
      </c>
      <c r="N465">
        <f t="shared" si="95"/>
        <v>1131.9357040419327</v>
      </c>
      <c r="O465" s="5">
        <f t="shared" si="86"/>
        <v>9.0229269019428515E-2</v>
      </c>
      <c r="P465">
        <f t="shared" si="94"/>
        <v>10000</v>
      </c>
      <c r="Q465">
        <f t="shared" si="87"/>
        <v>902.29269019428511</v>
      </c>
    </row>
    <row r="466" spans="1:17" x14ac:dyDescent="0.15">
      <c r="A466" s="10">
        <v>45885.555555555969</v>
      </c>
      <c r="B466">
        <f>COUNT(A466:$A$1158)/(48*252)</f>
        <v>5.7291666666666664E-2</v>
      </c>
      <c r="C466">
        <v>2.2170000000000001</v>
      </c>
      <c r="D466">
        <v>6.3E-2</v>
      </c>
      <c r="E466">
        <f t="shared" si="84"/>
        <v>0.13962338934187271</v>
      </c>
      <c r="F466">
        <f t="shared" si="85"/>
        <v>0.55552122019097694</v>
      </c>
      <c r="G466">
        <f t="shared" si="88"/>
        <v>0</v>
      </c>
      <c r="H466">
        <f>IF(MOD(COUNTA($C$7:C466)-1,$J$2),H465,ROUND(F466*P466,-2))</f>
        <v>5600</v>
      </c>
      <c r="I466">
        <f t="shared" si="89"/>
        <v>0</v>
      </c>
      <c r="J466">
        <f t="shared" si="90"/>
        <v>0</v>
      </c>
      <c r="K466">
        <f t="shared" si="91"/>
        <v>-11283.264295958068</v>
      </c>
      <c r="L466">
        <f t="shared" si="92"/>
        <v>1131.9357040419327</v>
      </c>
      <c r="M466">
        <f t="shared" si="93"/>
        <v>0</v>
      </c>
      <c r="N466">
        <f t="shared" si="95"/>
        <v>1131.9357040419327</v>
      </c>
      <c r="O466" s="5">
        <f t="shared" si="86"/>
        <v>9.0159988498210719E-2</v>
      </c>
      <c r="P466">
        <f t="shared" si="94"/>
        <v>10000</v>
      </c>
      <c r="Q466">
        <f t="shared" si="87"/>
        <v>901.59988498210714</v>
      </c>
    </row>
    <row r="467" spans="1:17" x14ac:dyDescent="0.15">
      <c r="A467" s="10">
        <v>45885.559027777985</v>
      </c>
      <c r="B467">
        <f>COUNT(A467:$A$1158)/(48*252)</f>
        <v>5.7208994708994709E-2</v>
      </c>
      <c r="C467">
        <v>2.2109999999999999</v>
      </c>
      <c r="D467">
        <v>6.2E-2</v>
      </c>
      <c r="E467">
        <f t="shared" si="84"/>
        <v>0.11580852042089684</v>
      </c>
      <c r="F467">
        <f t="shared" si="85"/>
        <v>0.54609785118193277</v>
      </c>
      <c r="G467">
        <f t="shared" si="88"/>
        <v>-6.0000000000002274E-3</v>
      </c>
      <c r="H467">
        <f>IF(MOD(COUNTA($C$7:C467)-1,$J$2),H466,ROUND(F467*P467,-2))</f>
        <v>5600</v>
      </c>
      <c r="I467">
        <f t="shared" si="89"/>
        <v>0</v>
      </c>
      <c r="J467">
        <f t="shared" si="90"/>
        <v>0</v>
      </c>
      <c r="K467">
        <f t="shared" si="91"/>
        <v>-11283.264295958068</v>
      </c>
      <c r="L467">
        <f t="shared" si="92"/>
        <v>1098.3357040419305</v>
      </c>
      <c r="M467">
        <f t="shared" si="93"/>
        <v>-33.600000000002183</v>
      </c>
      <c r="N467">
        <f t="shared" si="95"/>
        <v>1098.3357040419305</v>
      </c>
      <c r="O467" s="5">
        <f t="shared" si="86"/>
        <v>9.278577530877552E-2</v>
      </c>
      <c r="P467">
        <f t="shared" si="94"/>
        <v>10000</v>
      </c>
      <c r="Q467">
        <f t="shared" si="87"/>
        <v>927.85775308775521</v>
      </c>
    </row>
    <row r="468" spans="1:17" x14ac:dyDescent="0.15">
      <c r="A468" s="10">
        <v>45885.5625</v>
      </c>
      <c r="B468">
        <f>COUNT(A468:$A$1158)/(48*252)</f>
        <v>5.7126322751322754E-2</v>
      </c>
      <c r="C468">
        <v>2.2120000000000002</v>
      </c>
      <c r="D468">
        <v>6.3E-2</v>
      </c>
      <c r="E468">
        <f t="shared" si="84"/>
        <v>0.11976416047891106</v>
      </c>
      <c r="F468">
        <f t="shared" si="85"/>
        <v>0.54766501333216955</v>
      </c>
      <c r="G468">
        <f t="shared" si="88"/>
        <v>1.000000000000334E-3</v>
      </c>
      <c r="H468">
        <f>IF(MOD(COUNTA($C$7:C468)-1,$J$2),H467,ROUND(F468*P468,-2))</f>
        <v>5600</v>
      </c>
      <c r="I468">
        <f t="shared" si="89"/>
        <v>0</v>
      </c>
      <c r="J468">
        <f t="shared" si="90"/>
        <v>0</v>
      </c>
      <c r="K468">
        <f t="shared" si="91"/>
        <v>-11283.264295958068</v>
      </c>
      <c r="L468">
        <f t="shared" si="92"/>
        <v>1103.9357040419327</v>
      </c>
      <c r="M468">
        <f t="shared" si="93"/>
        <v>5.6000000000021828</v>
      </c>
      <c r="N468">
        <f t="shared" si="95"/>
        <v>1103.9357040419327</v>
      </c>
      <c r="O468" s="5">
        <f t="shared" si="86"/>
        <v>9.2263295775391718E-2</v>
      </c>
      <c r="P468">
        <f t="shared" si="94"/>
        <v>10000</v>
      </c>
      <c r="Q468">
        <f t="shared" si="87"/>
        <v>922.63295775391714</v>
      </c>
    </row>
    <row r="469" spans="1:17" x14ac:dyDescent="0.15">
      <c r="A469" s="10">
        <v>45885.565972222015</v>
      </c>
      <c r="B469">
        <f>COUNT(A469:$A$1158)/(48*252)</f>
        <v>5.7043650793650792E-2</v>
      </c>
      <c r="C469">
        <v>2.2130000000000001</v>
      </c>
      <c r="D469">
        <v>6.2E-2</v>
      </c>
      <c r="E469">
        <f t="shared" si="84"/>
        <v>0.12372379360035125</v>
      </c>
      <c r="F469">
        <f t="shared" si="85"/>
        <v>0.54923301408194303</v>
      </c>
      <c r="G469">
        <f t="shared" si="88"/>
        <v>9.9999999999988987E-4</v>
      </c>
      <c r="H469">
        <f>IF(MOD(COUNTA($C$7:C469)-1,$J$2),H468,ROUND(F469*P469,-2))</f>
        <v>5500</v>
      </c>
      <c r="I469">
        <f t="shared" si="89"/>
        <v>-100</v>
      </c>
      <c r="J469">
        <f t="shared" si="90"/>
        <v>0</v>
      </c>
      <c r="K469">
        <f t="shared" si="91"/>
        <v>-11061.974254458069</v>
      </c>
      <c r="L469">
        <f t="shared" si="92"/>
        <v>1109.5257455419305</v>
      </c>
      <c r="M469">
        <f t="shared" si="93"/>
        <v>5.5900414999978238</v>
      </c>
      <c r="N469">
        <f t="shared" si="95"/>
        <v>1109.5257455419305</v>
      </c>
      <c r="O469" s="5">
        <f t="shared" si="86"/>
        <v>9.1742324461194791E-2</v>
      </c>
      <c r="P469">
        <f t="shared" si="94"/>
        <v>10000</v>
      </c>
      <c r="Q469">
        <f t="shared" si="87"/>
        <v>917.42324461194789</v>
      </c>
    </row>
    <row r="470" spans="1:17" x14ac:dyDescent="0.15">
      <c r="A470" s="10">
        <v>45885.569444444962</v>
      </c>
      <c r="B470">
        <f>COUNT(A470:$A$1158)/(48*252)</f>
        <v>5.6960978835978837E-2</v>
      </c>
      <c r="C470">
        <v>2.214</v>
      </c>
      <c r="D470">
        <v>6.3E-2</v>
      </c>
      <c r="E470">
        <f t="shared" si="84"/>
        <v>0.12768743646920622</v>
      </c>
      <c r="F470">
        <f t="shared" si="85"/>
        <v>0.55080183352669843</v>
      </c>
      <c r="G470">
        <f t="shared" si="88"/>
        <v>9.9999999999988987E-4</v>
      </c>
      <c r="H470">
        <f>IF(MOD(COUNTA($C$7:C470)-1,$J$2),H469,ROUND(F470*P470,-2))</f>
        <v>5500</v>
      </c>
      <c r="I470">
        <f t="shared" si="89"/>
        <v>0</v>
      </c>
      <c r="J470">
        <f t="shared" si="90"/>
        <v>0</v>
      </c>
      <c r="K470">
        <f t="shared" si="91"/>
        <v>-11061.974254458069</v>
      </c>
      <c r="L470">
        <f t="shared" si="92"/>
        <v>1115.0257455419305</v>
      </c>
      <c r="M470">
        <f t="shared" si="93"/>
        <v>5.5</v>
      </c>
      <c r="N470">
        <f t="shared" si="95"/>
        <v>1115.0257455419305</v>
      </c>
      <c r="O470" s="5">
        <f t="shared" si="86"/>
        <v>9.1222863256591791E-2</v>
      </c>
      <c r="P470">
        <f t="shared" si="94"/>
        <v>10000</v>
      </c>
      <c r="Q470">
        <f t="shared" si="87"/>
        <v>912.22863256591791</v>
      </c>
    </row>
    <row r="471" spans="1:17" x14ac:dyDescent="0.15">
      <c r="A471" s="10">
        <v>45885.572916666977</v>
      </c>
      <c r="B471">
        <f>COUNT(A471:$A$1158)/(48*252)</f>
        <v>5.6878306878306875E-2</v>
      </c>
      <c r="C471">
        <v>2.2130000000000001</v>
      </c>
      <c r="D471">
        <v>6.3E-2</v>
      </c>
      <c r="E471">
        <f t="shared" si="84"/>
        <v>0.12369483985793429</v>
      </c>
      <c r="F471">
        <f t="shared" si="85"/>
        <v>0.54922155125985306</v>
      </c>
      <c r="G471">
        <f t="shared" si="88"/>
        <v>-9.9999999999988987E-4</v>
      </c>
      <c r="H471">
        <f>IF(MOD(COUNTA($C$7:C471)-1,$J$2),H470,ROUND(F471*P471,-2))</f>
        <v>5500</v>
      </c>
      <c r="I471">
        <f t="shared" si="89"/>
        <v>0</v>
      </c>
      <c r="J471">
        <f t="shared" si="90"/>
        <v>0</v>
      </c>
      <c r="K471">
        <f t="shared" si="91"/>
        <v>-11061.974254458069</v>
      </c>
      <c r="L471">
        <f t="shared" si="92"/>
        <v>1109.5257455419305</v>
      </c>
      <c r="M471">
        <f t="shared" si="93"/>
        <v>-5.5</v>
      </c>
      <c r="N471">
        <f t="shared" si="95"/>
        <v>1109.5257455419305</v>
      </c>
      <c r="O471" s="5">
        <f t="shared" si="86"/>
        <v>9.1603320027037971E-2</v>
      </c>
      <c r="P471">
        <f t="shared" si="94"/>
        <v>10000</v>
      </c>
      <c r="Q471">
        <f t="shared" si="87"/>
        <v>916.03320027037967</v>
      </c>
    </row>
    <row r="472" spans="1:17" x14ac:dyDescent="0.15">
      <c r="A472" s="10">
        <v>45885.576388888992</v>
      </c>
      <c r="B472">
        <f>COUNT(A472:$A$1158)/(48*252)</f>
        <v>5.679563492063492E-2</v>
      </c>
      <c r="C472">
        <v>2.2120000000000002</v>
      </c>
      <c r="D472">
        <v>6.3E-2</v>
      </c>
      <c r="E472">
        <f t="shared" si="84"/>
        <v>0.11969470056264765</v>
      </c>
      <c r="F472">
        <f t="shared" si="85"/>
        <v>0.5476375007415637</v>
      </c>
      <c r="G472">
        <f t="shared" si="88"/>
        <v>-9.9999999999988987E-4</v>
      </c>
      <c r="H472">
        <f>IF(MOD(COUNTA($C$7:C472)-1,$J$2),H471,ROUND(F472*P472,-2))</f>
        <v>5500</v>
      </c>
      <c r="I472">
        <f t="shared" si="89"/>
        <v>0</v>
      </c>
      <c r="J472">
        <f t="shared" si="90"/>
        <v>0</v>
      </c>
      <c r="K472">
        <f t="shared" si="91"/>
        <v>-11061.974254458069</v>
      </c>
      <c r="L472">
        <f t="shared" si="92"/>
        <v>1104.0257455419323</v>
      </c>
      <c r="M472">
        <f t="shared" si="93"/>
        <v>-5.499999999998181</v>
      </c>
      <c r="N472">
        <f t="shared" si="95"/>
        <v>1104.0257455419323</v>
      </c>
      <c r="O472" s="5">
        <f t="shared" si="86"/>
        <v>9.1985311897444966E-2</v>
      </c>
      <c r="P472">
        <f t="shared" si="94"/>
        <v>10000</v>
      </c>
      <c r="Q472">
        <f t="shared" si="87"/>
        <v>919.85311897444967</v>
      </c>
    </row>
    <row r="473" spans="1:17" x14ac:dyDescent="0.15">
      <c r="A473" s="10">
        <v>45885.579861111008</v>
      </c>
      <c r="B473">
        <f>COUNT(A473:$A$1158)/(48*252)</f>
        <v>5.6712962962962965E-2</v>
      </c>
      <c r="C473">
        <v>2.206</v>
      </c>
      <c r="D473">
        <v>6.2E-2</v>
      </c>
      <c r="E473">
        <f t="shared" si="84"/>
        <v>9.5707701142637741E-2</v>
      </c>
      <c r="F473">
        <f t="shared" si="85"/>
        <v>0.53812363782298289</v>
      </c>
      <c r="G473">
        <f t="shared" si="88"/>
        <v>-6.0000000000002274E-3</v>
      </c>
      <c r="H473">
        <f>IF(MOD(COUNTA($C$7:C473)-1,$J$2),H472,ROUND(F473*P473,-2))</f>
        <v>5500</v>
      </c>
      <c r="I473">
        <f t="shared" si="89"/>
        <v>0</v>
      </c>
      <c r="J473">
        <f t="shared" si="90"/>
        <v>0</v>
      </c>
      <c r="K473">
        <f t="shared" si="91"/>
        <v>-11061.974254458069</v>
      </c>
      <c r="L473">
        <f t="shared" si="92"/>
        <v>1071.0257455419305</v>
      </c>
      <c r="M473">
        <f t="shared" si="93"/>
        <v>-33.000000000001819</v>
      </c>
      <c r="N473">
        <f t="shared" si="95"/>
        <v>1071.0257455419305</v>
      </c>
      <c r="O473" s="5">
        <f t="shared" si="86"/>
        <v>9.4658395855836019E-2</v>
      </c>
      <c r="P473">
        <f t="shared" si="94"/>
        <v>10000</v>
      </c>
      <c r="Q473">
        <f t="shared" si="87"/>
        <v>946.58395855836022</v>
      </c>
    </row>
    <row r="474" spans="1:17" x14ac:dyDescent="0.15">
      <c r="A474" s="10">
        <v>45885.583333333023</v>
      </c>
      <c r="B474">
        <f>COUNT(A474:$A$1158)/(48*252)</f>
        <v>5.6630291005291003E-2</v>
      </c>
      <c r="C474">
        <v>2.2050000000000001</v>
      </c>
      <c r="D474">
        <v>0.06</v>
      </c>
      <c r="E474">
        <f t="shared" si="84"/>
        <v>9.1668768048732918E-2</v>
      </c>
      <c r="F474">
        <f t="shared" si="85"/>
        <v>0.53651939381615454</v>
      </c>
      <c r="G474">
        <f t="shared" si="88"/>
        <v>-9.9999999999988987E-4</v>
      </c>
      <c r="H474">
        <f>IF(MOD(COUNTA($C$7:C474)-1,$J$2),H473,ROUND(F474*P474,-2))</f>
        <v>5500</v>
      </c>
      <c r="I474">
        <f t="shared" si="89"/>
        <v>0</v>
      </c>
      <c r="J474">
        <f t="shared" si="90"/>
        <v>0</v>
      </c>
      <c r="K474">
        <f t="shared" si="91"/>
        <v>-11061.974254458069</v>
      </c>
      <c r="L474">
        <f t="shared" si="92"/>
        <v>1065.5257455419305</v>
      </c>
      <c r="M474">
        <f t="shared" si="93"/>
        <v>-5.5</v>
      </c>
      <c r="N474">
        <f t="shared" si="95"/>
        <v>1065.5257455419305</v>
      </c>
      <c r="O474" s="5">
        <f t="shared" si="86"/>
        <v>9.5051461947394111E-2</v>
      </c>
      <c r="P474">
        <f t="shared" si="94"/>
        <v>10000</v>
      </c>
      <c r="Q474">
        <f t="shared" si="87"/>
        <v>950.51461947394114</v>
      </c>
    </row>
    <row r="475" spans="1:17" x14ac:dyDescent="0.15">
      <c r="A475" s="10">
        <v>45885.586805555969</v>
      </c>
      <c r="B475">
        <f>COUNT(A475:$A$1158)/(48*252)</f>
        <v>5.6547619047619048E-2</v>
      </c>
      <c r="C475">
        <v>2.2069999999999999</v>
      </c>
      <c r="D475">
        <v>5.8999999999999997E-2</v>
      </c>
      <c r="E475">
        <f t="shared" si="84"/>
        <v>9.9643580806762042E-2</v>
      </c>
      <c r="F475">
        <f t="shared" si="85"/>
        <v>0.53968635325193293</v>
      </c>
      <c r="G475">
        <f t="shared" si="88"/>
        <v>1.9999999999997797E-3</v>
      </c>
      <c r="H475">
        <f>IF(MOD(COUNTA($C$7:C475)-1,$J$2),H474,ROUND(F475*P475,-2))</f>
        <v>5400</v>
      </c>
      <c r="I475">
        <f t="shared" si="89"/>
        <v>-100</v>
      </c>
      <c r="J475">
        <f t="shared" si="90"/>
        <v>0</v>
      </c>
      <c r="K475">
        <f t="shared" si="91"/>
        <v>-10841.284185958069</v>
      </c>
      <c r="L475">
        <f t="shared" si="92"/>
        <v>1076.5158140419298</v>
      </c>
      <c r="M475">
        <f t="shared" si="93"/>
        <v>10.990068499999325</v>
      </c>
      <c r="N475">
        <f t="shared" si="95"/>
        <v>1076.5158140419298</v>
      </c>
      <c r="O475" s="5">
        <f t="shared" si="86"/>
        <v>9.4057995630676183E-2</v>
      </c>
      <c r="P475">
        <f t="shared" si="94"/>
        <v>10000</v>
      </c>
      <c r="Q475">
        <f t="shared" si="87"/>
        <v>940.5799563067618</v>
      </c>
    </row>
    <row r="476" spans="1:17" x14ac:dyDescent="0.15">
      <c r="A476" s="10">
        <v>45885.590277777985</v>
      </c>
      <c r="B476">
        <f>COUNT(A476:$A$1158)/(48*252)</f>
        <v>5.6464947089947093E-2</v>
      </c>
      <c r="C476">
        <v>2.2000000000000002</v>
      </c>
      <c r="D476">
        <v>5.7000000000000002E-2</v>
      </c>
      <c r="E476">
        <f t="shared" si="84"/>
        <v>7.1515798125132257E-2</v>
      </c>
      <c r="F476">
        <f t="shared" si="85"/>
        <v>0.52850637416720359</v>
      </c>
      <c r="G476">
        <f t="shared" si="88"/>
        <v>-6.9999999999996732E-3</v>
      </c>
      <c r="H476">
        <f>IF(MOD(COUNTA($C$7:C476)-1,$J$2),H475,ROUND(F476*P476,-2))</f>
        <v>5400</v>
      </c>
      <c r="I476">
        <f t="shared" si="89"/>
        <v>0</v>
      </c>
      <c r="J476">
        <f t="shared" si="90"/>
        <v>0</v>
      </c>
      <c r="K476">
        <f t="shared" si="91"/>
        <v>-10841.284185958069</v>
      </c>
      <c r="L476">
        <f t="shared" si="92"/>
        <v>1038.7158140419324</v>
      </c>
      <c r="M476">
        <f t="shared" si="93"/>
        <v>-37.799999999997453</v>
      </c>
      <c r="N476">
        <f t="shared" si="95"/>
        <v>1038.7158140419324</v>
      </c>
      <c r="O476" s="5">
        <f t="shared" si="86"/>
        <v>9.7249590020798138E-2</v>
      </c>
      <c r="P476">
        <f t="shared" si="94"/>
        <v>10000</v>
      </c>
      <c r="Q476">
        <f t="shared" si="87"/>
        <v>972.49590020798132</v>
      </c>
    </row>
    <row r="477" spans="1:17" x14ac:dyDescent="0.15">
      <c r="A477" s="10">
        <v>45885.59375</v>
      </c>
      <c r="B477">
        <f>COUNT(A477:$A$1158)/(48*252)</f>
        <v>5.6382275132275131E-2</v>
      </c>
      <c r="C477">
        <v>2.2000000000000002</v>
      </c>
      <c r="D477">
        <v>5.8000000000000003E-2</v>
      </c>
      <c r="E477">
        <f t="shared" si="84"/>
        <v>7.1463424776382858E-2</v>
      </c>
      <c r="F477">
        <f t="shared" si="85"/>
        <v>0.52848553354787509</v>
      </c>
      <c r="G477">
        <f t="shared" si="88"/>
        <v>0</v>
      </c>
      <c r="H477">
        <f>IF(MOD(COUNTA($C$7:C477)-1,$J$2),H476,ROUND(F477*P477,-2))</f>
        <v>5400</v>
      </c>
      <c r="I477">
        <f t="shared" si="89"/>
        <v>0</v>
      </c>
      <c r="J477">
        <f t="shared" si="90"/>
        <v>0</v>
      </c>
      <c r="K477">
        <f t="shared" si="91"/>
        <v>-10841.284185958069</v>
      </c>
      <c r="L477">
        <f t="shared" si="92"/>
        <v>1038.7158140419324</v>
      </c>
      <c r="M477">
        <f t="shared" si="93"/>
        <v>0</v>
      </c>
      <c r="N477">
        <f t="shared" si="95"/>
        <v>1038.7158140419324</v>
      </c>
      <c r="O477" s="5">
        <f t="shared" si="86"/>
        <v>9.7179914792013822E-2</v>
      </c>
      <c r="P477">
        <f t="shared" si="94"/>
        <v>10000</v>
      </c>
      <c r="Q477">
        <f t="shared" si="87"/>
        <v>971.79914792013824</v>
      </c>
    </row>
    <row r="478" spans="1:17" x14ac:dyDescent="0.15">
      <c r="A478" s="10">
        <v>45885.597222222015</v>
      </c>
      <c r="B478">
        <f>COUNT(A478:$A$1158)/(48*252)</f>
        <v>5.6299603174603176E-2</v>
      </c>
      <c r="C478">
        <v>2.2010000000000001</v>
      </c>
      <c r="D478">
        <v>5.8999999999999997E-2</v>
      </c>
      <c r="E478">
        <f t="shared" si="84"/>
        <v>7.543609257435234E-2</v>
      </c>
      <c r="F478">
        <f t="shared" si="85"/>
        <v>0.53006612835698919</v>
      </c>
      <c r="G478">
        <f t="shared" si="88"/>
        <v>9.9999999999988987E-4</v>
      </c>
      <c r="H478">
        <f>IF(MOD(COUNTA($C$7:C478)-1,$J$2),H477,ROUND(F478*P478,-2))</f>
        <v>5400</v>
      </c>
      <c r="I478">
        <f t="shared" si="89"/>
        <v>0</v>
      </c>
      <c r="J478">
        <f t="shared" si="90"/>
        <v>0</v>
      </c>
      <c r="K478">
        <f t="shared" si="91"/>
        <v>-10841.284185958069</v>
      </c>
      <c r="L478">
        <f t="shared" si="92"/>
        <v>1044.1158140419302</v>
      </c>
      <c r="M478">
        <f t="shared" si="93"/>
        <v>5.3999999999978172</v>
      </c>
      <c r="N478">
        <f t="shared" si="95"/>
        <v>1044.1158140419302</v>
      </c>
      <c r="O478" s="5">
        <f t="shared" si="86"/>
        <v>9.6639451571594925E-2</v>
      </c>
      <c r="P478">
        <f t="shared" si="94"/>
        <v>10000</v>
      </c>
      <c r="Q478">
        <f t="shared" si="87"/>
        <v>966.3945157159493</v>
      </c>
    </row>
    <row r="479" spans="1:17" x14ac:dyDescent="0.15">
      <c r="A479" s="10">
        <v>45885.600694444962</v>
      </c>
      <c r="B479">
        <f>COUNT(A479:$A$1158)/(48*252)</f>
        <v>5.6216931216931214E-2</v>
      </c>
      <c r="C479">
        <v>2.2010000000000001</v>
      </c>
      <c r="D479">
        <v>5.8000000000000003E-2</v>
      </c>
      <c r="E479">
        <f t="shared" si="84"/>
        <v>7.5386600849034674E-2</v>
      </c>
      <c r="F479">
        <f t="shared" si="85"/>
        <v>0.53004644007725421</v>
      </c>
      <c r="G479">
        <f t="shared" si="88"/>
        <v>0</v>
      </c>
      <c r="H479">
        <f>IF(MOD(COUNTA($C$7:C479)-1,$J$2),H478,ROUND(F479*P479,-2))</f>
        <v>5400</v>
      </c>
      <c r="I479">
        <f t="shared" si="89"/>
        <v>0</v>
      </c>
      <c r="J479">
        <f t="shared" si="90"/>
        <v>0</v>
      </c>
      <c r="K479">
        <f t="shared" si="91"/>
        <v>-10841.284185958069</v>
      </c>
      <c r="L479">
        <f t="shared" si="92"/>
        <v>1044.1158140419302</v>
      </c>
      <c r="M479">
        <f t="shared" si="93"/>
        <v>0</v>
      </c>
      <c r="N479">
        <f t="shared" si="95"/>
        <v>1044.1158140419302</v>
      </c>
      <c r="O479" s="5">
        <f t="shared" si="86"/>
        <v>9.6569648956095877E-2</v>
      </c>
      <c r="P479">
        <f t="shared" si="94"/>
        <v>10000</v>
      </c>
      <c r="Q479">
        <f t="shared" si="87"/>
        <v>965.69648956095875</v>
      </c>
    </row>
    <row r="480" spans="1:17" x14ac:dyDescent="0.15">
      <c r="A480" s="10">
        <v>45885.604166666977</v>
      </c>
      <c r="B480">
        <f>COUNT(A480:$A$1158)/(48*252)</f>
        <v>5.6134259259259259E-2</v>
      </c>
      <c r="C480">
        <v>2.2029999999999998</v>
      </c>
      <c r="D480">
        <v>5.8999999999999997E-2</v>
      </c>
      <c r="E480">
        <f t="shared" si="84"/>
        <v>8.3393591964074698E-2</v>
      </c>
      <c r="F480">
        <f t="shared" si="85"/>
        <v>0.53323070818153373</v>
      </c>
      <c r="G480">
        <f t="shared" si="88"/>
        <v>1.9999999999997797E-3</v>
      </c>
      <c r="H480">
        <f>IF(MOD(COUNTA($C$7:C480)-1,$J$2),H479,ROUND(F480*P480,-2))</f>
        <v>5400</v>
      </c>
      <c r="I480">
        <f t="shared" si="89"/>
        <v>0</v>
      </c>
      <c r="J480">
        <f t="shared" si="90"/>
        <v>0</v>
      </c>
      <c r="K480">
        <f t="shared" si="91"/>
        <v>-10841.284185958069</v>
      </c>
      <c r="L480">
        <f t="shared" si="92"/>
        <v>1054.9158140419295</v>
      </c>
      <c r="M480">
        <f t="shared" si="93"/>
        <v>10.799999999999272</v>
      </c>
      <c r="N480">
        <f t="shared" si="95"/>
        <v>1054.9158140419295</v>
      </c>
      <c r="O480" s="5">
        <f t="shared" si="86"/>
        <v>9.5563050869774901E-2</v>
      </c>
      <c r="P480">
        <f t="shared" si="94"/>
        <v>10000</v>
      </c>
      <c r="Q480">
        <f t="shared" si="87"/>
        <v>955.63050869774906</v>
      </c>
    </row>
    <row r="481" spans="1:17" x14ac:dyDescent="0.15">
      <c r="A481" s="10">
        <v>45885.607638888992</v>
      </c>
      <c r="B481">
        <f>COUNT(A481:$A$1158)/(48*252)</f>
        <v>5.6051587301587304E-2</v>
      </c>
      <c r="C481">
        <v>2.2050000000000001</v>
      </c>
      <c r="D481">
        <v>0.06</v>
      </c>
      <c r="E481">
        <f t="shared" si="84"/>
        <v>9.1405113155218667E-2</v>
      </c>
      <c r="F481">
        <f t="shared" si="85"/>
        <v>0.53641465047533787</v>
      </c>
      <c r="G481">
        <f t="shared" si="88"/>
        <v>2.0000000000002238E-3</v>
      </c>
      <c r="H481">
        <f>IF(MOD(COUNTA($C$7:C481)-1,$J$2),H480,ROUND(F481*P481,-2))</f>
        <v>5400</v>
      </c>
      <c r="I481">
        <f t="shared" si="89"/>
        <v>0</v>
      </c>
      <c r="J481">
        <f t="shared" si="90"/>
        <v>0</v>
      </c>
      <c r="K481">
        <f t="shared" si="91"/>
        <v>-10841.284185958069</v>
      </c>
      <c r="L481">
        <f t="shared" si="92"/>
        <v>1065.7158140419306</v>
      </c>
      <c r="M481">
        <f t="shared" si="93"/>
        <v>10.800000000001091</v>
      </c>
      <c r="N481">
        <f t="shared" si="95"/>
        <v>1065.7158140419306</v>
      </c>
      <c r="O481" s="5">
        <f t="shared" si="86"/>
        <v>9.4562732471651145E-2</v>
      </c>
      <c r="P481">
        <f t="shared" si="94"/>
        <v>10000</v>
      </c>
      <c r="Q481">
        <f t="shared" si="87"/>
        <v>945.62732471651145</v>
      </c>
    </row>
    <row r="482" spans="1:17" x14ac:dyDescent="0.15">
      <c r="A482" s="10">
        <v>45885.611111111008</v>
      </c>
      <c r="B482">
        <f>COUNT(A482:$A$1158)/(48*252)</f>
        <v>5.5968915343915342E-2</v>
      </c>
      <c r="C482">
        <v>2.2040000000000002</v>
      </c>
      <c r="D482">
        <v>0.06</v>
      </c>
      <c r="E482">
        <f t="shared" si="84"/>
        <v>8.7337796356350916E-2</v>
      </c>
      <c r="F482">
        <f t="shared" si="85"/>
        <v>0.53479849417906666</v>
      </c>
      <c r="G482">
        <f t="shared" si="88"/>
        <v>-9.9999999999988987E-4</v>
      </c>
      <c r="H482">
        <f>IF(MOD(COUNTA($C$7:C482)-1,$J$2),H481,ROUND(F482*P482,-2))</f>
        <v>5400</v>
      </c>
      <c r="I482">
        <f t="shared" si="89"/>
        <v>0</v>
      </c>
      <c r="J482">
        <f t="shared" si="90"/>
        <v>0</v>
      </c>
      <c r="K482">
        <f t="shared" si="91"/>
        <v>-10841.284185958069</v>
      </c>
      <c r="L482">
        <f t="shared" si="92"/>
        <v>1060.3158140419309</v>
      </c>
      <c r="M482">
        <f t="shared" si="93"/>
        <v>-5.3999999999996362</v>
      </c>
      <c r="N482">
        <f t="shared" si="95"/>
        <v>1060.3158140419309</v>
      </c>
      <c r="O482" s="5">
        <f t="shared" si="86"/>
        <v>9.4957099678569357E-2</v>
      </c>
      <c r="P482">
        <f t="shared" si="94"/>
        <v>10000</v>
      </c>
      <c r="Q482">
        <f t="shared" si="87"/>
        <v>949.57099678569352</v>
      </c>
    </row>
    <row r="483" spans="1:17" x14ac:dyDescent="0.15">
      <c r="A483" s="10">
        <v>45885.614583333023</v>
      </c>
      <c r="B483">
        <f>COUNT(A483:$A$1158)/(48*252)</f>
        <v>5.5886243386243387E-2</v>
      </c>
      <c r="C483">
        <v>2.2029999999999998</v>
      </c>
      <c r="D483">
        <v>5.8999999999999997E-2</v>
      </c>
      <c r="E483">
        <f t="shared" si="84"/>
        <v>8.326268484290883E-2</v>
      </c>
      <c r="F483">
        <f t="shared" si="85"/>
        <v>0.53317866479382114</v>
      </c>
      <c r="G483">
        <f t="shared" si="88"/>
        <v>-1.000000000000334E-3</v>
      </c>
      <c r="H483">
        <f>IF(MOD(COUNTA($C$7:C483)-1,$J$2),H482,ROUND(F483*P483,-2))</f>
        <v>5400</v>
      </c>
      <c r="I483">
        <f t="shared" si="89"/>
        <v>0</v>
      </c>
      <c r="J483">
        <f t="shared" si="90"/>
        <v>0</v>
      </c>
      <c r="K483">
        <f t="shared" si="91"/>
        <v>-10841.284185958069</v>
      </c>
      <c r="L483">
        <f t="shared" si="92"/>
        <v>1054.9158140419295</v>
      </c>
      <c r="M483">
        <f t="shared" si="93"/>
        <v>-5.4000000000014552</v>
      </c>
      <c r="N483">
        <f t="shared" si="95"/>
        <v>1054.9158140419295</v>
      </c>
      <c r="O483" s="5">
        <f t="shared" si="86"/>
        <v>9.5353046914465667E-2</v>
      </c>
      <c r="P483">
        <f t="shared" si="94"/>
        <v>10000</v>
      </c>
      <c r="Q483">
        <f t="shared" si="87"/>
        <v>953.53046914465665</v>
      </c>
    </row>
    <row r="484" spans="1:17" x14ac:dyDescent="0.15">
      <c r="A484" s="10">
        <v>45885.618055555969</v>
      </c>
      <c r="B484">
        <f>COUNT(A484:$A$1158)/(48*252)</f>
        <v>5.5803571428571432E-2</v>
      </c>
      <c r="C484">
        <v>2.2010000000000001</v>
      </c>
      <c r="D484">
        <v>5.7000000000000002E-2</v>
      </c>
      <c r="E484">
        <f t="shared" si="84"/>
        <v>7.5138660288196643E-2</v>
      </c>
      <c r="F484">
        <f t="shared" si="85"/>
        <v>0.529947805855711</v>
      </c>
      <c r="G484">
        <f t="shared" si="88"/>
        <v>-1.9999999999997797E-3</v>
      </c>
      <c r="H484">
        <f>IF(MOD(COUNTA($C$7:C484)-1,$J$2),H483,ROUND(F484*P484,-2))</f>
        <v>5400</v>
      </c>
      <c r="I484">
        <f t="shared" si="89"/>
        <v>0</v>
      </c>
      <c r="J484">
        <f t="shared" si="90"/>
        <v>0</v>
      </c>
      <c r="K484">
        <f t="shared" si="91"/>
        <v>-10841.284185958069</v>
      </c>
      <c r="L484">
        <f t="shared" si="92"/>
        <v>1044.1158140419302</v>
      </c>
      <c r="M484">
        <f t="shared" si="93"/>
        <v>-10.799999999999272</v>
      </c>
      <c r="N484">
        <f t="shared" si="95"/>
        <v>1044.1158140419302</v>
      </c>
      <c r="O484" s="5">
        <f t="shared" si="86"/>
        <v>9.621982733582124E-2</v>
      </c>
      <c r="P484">
        <f t="shared" si="94"/>
        <v>10000</v>
      </c>
      <c r="Q484">
        <f t="shared" si="87"/>
        <v>962.19827335821242</v>
      </c>
    </row>
    <row r="485" spans="1:17" x14ac:dyDescent="0.15">
      <c r="A485" s="10">
        <v>45885.621527777985</v>
      </c>
      <c r="B485">
        <f>COUNT(A485:$A$1158)/(48*252)</f>
        <v>5.572089947089947E-2</v>
      </c>
      <c r="C485">
        <v>2.1970000000000001</v>
      </c>
      <c r="D485">
        <v>5.5E-2</v>
      </c>
      <c r="E485">
        <f t="shared" si="84"/>
        <v>5.8894222542313295E-2</v>
      </c>
      <c r="F485">
        <f t="shared" si="85"/>
        <v>0.52348182009539745</v>
      </c>
      <c r="G485">
        <f t="shared" si="88"/>
        <v>-4.0000000000000036E-3</v>
      </c>
      <c r="H485">
        <f>IF(MOD(COUNTA($C$7:C485)-1,$J$2),H484,ROUND(F485*P485,-2))</f>
        <v>5400</v>
      </c>
      <c r="I485">
        <f t="shared" si="89"/>
        <v>0</v>
      </c>
      <c r="J485">
        <f t="shared" si="90"/>
        <v>0</v>
      </c>
      <c r="K485">
        <f t="shared" si="91"/>
        <v>-10841.284185958069</v>
      </c>
      <c r="L485">
        <f t="shared" si="92"/>
        <v>1022.5158140419317</v>
      </c>
      <c r="M485">
        <f t="shared" si="93"/>
        <v>-21.599999999998545</v>
      </c>
      <c r="N485">
        <f t="shared" si="95"/>
        <v>1022.5158140419317</v>
      </c>
      <c r="O485" s="5">
        <f t="shared" si="86"/>
        <v>9.8042874507132893E-2</v>
      </c>
      <c r="P485">
        <f t="shared" si="94"/>
        <v>10000</v>
      </c>
      <c r="Q485">
        <f t="shared" si="87"/>
        <v>980.42874507132888</v>
      </c>
    </row>
    <row r="486" spans="1:17" x14ac:dyDescent="0.15">
      <c r="A486" s="10">
        <v>45885.625</v>
      </c>
      <c r="B486">
        <f>COUNT(A486:$A$1158)/(48*252)</f>
        <v>5.5638227513227514E-2</v>
      </c>
      <c r="C486">
        <v>2.1960000000000002</v>
      </c>
      <c r="D486">
        <v>5.3999999999999999E-2</v>
      </c>
      <c r="E486">
        <f t="shared" si="84"/>
        <v>5.4776172383307883E-2</v>
      </c>
      <c r="F486">
        <f t="shared" si="85"/>
        <v>0.52184160821048942</v>
      </c>
      <c r="G486">
        <f t="shared" si="88"/>
        <v>-9.9999999999988987E-4</v>
      </c>
      <c r="H486">
        <f>IF(MOD(COUNTA($C$7:C486)-1,$J$2),H485,ROUND(F486*P486,-2))</f>
        <v>5400</v>
      </c>
      <c r="I486">
        <f t="shared" si="89"/>
        <v>0</v>
      </c>
      <c r="J486">
        <f t="shared" si="90"/>
        <v>0</v>
      </c>
      <c r="K486">
        <f t="shared" si="91"/>
        <v>-10841.284185958069</v>
      </c>
      <c r="L486">
        <f t="shared" si="92"/>
        <v>1017.115814041932</v>
      </c>
      <c r="M486">
        <f t="shared" si="93"/>
        <v>-5.3999999999996362</v>
      </c>
      <c r="N486">
        <f t="shared" si="95"/>
        <v>1017.115814041932</v>
      </c>
      <c r="O486" s="5">
        <f t="shared" si="86"/>
        <v>9.8450132397953194E-2</v>
      </c>
      <c r="P486">
        <f t="shared" si="94"/>
        <v>10000</v>
      </c>
      <c r="Q486">
        <f t="shared" si="87"/>
        <v>984.50132397953189</v>
      </c>
    </row>
    <row r="487" spans="1:17" x14ac:dyDescent="0.15">
      <c r="A487" s="10">
        <v>45886.399305555969</v>
      </c>
      <c r="B487">
        <f>COUNT(A487:$A$1158)/(48*252)</f>
        <v>5.5555555555555552E-2</v>
      </c>
      <c r="C487">
        <v>2.2029999999999998</v>
      </c>
      <c r="D487">
        <v>5.7000000000000002E-2</v>
      </c>
      <c r="E487">
        <f t="shared" si="84"/>
        <v>8.3087875379210169E-2</v>
      </c>
      <c r="F487">
        <f t="shared" si="85"/>
        <v>0.533109166722332</v>
      </c>
      <c r="G487">
        <f t="shared" si="88"/>
        <v>6.9999999999996732E-3</v>
      </c>
      <c r="H487">
        <f>IF(MOD(COUNTA($C$7:C487)-1,$J$2),H486,ROUND(F487*P487,-2))</f>
        <v>5300</v>
      </c>
      <c r="I487">
        <f t="shared" si="89"/>
        <v>-100</v>
      </c>
      <c r="J487">
        <f t="shared" si="90"/>
        <v>0</v>
      </c>
      <c r="K487">
        <f t="shared" si="91"/>
        <v>-10620.99409945807</v>
      </c>
      <c r="L487">
        <f t="shared" si="92"/>
        <v>1054.9059005419294</v>
      </c>
      <c r="M487">
        <f t="shared" si="93"/>
        <v>37.790086499997415</v>
      </c>
      <c r="N487">
        <f t="shared" si="95"/>
        <v>1054.9059005419294</v>
      </c>
      <c r="O487" s="5">
        <f t="shared" si="86"/>
        <v>9.5072281692279326E-2</v>
      </c>
      <c r="P487">
        <f t="shared" si="94"/>
        <v>10000</v>
      </c>
      <c r="Q487">
        <f t="shared" si="87"/>
        <v>950.7228169227933</v>
      </c>
    </row>
    <row r="488" spans="1:17" x14ac:dyDescent="0.15">
      <c r="A488" s="10">
        <v>45886.402777777985</v>
      </c>
      <c r="B488">
        <f>COUNT(A488:$A$1158)/(48*252)</f>
        <v>5.5472883597883597E-2</v>
      </c>
      <c r="C488">
        <v>2.2050000000000001</v>
      </c>
      <c r="D488">
        <v>5.8999999999999997E-2</v>
      </c>
      <c r="E488">
        <f t="shared" si="84"/>
        <v>9.1141170548019915E-2</v>
      </c>
      <c r="F488">
        <f t="shared" si="85"/>
        <v>0.53630979030482506</v>
      </c>
      <c r="G488">
        <f t="shared" si="88"/>
        <v>2.0000000000002238E-3</v>
      </c>
      <c r="H488">
        <f>IF(MOD(COUNTA($C$7:C488)-1,$J$2),H487,ROUND(F488*P488,-2))</f>
        <v>5300</v>
      </c>
      <c r="I488">
        <f t="shared" si="89"/>
        <v>0</v>
      </c>
      <c r="J488">
        <f t="shared" si="90"/>
        <v>0</v>
      </c>
      <c r="K488">
        <f t="shared" si="91"/>
        <v>-10620.99409945807</v>
      </c>
      <c r="L488">
        <f t="shared" si="92"/>
        <v>1065.5059005419298</v>
      </c>
      <c r="M488">
        <f t="shared" si="93"/>
        <v>10.600000000000364</v>
      </c>
      <c r="N488">
        <f t="shared" si="95"/>
        <v>1065.5059005419298</v>
      </c>
      <c r="O488" s="5">
        <f t="shared" si="86"/>
        <v>9.4071356305101661E-2</v>
      </c>
      <c r="P488">
        <f t="shared" si="94"/>
        <v>10000</v>
      </c>
      <c r="Q488">
        <f t="shared" si="87"/>
        <v>940.71356305101665</v>
      </c>
    </row>
    <row r="489" spans="1:17" x14ac:dyDescent="0.15">
      <c r="A489" s="10">
        <v>45886.40625</v>
      </c>
      <c r="B489">
        <f>COUNT(A489:$A$1158)/(48*252)</f>
        <v>5.5390211640211642E-2</v>
      </c>
      <c r="C489">
        <v>2.2120000000000002</v>
      </c>
      <c r="D489">
        <v>6.0999999999999999E-2</v>
      </c>
      <c r="E489">
        <f t="shared" si="84"/>
        <v>0.11940647542272208</v>
      </c>
      <c r="F489">
        <f t="shared" si="85"/>
        <v>0.54752333432225064</v>
      </c>
      <c r="G489">
        <f t="shared" si="88"/>
        <v>7.0000000000001172E-3</v>
      </c>
      <c r="H489">
        <f>IF(MOD(COUNTA($C$7:C489)-1,$J$2),H488,ROUND(F489*P489,-2))</f>
        <v>5300</v>
      </c>
      <c r="I489">
        <f t="shared" si="89"/>
        <v>0</v>
      </c>
      <c r="J489">
        <f t="shared" si="90"/>
        <v>0</v>
      </c>
      <c r="K489">
        <f t="shared" si="91"/>
        <v>-10620.99409945807</v>
      </c>
      <c r="L489">
        <f t="shared" si="92"/>
        <v>1102.6059005419302</v>
      </c>
      <c r="M489">
        <f t="shared" si="93"/>
        <v>37.100000000000364</v>
      </c>
      <c r="N489">
        <f t="shared" si="95"/>
        <v>1102.6059005419302</v>
      </c>
      <c r="O489" s="5">
        <f t="shared" si="86"/>
        <v>9.0794344999084897E-2</v>
      </c>
      <c r="P489">
        <f t="shared" si="94"/>
        <v>10000</v>
      </c>
      <c r="Q489">
        <f t="shared" si="87"/>
        <v>907.94344999084899</v>
      </c>
    </row>
    <row r="490" spans="1:17" x14ac:dyDescent="0.15">
      <c r="A490" s="10">
        <v>45886.409722222015</v>
      </c>
      <c r="B490">
        <f>COUNT(A490:$A$1158)/(48*252)</f>
        <v>5.530753968253968E-2</v>
      </c>
      <c r="C490">
        <v>2.2090000000000001</v>
      </c>
      <c r="D490">
        <v>6.0999999999999999E-2</v>
      </c>
      <c r="E490">
        <f t="shared" si="84"/>
        <v>0.1072619437152736</v>
      </c>
      <c r="F490">
        <f t="shared" si="85"/>
        <v>0.5427094125842592</v>
      </c>
      <c r="G490">
        <f t="shared" si="88"/>
        <v>-3.0000000000001137E-3</v>
      </c>
      <c r="H490">
        <f>IF(MOD(COUNTA($C$7:C490)-1,$J$2),H489,ROUND(F490*P490,-2))</f>
        <v>5300</v>
      </c>
      <c r="I490">
        <f t="shared" si="89"/>
        <v>0</v>
      </c>
      <c r="J490">
        <f t="shared" si="90"/>
        <v>0</v>
      </c>
      <c r="K490">
        <f t="shared" si="91"/>
        <v>-10620.99409945807</v>
      </c>
      <c r="L490">
        <f t="shared" si="92"/>
        <v>1086.7059005419305</v>
      </c>
      <c r="M490">
        <f t="shared" si="93"/>
        <v>-15.899999999999636</v>
      </c>
      <c r="N490">
        <f t="shared" si="95"/>
        <v>1086.7059005419305</v>
      </c>
      <c r="O490" s="5">
        <f t="shared" si="86"/>
        <v>9.2088456990343737E-2</v>
      </c>
      <c r="P490">
        <f t="shared" si="94"/>
        <v>10000</v>
      </c>
      <c r="Q490">
        <f t="shared" si="87"/>
        <v>920.88456990343741</v>
      </c>
    </row>
    <row r="491" spans="1:17" x14ac:dyDescent="0.15">
      <c r="A491" s="10">
        <v>45886.413194444962</v>
      </c>
      <c r="B491">
        <f>COUNT(A491:$A$1158)/(48*252)</f>
        <v>5.5224867724867725E-2</v>
      </c>
      <c r="C491">
        <v>2.2090000000000001</v>
      </c>
      <c r="D491">
        <v>5.8999999999999997E-2</v>
      </c>
      <c r="E491">
        <f t="shared" si="84"/>
        <v>0.10723632214280963</v>
      </c>
      <c r="F491">
        <f t="shared" si="85"/>
        <v>0.54269924967292726</v>
      </c>
      <c r="G491">
        <f t="shared" si="88"/>
        <v>0</v>
      </c>
      <c r="H491">
        <f>IF(MOD(COUNTA($C$7:C491)-1,$J$2),H490,ROUND(F491*P491,-2))</f>
        <v>5300</v>
      </c>
      <c r="I491">
        <f t="shared" si="89"/>
        <v>0</v>
      </c>
      <c r="J491">
        <f t="shared" si="90"/>
        <v>0</v>
      </c>
      <c r="K491">
        <f t="shared" si="91"/>
        <v>-10620.99409945807</v>
      </c>
      <c r="L491">
        <f t="shared" si="92"/>
        <v>1086.7059005419305</v>
      </c>
      <c r="M491">
        <f t="shared" si="93"/>
        <v>0</v>
      </c>
      <c r="N491">
        <f t="shared" si="95"/>
        <v>1086.7059005419305</v>
      </c>
      <c r="O491" s="5">
        <f t="shared" si="86"/>
        <v>9.2017881548351887E-2</v>
      </c>
      <c r="P491">
        <f t="shared" si="94"/>
        <v>10000</v>
      </c>
      <c r="Q491">
        <f t="shared" si="87"/>
        <v>920.17881548351886</v>
      </c>
    </row>
    <row r="492" spans="1:17" x14ac:dyDescent="0.15">
      <c r="A492" s="10">
        <v>45886.416666666977</v>
      </c>
      <c r="B492">
        <f>COUNT(A492:$A$1158)/(48*252)</f>
        <v>5.514219576719577E-2</v>
      </c>
      <c r="C492">
        <v>2.2120000000000002</v>
      </c>
      <c r="D492">
        <v>6.0999999999999999E-2</v>
      </c>
      <c r="E492">
        <f t="shared" si="84"/>
        <v>0.11935683414128674</v>
      </c>
      <c r="F492">
        <f t="shared" si="85"/>
        <v>0.54750367093774988</v>
      </c>
      <c r="G492">
        <f t="shared" si="88"/>
        <v>3.0000000000001137E-3</v>
      </c>
      <c r="H492">
        <f>IF(MOD(COUNTA($C$7:C492)-1,$J$2),H491,ROUND(F492*P492,-2))</f>
        <v>5300</v>
      </c>
      <c r="I492">
        <f t="shared" si="89"/>
        <v>0</v>
      </c>
      <c r="J492">
        <f t="shared" si="90"/>
        <v>0</v>
      </c>
      <c r="K492">
        <f t="shared" si="91"/>
        <v>-10620.99409945807</v>
      </c>
      <c r="L492">
        <f t="shared" si="92"/>
        <v>1102.6059005419302</v>
      </c>
      <c r="M492">
        <f t="shared" si="93"/>
        <v>15.899999999999636</v>
      </c>
      <c r="N492">
        <f t="shared" si="95"/>
        <v>1102.6059005419302</v>
      </c>
      <c r="O492" s="5">
        <f t="shared" si="86"/>
        <v>9.0582543331896304E-2</v>
      </c>
      <c r="P492">
        <f t="shared" si="94"/>
        <v>10000</v>
      </c>
      <c r="Q492">
        <f t="shared" si="87"/>
        <v>905.82543331896306</v>
      </c>
    </row>
    <row r="493" spans="1:17" x14ac:dyDescent="0.15">
      <c r="A493" s="10">
        <v>45886.420138888992</v>
      </c>
      <c r="B493">
        <f>COUNT(A493:$A$1158)/(48*252)</f>
        <v>5.5059523809523808E-2</v>
      </c>
      <c r="C493">
        <v>2.2149999999999999</v>
      </c>
      <c r="D493">
        <v>6.2E-2</v>
      </c>
      <c r="E493">
        <f t="shared" si="84"/>
        <v>0.13147912436287579</v>
      </c>
      <c r="F493">
        <f t="shared" si="85"/>
        <v>0.55230185022315759</v>
      </c>
      <c r="G493">
        <f t="shared" si="88"/>
        <v>2.9999999999996696E-3</v>
      </c>
      <c r="H493">
        <f>IF(MOD(COUNTA($C$7:C493)-1,$J$2),H492,ROUND(F493*P493,-2))</f>
        <v>5500</v>
      </c>
      <c r="I493">
        <f t="shared" si="89"/>
        <v>200</v>
      </c>
      <c r="J493">
        <f t="shared" si="90"/>
        <v>0</v>
      </c>
      <c r="K493">
        <f t="shared" si="91"/>
        <v>-11064.01403445807</v>
      </c>
      <c r="L493">
        <f t="shared" si="92"/>
        <v>1118.4859655419295</v>
      </c>
      <c r="M493">
        <f t="shared" si="93"/>
        <v>15.880064999999377</v>
      </c>
      <c r="N493">
        <f t="shared" si="95"/>
        <v>1118.4859655419295</v>
      </c>
      <c r="O493" s="5">
        <f t="shared" si="86"/>
        <v>8.9161534299005196E-2</v>
      </c>
      <c r="P493">
        <f t="shared" si="94"/>
        <v>10000</v>
      </c>
      <c r="Q493">
        <f t="shared" si="87"/>
        <v>891.615342990052</v>
      </c>
    </row>
    <row r="494" spans="1:17" x14ac:dyDescent="0.15">
      <c r="A494" s="10">
        <v>45886.423611111008</v>
      </c>
      <c r="B494">
        <f>COUNT(A494:$A$1158)/(48*252)</f>
        <v>5.4976851851851853E-2</v>
      </c>
      <c r="C494">
        <v>2.2189999999999999</v>
      </c>
      <c r="D494">
        <v>6.3E-2</v>
      </c>
      <c r="E494">
        <f t="shared" si="84"/>
        <v>0.1476434274622476</v>
      </c>
      <c r="F494">
        <f t="shared" si="85"/>
        <v>0.5586879097499865</v>
      </c>
      <c r="G494">
        <f t="shared" si="88"/>
        <v>4.0000000000000036E-3</v>
      </c>
      <c r="H494">
        <f>IF(MOD(COUNTA($C$7:C494)-1,$J$2),H493,ROUND(F494*P494,-2))</f>
        <v>5500</v>
      </c>
      <c r="I494">
        <f t="shared" si="89"/>
        <v>0</v>
      </c>
      <c r="J494">
        <f t="shared" si="90"/>
        <v>0</v>
      </c>
      <c r="K494">
        <f t="shared" si="91"/>
        <v>-11064.01403445807</v>
      </c>
      <c r="L494">
        <f t="shared" si="92"/>
        <v>1140.4859655419295</v>
      </c>
      <c r="M494">
        <f t="shared" si="93"/>
        <v>22</v>
      </c>
      <c r="N494">
        <f t="shared" si="95"/>
        <v>1140.4859655419295</v>
      </c>
      <c r="O494" s="5">
        <f t="shared" si="86"/>
        <v>8.731273620173241E-2</v>
      </c>
      <c r="P494">
        <f t="shared" si="94"/>
        <v>10000</v>
      </c>
      <c r="Q494">
        <f t="shared" si="87"/>
        <v>873.12736201732412</v>
      </c>
    </row>
    <row r="495" spans="1:17" x14ac:dyDescent="0.15">
      <c r="A495" s="10">
        <v>45886.427083333023</v>
      </c>
      <c r="B495">
        <f>COUNT(A495:$A$1158)/(48*252)</f>
        <v>5.4894179894179891E-2</v>
      </c>
      <c r="C495">
        <v>2.2170000000000001</v>
      </c>
      <c r="D495">
        <v>6.2E-2</v>
      </c>
      <c r="E495">
        <f t="shared" si="84"/>
        <v>0.13956013069553172</v>
      </c>
      <c r="F495">
        <f t="shared" si="85"/>
        <v>0.55549622832636947</v>
      </c>
      <c r="G495">
        <f t="shared" si="88"/>
        <v>-1.9999999999997797E-3</v>
      </c>
      <c r="H495">
        <f>IF(MOD(COUNTA($C$7:C495)-1,$J$2),H494,ROUND(F495*P495,-2))</f>
        <v>5500</v>
      </c>
      <c r="I495">
        <f t="shared" si="89"/>
        <v>0</v>
      </c>
      <c r="J495">
        <f t="shared" si="90"/>
        <v>0</v>
      </c>
      <c r="K495">
        <f t="shared" si="91"/>
        <v>-11064.01403445807</v>
      </c>
      <c r="L495">
        <f t="shared" si="92"/>
        <v>1129.4859655419295</v>
      </c>
      <c r="M495">
        <f t="shared" si="93"/>
        <v>-11</v>
      </c>
      <c r="N495">
        <f t="shared" si="95"/>
        <v>1129.4859655419295</v>
      </c>
      <c r="O495" s="5">
        <f t="shared" si="86"/>
        <v>8.8127711224338601E-2</v>
      </c>
      <c r="P495">
        <f t="shared" si="94"/>
        <v>10000</v>
      </c>
      <c r="Q495">
        <f t="shared" si="87"/>
        <v>881.277112243386</v>
      </c>
    </row>
    <row r="496" spans="1:17" x14ac:dyDescent="0.15">
      <c r="A496" s="10">
        <v>45886.430555555969</v>
      </c>
      <c r="B496">
        <f>COUNT(A496:$A$1158)/(48*252)</f>
        <v>5.4811507936507936E-2</v>
      </c>
      <c r="C496">
        <v>2.2120000000000002</v>
      </c>
      <c r="D496">
        <v>5.8999999999999997E-2</v>
      </c>
      <c r="E496">
        <f t="shared" si="84"/>
        <v>0.11929123981152764</v>
      </c>
      <c r="F496">
        <f t="shared" si="85"/>
        <v>0.54747768822014931</v>
      </c>
      <c r="G496">
        <f t="shared" si="88"/>
        <v>-4.9999999999998934E-3</v>
      </c>
      <c r="H496">
        <f>IF(MOD(COUNTA($C$7:C496)-1,$J$2),H495,ROUND(F496*P496,-2))</f>
        <v>5500</v>
      </c>
      <c r="I496">
        <f t="shared" si="89"/>
        <v>0</v>
      </c>
      <c r="J496">
        <f t="shared" si="90"/>
        <v>0</v>
      </c>
      <c r="K496">
        <f t="shared" si="91"/>
        <v>-11064.01403445807</v>
      </c>
      <c r="L496">
        <f t="shared" si="92"/>
        <v>1101.9859655419314</v>
      </c>
      <c r="M496">
        <f t="shared" si="93"/>
        <v>-27.499999999998181</v>
      </c>
      <c r="N496">
        <f t="shared" si="95"/>
        <v>1101.9859655419314</v>
      </c>
      <c r="O496" s="5">
        <f t="shared" si="86"/>
        <v>9.0299366335692355E-2</v>
      </c>
      <c r="P496">
        <f t="shared" si="94"/>
        <v>10000</v>
      </c>
      <c r="Q496">
        <f t="shared" si="87"/>
        <v>902.99366335692355</v>
      </c>
    </row>
    <row r="497" spans="1:17" x14ac:dyDescent="0.15">
      <c r="A497" s="10">
        <v>45886.434027777985</v>
      </c>
      <c r="B497">
        <f>COUNT(A497:$A$1158)/(48*252)</f>
        <v>5.4728835978835981E-2</v>
      </c>
      <c r="C497">
        <v>2.214</v>
      </c>
      <c r="D497">
        <v>6.0999999999999999E-2</v>
      </c>
      <c r="E497">
        <f t="shared" si="84"/>
        <v>0.12739369575549672</v>
      </c>
      <c r="F497">
        <f t="shared" si="85"/>
        <v>0.55068559717680388</v>
      </c>
      <c r="G497">
        <f t="shared" si="88"/>
        <v>1.9999999999997797E-3</v>
      </c>
      <c r="H497">
        <f>IF(MOD(COUNTA($C$7:C497)-1,$J$2),H496,ROUND(F497*P497,-2))</f>
        <v>5500</v>
      </c>
      <c r="I497">
        <f t="shared" si="89"/>
        <v>0</v>
      </c>
      <c r="J497">
        <f t="shared" si="90"/>
        <v>0</v>
      </c>
      <c r="K497">
        <f t="shared" si="91"/>
        <v>-11064.01403445807</v>
      </c>
      <c r="L497">
        <f t="shared" si="92"/>
        <v>1112.9859655419295</v>
      </c>
      <c r="M497">
        <f t="shared" si="93"/>
        <v>10.999999999998181</v>
      </c>
      <c r="N497">
        <f t="shared" si="95"/>
        <v>1112.9859655419295</v>
      </c>
      <c r="O497" s="5">
        <f t="shared" si="86"/>
        <v>8.9326590757309088E-2</v>
      </c>
      <c r="P497">
        <f t="shared" si="94"/>
        <v>10000</v>
      </c>
      <c r="Q497">
        <f t="shared" si="87"/>
        <v>893.26590757309089</v>
      </c>
    </row>
    <row r="498" spans="1:17" x14ac:dyDescent="0.15">
      <c r="A498" s="10">
        <v>45886.4375</v>
      </c>
      <c r="B498">
        <f>COUNT(A498:$A$1158)/(48*252)</f>
        <v>5.4646164021164019E-2</v>
      </c>
      <c r="C498">
        <v>2.2160000000000002</v>
      </c>
      <c r="D498">
        <v>6.2E-2</v>
      </c>
      <c r="E498">
        <f t="shared" si="84"/>
        <v>0.13550113680381776</v>
      </c>
      <c r="F498">
        <f t="shared" si="85"/>
        <v>0.55389216724612067</v>
      </c>
      <c r="G498">
        <f t="shared" si="88"/>
        <v>2.0000000000002238E-3</v>
      </c>
      <c r="H498">
        <f>IF(MOD(COUNTA($C$7:C498)-1,$J$2),H497,ROUND(F498*P498,-2))</f>
        <v>5500</v>
      </c>
      <c r="I498">
        <f t="shared" si="89"/>
        <v>0</v>
      </c>
      <c r="J498">
        <f t="shared" si="90"/>
        <v>0</v>
      </c>
      <c r="K498">
        <f t="shared" si="91"/>
        <v>-11064.01403445807</v>
      </c>
      <c r="L498">
        <f t="shared" si="92"/>
        <v>1123.9859655419314</v>
      </c>
      <c r="M498">
        <f t="shared" si="93"/>
        <v>11.000000000001819</v>
      </c>
      <c r="N498">
        <f t="shared" si="95"/>
        <v>1123.9859655419314</v>
      </c>
      <c r="O498" s="5">
        <f t="shared" si="86"/>
        <v>8.8360165785488221E-2</v>
      </c>
      <c r="P498">
        <f t="shared" si="94"/>
        <v>10000</v>
      </c>
      <c r="Q498">
        <f t="shared" si="87"/>
        <v>883.60165785488221</v>
      </c>
    </row>
    <row r="499" spans="1:17" x14ac:dyDescent="0.15">
      <c r="A499" s="10">
        <v>45886.440972222015</v>
      </c>
      <c r="B499">
        <f>COUNT(A499:$A$1158)/(48*252)</f>
        <v>5.4563492063492064E-2</v>
      </c>
      <c r="C499">
        <v>2.214</v>
      </c>
      <c r="D499">
        <v>6.0999999999999999E-2</v>
      </c>
      <c r="E499">
        <f t="shared" si="84"/>
        <v>0.12737353613502028</v>
      </c>
      <c r="F499">
        <f t="shared" si="85"/>
        <v>0.5506776196392118</v>
      </c>
      <c r="G499">
        <f t="shared" si="88"/>
        <v>-2.0000000000002238E-3</v>
      </c>
      <c r="H499">
        <f>IF(MOD(COUNTA($C$7:C499)-1,$J$2),H498,ROUND(F499*P499,-2))</f>
        <v>5500</v>
      </c>
      <c r="I499">
        <f t="shared" si="89"/>
        <v>0</v>
      </c>
      <c r="J499">
        <f t="shared" si="90"/>
        <v>0</v>
      </c>
      <c r="K499">
        <f t="shared" si="91"/>
        <v>-11064.01403445807</v>
      </c>
      <c r="L499">
        <f t="shared" si="92"/>
        <v>1112.9859655419295</v>
      </c>
      <c r="M499">
        <f t="shared" si="93"/>
        <v>-11.000000000001819</v>
      </c>
      <c r="N499">
        <f t="shared" si="95"/>
        <v>1112.9859655419295</v>
      </c>
      <c r="O499" s="5">
        <f t="shared" si="86"/>
        <v>8.918453516676339E-2</v>
      </c>
      <c r="P499">
        <f t="shared" si="94"/>
        <v>10000</v>
      </c>
      <c r="Q499">
        <f t="shared" si="87"/>
        <v>891.84535166763385</v>
      </c>
    </row>
    <row r="500" spans="1:17" x14ac:dyDescent="0.15">
      <c r="A500" s="10">
        <v>45886.444444444962</v>
      </c>
      <c r="B500">
        <f>COUNT(A500:$A$1158)/(48*252)</f>
        <v>5.4480820105820109E-2</v>
      </c>
      <c r="C500">
        <v>2.214</v>
      </c>
      <c r="D500">
        <v>6.0999999999999999E-2</v>
      </c>
      <c r="E500">
        <f t="shared" si="84"/>
        <v>0.12736354306120559</v>
      </c>
      <c r="F500">
        <f t="shared" si="85"/>
        <v>0.55067366518604111</v>
      </c>
      <c r="G500">
        <f t="shared" si="88"/>
        <v>0</v>
      </c>
      <c r="H500">
        <f>IF(MOD(COUNTA($C$7:C500)-1,$J$2),H499,ROUND(F500*P500,-2))</f>
        <v>5500</v>
      </c>
      <c r="I500">
        <f t="shared" si="89"/>
        <v>0</v>
      </c>
      <c r="J500">
        <f t="shared" si="90"/>
        <v>0</v>
      </c>
      <c r="K500">
        <f t="shared" si="91"/>
        <v>-11064.01403445807</v>
      </c>
      <c r="L500">
        <f t="shared" si="92"/>
        <v>1112.9859655419295</v>
      </c>
      <c r="M500">
        <f t="shared" si="93"/>
        <v>0</v>
      </c>
      <c r="N500">
        <f t="shared" si="95"/>
        <v>1112.9859655419295</v>
      </c>
      <c r="O500" s="5">
        <f t="shared" si="86"/>
        <v>8.9113423229545297E-2</v>
      </c>
      <c r="P500">
        <f t="shared" si="94"/>
        <v>10000</v>
      </c>
      <c r="Q500">
        <f t="shared" si="87"/>
        <v>891.13423229545299</v>
      </c>
    </row>
    <row r="501" spans="1:17" x14ac:dyDescent="0.15">
      <c r="A501" s="10">
        <v>45886.447916666977</v>
      </c>
      <c r="B501">
        <f>COUNT(A501:$A$1158)/(48*252)</f>
        <v>5.4398148148148147E-2</v>
      </c>
      <c r="C501">
        <v>2.21</v>
      </c>
      <c r="D501">
        <v>5.8999999999999997E-2</v>
      </c>
      <c r="E501">
        <f t="shared" si="84"/>
        <v>0.11105946867467491</v>
      </c>
      <c r="F501">
        <f t="shared" si="85"/>
        <v>0.54421540541851754</v>
      </c>
      <c r="G501">
        <f t="shared" si="88"/>
        <v>-4.0000000000000036E-3</v>
      </c>
      <c r="H501">
        <f>IF(MOD(COUNTA($C$7:C501)-1,$J$2),H500,ROUND(F501*P501,-2))</f>
        <v>5500</v>
      </c>
      <c r="I501">
        <f t="shared" si="89"/>
        <v>0</v>
      </c>
      <c r="J501">
        <f t="shared" si="90"/>
        <v>0</v>
      </c>
      <c r="K501">
        <f t="shared" si="91"/>
        <v>-11064.01403445807</v>
      </c>
      <c r="L501">
        <f t="shared" si="92"/>
        <v>1090.9859655419295</v>
      </c>
      <c r="M501">
        <f t="shared" si="93"/>
        <v>-22</v>
      </c>
      <c r="N501">
        <f t="shared" si="95"/>
        <v>1090.9859655419295</v>
      </c>
      <c r="O501" s="5">
        <f t="shared" si="86"/>
        <v>9.0852476680648886E-2</v>
      </c>
      <c r="P501">
        <f t="shared" si="94"/>
        <v>10000</v>
      </c>
      <c r="Q501">
        <f t="shared" si="87"/>
        <v>908.52476680648886</v>
      </c>
    </row>
    <row r="502" spans="1:17" x14ac:dyDescent="0.15">
      <c r="A502" s="10">
        <v>45886.451388888992</v>
      </c>
      <c r="B502">
        <f>COUNT(A502:$A$1158)/(48*252)</f>
        <v>5.4315476190476192E-2</v>
      </c>
      <c r="C502">
        <v>2.2090000000000001</v>
      </c>
      <c r="D502">
        <v>5.8000000000000003E-2</v>
      </c>
      <c r="E502">
        <f t="shared" si="84"/>
        <v>0.10695595120634083</v>
      </c>
      <c r="F502">
        <f t="shared" si="85"/>
        <v>0.54258803746360573</v>
      </c>
      <c r="G502">
        <f t="shared" si="88"/>
        <v>-9.9999999999988987E-4</v>
      </c>
      <c r="H502">
        <f>IF(MOD(COUNTA($C$7:C502)-1,$J$2),H501,ROUND(F502*P502,-2))</f>
        <v>5500</v>
      </c>
      <c r="I502">
        <f t="shared" si="89"/>
        <v>0</v>
      </c>
      <c r="J502">
        <f t="shared" si="90"/>
        <v>0</v>
      </c>
      <c r="K502">
        <f t="shared" si="91"/>
        <v>-11064.01403445807</v>
      </c>
      <c r="L502">
        <f t="shared" si="92"/>
        <v>1085.4859655419295</v>
      </c>
      <c r="M502">
        <f t="shared" si="93"/>
        <v>-5.5</v>
      </c>
      <c r="N502">
        <f t="shared" si="95"/>
        <v>1085.4859655419295</v>
      </c>
      <c r="O502" s="5">
        <f t="shared" si="86"/>
        <v>9.1237880129896975E-2</v>
      </c>
      <c r="P502">
        <f t="shared" si="94"/>
        <v>10000</v>
      </c>
      <c r="Q502">
        <f t="shared" si="87"/>
        <v>912.37880129896973</v>
      </c>
    </row>
    <row r="503" spans="1:17" x14ac:dyDescent="0.15">
      <c r="A503" s="10">
        <v>45886.454861111008</v>
      </c>
      <c r="B503">
        <f>COUNT(A503:$A$1158)/(48*252)</f>
        <v>5.423280423280423E-2</v>
      </c>
      <c r="C503">
        <v>2.2080000000000002</v>
      </c>
      <c r="D503">
        <v>5.8000000000000003E-2</v>
      </c>
      <c r="E503">
        <f t="shared" si="84"/>
        <v>0.10284439575025331</v>
      </c>
      <c r="F503">
        <f t="shared" si="85"/>
        <v>0.54095676533021531</v>
      </c>
      <c r="G503">
        <f t="shared" si="88"/>
        <v>-9.9999999999988987E-4</v>
      </c>
      <c r="H503">
        <f>IF(MOD(COUNTA($C$7:C503)-1,$J$2),H502,ROUND(F503*P503,-2))</f>
        <v>5500</v>
      </c>
      <c r="I503">
        <f t="shared" si="89"/>
        <v>0</v>
      </c>
      <c r="J503">
        <f t="shared" si="90"/>
        <v>0</v>
      </c>
      <c r="K503">
        <f t="shared" si="91"/>
        <v>-11064.01403445807</v>
      </c>
      <c r="L503">
        <f t="shared" si="92"/>
        <v>1079.9859655419314</v>
      </c>
      <c r="M503">
        <f t="shared" si="93"/>
        <v>-5.499999999998181</v>
      </c>
      <c r="N503">
        <f t="shared" si="95"/>
        <v>1079.9859655419314</v>
      </c>
      <c r="O503" s="5">
        <f t="shared" si="86"/>
        <v>9.162486636074707E-2</v>
      </c>
      <c r="P503">
        <f t="shared" si="94"/>
        <v>10000</v>
      </c>
      <c r="Q503">
        <f t="shared" si="87"/>
        <v>916.24866360747069</v>
      </c>
    </row>
    <row r="504" spans="1:17" x14ac:dyDescent="0.15">
      <c r="A504" s="10">
        <v>45886.458333333023</v>
      </c>
      <c r="B504">
        <f>COUNT(A504:$A$1158)/(48*252)</f>
        <v>5.4150132275132275E-2</v>
      </c>
      <c r="C504">
        <v>2.2069999999999999</v>
      </c>
      <c r="D504">
        <v>5.8000000000000003E-2</v>
      </c>
      <c r="E504">
        <f t="shared" si="84"/>
        <v>9.8724775219194719E-2</v>
      </c>
      <c r="F504">
        <f t="shared" si="85"/>
        <v>0.53932160141134478</v>
      </c>
      <c r="G504">
        <f t="shared" si="88"/>
        <v>-1.000000000000334E-3</v>
      </c>
      <c r="H504">
        <f>IF(MOD(COUNTA($C$7:C504)-1,$J$2),H503,ROUND(F504*P504,-2))</f>
        <v>5500</v>
      </c>
      <c r="I504">
        <f t="shared" si="89"/>
        <v>0</v>
      </c>
      <c r="J504">
        <f t="shared" si="90"/>
        <v>0</v>
      </c>
      <c r="K504">
        <f t="shared" si="91"/>
        <v>-11064.01403445807</v>
      </c>
      <c r="L504">
        <f t="shared" si="92"/>
        <v>1074.4859655419295</v>
      </c>
      <c r="M504">
        <f t="shared" si="93"/>
        <v>-5.500000000001819</v>
      </c>
      <c r="N504">
        <f t="shared" si="95"/>
        <v>1074.4859655419295</v>
      </c>
      <c r="O504" s="5">
        <f t="shared" si="86"/>
        <v>9.201344036532122E-2</v>
      </c>
      <c r="P504">
        <f t="shared" si="94"/>
        <v>10000</v>
      </c>
      <c r="Q504">
        <f t="shared" si="87"/>
        <v>920.13440365321219</v>
      </c>
    </row>
    <row r="505" spans="1:17" x14ac:dyDescent="0.15">
      <c r="A505" s="10">
        <v>45886.461805555969</v>
      </c>
      <c r="B505">
        <f>COUNT(A505:$A$1158)/(48*252)</f>
        <v>5.406746031746032E-2</v>
      </c>
      <c r="C505">
        <v>2.2080000000000002</v>
      </c>
      <c r="D505">
        <v>5.8999999999999997E-2</v>
      </c>
      <c r="E505">
        <f t="shared" si="84"/>
        <v>0.10278752078072451</v>
      </c>
      <c r="F505">
        <f t="shared" si="85"/>
        <v>0.54093419511226237</v>
      </c>
      <c r="G505">
        <f t="shared" si="88"/>
        <v>1.000000000000334E-3</v>
      </c>
      <c r="H505">
        <f>IF(MOD(COUNTA($C$7:C505)-1,$J$2),H504,ROUND(F505*P505,-2))</f>
        <v>5400</v>
      </c>
      <c r="I505">
        <f t="shared" si="89"/>
        <v>-100</v>
      </c>
      <c r="J505">
        <f t="shared" si="90"/>
        <v>0</v>
      </c>
      <c r="K505">
        <f t="shared" si="91"/>
        <v>-10843.223970458072</v>
      </c>
      <c r="L505">
        <f t="shared" si="92"/>
        <v>1079.9760295419292</v>
      </c>
      <c r="M505">
        <f t="shared" si="93"/>
        <v>5.4900639999996201</v>
      </c>
      <c r="N505">
        <f t="shared" si="95"/>
        <v>1079.9760295419292</v>
      </c>
      <c r="O505" s="5">
        <f t="shared" si="86"/>
        <v>9.1482224815139901E-2</v>
      </c>
      <c r="P505">
        <f t="shared" si="94"/>
        <v>10000</v>
      </c>
      <c r="Q505">
        <f t="shared" si="87"/>
        <v>914.82224815139898</v>
      </c>
    </row>
    <row r="506" spans="1:17" x14ac:dyDescent="0.15">
      <c r="A506" s="10">
        <v>45886.465277777985</v>
      </c>
      <c r="B506">
        <f>COUNT(A506:$A$1158)/(48*252)</f>
        <v>5.3984788359788358E-2</v>
      </c>
      <c r="C506">
        <v>2.2080000000000002</v>
      </c>
      <c r="D506">
        <v>5.8000000000000003E-2</v>
      </c>
      <c r="E506">
        <f t="shared" si="84"/>
        <v>0.10275910816652516</v>
      </c>
      <c r="F506">
        <f t="shared" si="85"/>
        <v>0.5409229198234744</v>
      </c>
      <c r="G506">
        <f t="shared" si="88"/>
        <v>0</v>
      </c>
      <c r="H506">
        <f>IF(MOD(COUNTA($C$7:C506)-1,$J$2),H505,ROUND(F506*P506,-2))</f>
        <v>5400</v>
      </c>
      <c r="I506">
        <f t="shared" si="89"/>
        <v>0</v>
      </c>
      <c r="J506">
        <f t="shared" si="90"/>
        <v>0</v>
      </c>
      <c r="K506">
        <f t="shared" si="91"/>
        <v>-10843.223970458072</v>
      </c>
      <c r="L506">
        <f t="shared" si="92"/>
        <v>1079.9760295419292</v>
      </c>
      <c r="M506">
        <f t="shared" si="93"/>
        <v>0</v>
      </c>
      <c r="N506">
        <f t="shared" si="95"/>
        <v>1079.9760295419292</v>
      </c>
      <c r="O506" s="5">
        <f t="shared" si="86"/>
        <v>9.141081861132605E-2</v>
      </c>
      <c r="P506">
        <f t="shared" si="94"/>
        <v>10000</v>
      </c>
      <c r="Q506">
        <f t="shared" si="87"/>
        <v>914.10818611326044</v>
      </c>
    </row>
    <row r="507" spans="1:17" x14ac:dyDescent="0.15">
      <c r="A507" s="10">
        <v>45886.46875</v>
      </c>
      <c r="B507">
        <f>COUNT(A507:$A$1158)/(48*252)</f>
        <v>5.3902116402116403E-2</v>
      </c>
      <c r="C507">
        <v>2.2120000000000002</v>
      </c>
      <c r="D507">
        <v>0.06</v>
      </c>
      <c r="E507">
        <f t="shared" si="84"/>
        <v>0.11911446668156106</v>
      </c>
      <c r="F507">
        <f t="shared" si="85"/>
        <v>0.54740766520581441</v>
      </c>
      <c r="G507">
        <f t="shared" si="88"/>
        <v>4.0000000000000036E-3</v>
      </c>
      <c r="H507">
        <f>IF(MOD(COUNTA($C$7:C507)-1,$J$2),H506,ROUND(F507*P507,-2))</f>
        <v>5400</v>
      </c>
      <c r="I507">
        <f t="shared" si="89"/>
        <v>0</v>
      </c>
      <c r="J507">
        <f t="shared" si="90"/>
        <v>0</v>
      </c>
      <c r="K507">
        <f t="shared" si="91"/>
        <v>-10843.223970458072</v>
      </c>
      <c r="L507">
        <f t="shared" si="92"/>
        <v>1101.5760295419295</v>
      </c>
      <c r="M507">
        <f t="shared" si="93"/>
        <v>21.600000000000364</v>
      </c>
      <c r="N507">
        <f t="shared" si="95"/>
        <v>1101.5760295419295</v>
      </c>
      <c r="O507" s="5">
        <f t="shared" si="86"/>
        <v>8.9516001766605457E-2</v>
      </c>
      <c r="P507">
        <f t="shared" si="94"/>
        <v>10000</v>
      </c>
      <c r="Q507">
        <f t="shared" si="87"/>
        <v>895.16001766605461</v>
      </c>
    </row>
    <row r="508" spans="1:17" x14ac:dyDescent="0.15">
      <c r="A508" s="10">
        <v>45886.472222222015</v>
      </c>
      <c r="B508">
        <f>COUNT(A508:$A$1158)/(48*252)</f>
        <v>5.3819444444444448E-2</v>
      </c>
      <c r="C508">
        <v>2.214</v>
      </c>
      <c r="D508">
        <v>6.0999999999999999E-2</v>
      </c>
      <c r="E508">
        <f t="shared" si="84"/>
        <v>0.12728571760825444</v>
      </c>
      <c r="F508">
        <f t="shared" si="85"/>
        <v>0.55064286797232165</v>
      </c>
      <c r="G508">
        <f t="shared" si="88"/>
        <v>1.9999999999997797E-3</v>
      </c>
      <c r="H508">
        <f>IF(MOD(COUNTA($C$7:C508)-1,$J$2),H507,ROUND(F508*P508,-2))</f>
        <v>5400</v>
      </c>
      <c r="I508">
        <f t="shared" si="89"/>
        <v>0</v>
      </c>
      <c r="J508">
        <f t="shared" si="90"/>
        <v>0</v>
      </c>
      <c r="K508">
        <f t="shared" si="91"/>
        <v>-10843.223970458072</v>
      </c>
      <c r="L508">
        <f t="shared" si="92"/>
        <v>1112.3760295419288</v>
      </c>
      <c r="M508">
        <f t="shared" si="93"/>
        <v>10.799999999999272</v>
      </c>
      <c r="N508">
        <f t="shared" si="95"/>
        <v>1112.3760295419288</v>
      </c>
      <c r="O508" s="5">
        <f t="shared" si="86"/>
        <v>8.8542491449986604E-2</v>
      </c>
      <c r="P508">
        <f t="shared" si="94"/>
        <v>10000</v>
      </c>
      <c r="Q508">
        <f t="shared" si="87"/>
        <v>885.42491449986608</v>
      </c>
    </row>
    <row r="509" spans="1:17" x14ac:dyDescent="0.15">
      <c r="A509" s="10">
        <v>45886.475694444962</v>
      </c>
      <c r="B509">
        <f>COUNT(A509:$A$1158)/(48*252)</f>
        <v>5.3736772486772486E-2</v>
      </c>
      <c r="C509">
        <v>2.2120000000000002</v>
      </c>
      <c r="D509">
        <v>0.06</v>
      </c>
      <c r="E509">
        <f t="shared" si="84"/>
        <v>0.11908291212377854</v>
      </c>
      <c r="F509">
        <f t="shared" si="85"/>
        <v>0.54739516572312508</v>
      </c>
      <c r="G509">
        <f t="shared" si="88"/>
        <v>-1.9999999999997797E-3</v>
      </c>
      <c r="H509">
        <f>IF(MOD(COUNTA($C$7:C509)-1,$J$2),H508,ROUND(F509*P509,-2))</f>
        <v>5400</v>
      </c>
      <c r="I509">
        <f t="shared" si="89"/>
        <v>0</v>
      </c>
      <c r="J509">
        <f t="shared" si="90"/>
        <v>0</v>
      </c>
      <c r="K509">
        <f t="shared" si="91"/>
        <v>-10843.223970458072</v>
      </c>
      <c r="L509">
        <f t="shared" si="92"/>
        <v>1101.5760295419295</v>
      </c>
      <c r="M509">
        <f t="shared" si="93"/>
        <v>-10.799999999999272</v>
      </c>
      <c r="N509">
        <f t="shared" si="95"/>
        <v>1101.5760295419295</v>
      </c>
      <c r="O509" s="5">
        <f t="shared" si="86"/>
        <v>8.9372833177882027E-2</v>
      </c>
      <c r="P509">
        <f t="shared" si="94"/>
        <v>10000</v>
      </c>
      <c r="Q509">
        <f t="shared" si="87"/>
        <v>893.72833177882023</v>
      </c>
    </row>
    <row r="510" spans="1:17" x14ac:dyDescent="0.15">
      <c r="A510" s="10">
        <v>45886.479166666977</v>
      </c>
      <c r="B510">
        <f>COUNT(A510:$A$1158)/(48*252)</f>
        <v>5.365410052910053E-2</v>
      </c>
      <c r="C510">
        <v>2.2189999999999999</v>
      </c>
      <c r="D510">
        <v>6.2E-2</v>
      </c>
      <c r="E510">
        <f t="shared" si="84"/>
        <v>0.14773363924549482</v>
      </c>
      <c r="F510">
        <f t="shared" si="85"/>
        <v>0.55872350867952381</v>
      </c>
      <c r="G510">
        <f t="shared" si="88"/>
        <v>6.9999999999996732E-3</v>
      </c>
      <c r="H510">
        <f>IF(MOD(COUNTA($C$7:C510)-1,$J$2),H509,ROUND(F510*P510,-2))</f>
        <v>5400</v>
      </c>
      <c r="I510">
        <f t="shared" si="89"/>
        <v>0</v>
      </c>
      <c r="J510">
        <f t="shared" si="90"/>
        <v>0</v>
      </c>
      <c r="K510">
        <f t="shared" si="91"/>
        <v>-10843.223970458072</v>
      </c>
      <c r="L510">
        <f t="shared" si="92"/>
        <v>1139.376029541927</v>
      </c>
      <c r="M510">
        <f t="shared" si="93"/>
        <v>37.799999999997453</v>
      </c>
      <c r="N510">
        <f t="shared" si="95"/>
        <v>1139.376029541927</v>
      </c>
      <c r="O510" s="5">
        <f t="shared" si="86"/>
        <v>8.6172602497633366E-2</v>
      </c>
      <c r="P510">
        <f t="shared" si="94"/>
        <v>10000</v>
      </c>
      <c r="Q510">
        <f t="shared" si="87"/>
        <v>861.72602497633363</v>
      </c>
    </row>
    <row r="511" spans="1:17" x14ac:dyDescent="0.15">
      <c r="A511" s="10">
        <v>45886.545138888992</v>
      </c>
      <c r="B511">
        <f>COUNT(A511:$A$1158)/(48*252)</f>
        <v>5.3571428571428568E-2</v>
      </c>
      <c r="C511">
        <v>2.2170000000000001</v>
      </c>
      <c r="D511">
        <v>6.2E-2</v>
      </c>
      <c r="E511">
        <f t="shared" si="84"/>
        <v>0.13955260614547188</v>
      </c>
      <c r="F511">
        <f t="shared" si="85"/>
        <v>0.5554932555554335</v>
      </c>
      <c r="G511">
        <f t="shared" si="88"/>
        <v>-1.9999999999997797E-3</v>
      </c>
      <c r="H511">
        <f>IF(MOD(COUNTA($C$7:C511)-1,$J$2),H510,ROUND(F511*P511,-2))</f>
        <v>5600</v>
      </c>
      <c r="I511">
        <f t="shared" si="89"/>
        <v>200</v>
      </c>
      <c r="J511">
        <f t="shared" si="90"/>
        <v>0</v>
      </c>
      <c r="K511">
        <f t="shared" si="91"/>
        <v>-11286.643923458072</v>
      </c>
      <c r="L511">
        <f t="shared" si="92"/>
        <v>1128.5560765419286</v>
      </c>
      <c r="M511">
        <f t="shared" si="93"/>
        <v>-10.81995299999835</v>
      </c>
      <c r="N511">
        <f t="shared" si="95"/>
        <v>1128.5560765419286</v>
      </c>
      <c r="O511" s="5">
        <f t="shared" si="86"/>
        <v>8.6986641275161536E-2</v>
      </c>
      <c r="P511">
        <f t="shared" si="94"/>
        <v>10000</v>
      </c>
      <c r="Q511">
        <f t="shared" si="87"/>
        <v>869.86641275161537</v>
      </c>
    </row>
    <row r="512" spans="1:17" x14ac:dyDescent="0.15">
      <c r="A512" s="10">
        <v>45886.548611111008</v>
      </c>
      <c r="B512">
        <f>COUNT(A512:$A$1158)/(48*252)</f>
        <v>5.3488756613756613E-2</v>
      </c>
      <c r="C512">
        <v>2.218</v>
      </c>
      <c r="D512">
        <v>6.0999999999999999E-2</v>
      </c>
      <c r="E512">
        <f t="shared" si="84"/>
        <v>0.14365065552979059</v>
      </c>
      <c r="F512">
        <f t="shared" si="85"/>
        <v>0.55711183094099881</v>
      </c>
      <c r="G512">
        <f t="shared" si="88"/>
        <v>9.9999999999988987E-4</v>
      </c>
      <c r="H512">
        <f>IF(MOD(COUNTA($C$7:C512)-1,$J$2),H511,ROUND(F512*P512,-2))</f>
        <v>5600</v>
      </c>
      <c r="I512">
        <f t="shared" si="89"/>
        <v>0</v>
      </c>
      <c r="J512">
        <f t="shared" si="90"/>
        <v>0</v>
      </c>
      <c r="K512">
        <f t="shared" si="91"/>
        <v>-11286.643923458072</v>
      </c>
      <c r="L512">
        <f t="shared" si="92"/>
        <v>1134.1560765419272</v>
      </c>
      <c r="M512">
        <f t="shared" si="93"/>
        <v>5.5999999999985448</v>
      </c>
      <c r="N512">
        <f t="shared" si="95"/>
        <v>1134.1560765419272</v>
      </c>
      <c r="O512" s="5">
        <f t="shared" si="86"/>
        <v>8.6471142997742723E-2</v>
      </c>
      <c r="P512">
        <f t="shared" si="94"/>
        <v>10000</v>
      </c>
      <c r="Q512">
        <f t="shared" si="87"/>
        <v>864.7114299774272</v>
      </c>
    </row>
    <row r="513" spans="1:17" x14ac:dyDescent="0.15">
      <c r="A513" s="10">
        <v>45886.552083333023</v>
      </c>
      <c r="B513">
        <f>COUNT(A513:$A$1158)/(48*252)</f>
        <v>5.3406084656084658E-2</v>
      </c>
      <c r="C513">
        <v>2.218</v>
      </c>
      <c r="D513">
        <v>6.0999999999999999E-2</v>
      </c>
      <c r="E513">
        <f t="shared" si="84"/>
        <v>0.14365413204601526</v>
      </c>
      <c r="F513">
        <f t="shared" si="85"/>
        <v>0.55711320363353933</v>
      </c>
      <c r="G513">
        <f t="shared" si="88"/>
        <v>0</v>
      </c>
      <c r="H513">
        <f>IF(MOD(COUNTA($C$7:C513)-1,$J$2),H512,ROUND(F513*P513,-2))</f>
        <v>5600</v>
      </c>
      <c r="I513">
        <f t="shared" si="89"/>
        <v>0</v>
      </c>
      <c r="J513">
        <f t="shared" si="90"/>
        <v>0</v>
      </c>
      <c r="K513">
        <f t="shared" si="91"/>
        <v>-11286.643923458072</v>
      </c>
      <c r="L513">
        <f t="shared" si="92"/>
        <v>1134.1560765419272</v>
      </c>
      <c r="M513">
        <f t="shared" si="93"/>
        <v>0</v>
      </c>
      <c r="N513">
        <f t="shared" si="95"/>
        <v>1134.1560765419272</v>
      </c>
      <c r="O513" s="5">
        <f t="shared" si="86"/>
        <v>8.6399284999698622E-2</v>
      </c>
      <c r="P513">
        <f t="shared" si="94"/>
        <v>10000</v>
      </c>
      <c r="Q513">
        <f t="shared" si="87"/>
        <v>863.99284999698625</v>
      </c>
    </row>
    <row r="514" spans="1:17" x14ac:dyDescent="0.15">
      <c r="A514" s="10">
        <v>45886.555555555969</v>
      </c>
      <c r="B514">
        <f>COUNT(A514:$A$1158)/(48*252)</f>
        <v>5.3323412698412696E-2</v>
      </c>
      <c r="C514">
        <v>2.218</v>
      </c>
      <c r="D514">
        <v>6.0999999999999999E-2</v>
      </c>
      <c r="E514">
        <f t="shared" si="84"/>
        <v>0.14365770007313222</v>
      </c>
      <c r="F514">
        <f t="shared" si="85"/>
        <v>0.55711461245818261</v>
      </c>
      <c r="G514">
        <f t="shared" si="88"/>
        <v>0</v>
      </c>
      <c r="H514">
        <f>IF(MOD(COUNTA($C$7:C514)-1,$J$2),H513,ROUND(F514*P514,-2))</f>
        <v>5600</v>
      </c>
      <c r="I514">
        <f t="shared" si="89"/>
        <v>0</v>
      </c>
      <c r="J514">
        <f t="shared" si="90"/>
        <v>0</v>
      </c>
      <c r="K514">
        <f t="shared" si="91"/>
        <v>-11286.643923458072</v>
      </c>
      <c r="L514">
        <f t="shared" si="92"/>
        <v>1134.1560765419272</v>
      </c>
      <c r="M514">
        <f t="shared" si="93"/>
        <v>0</v>
      </c>
      <c r="N514">
        <f t="shared" si="95"/>
        <v>1134.1560765419272</v>
      </c>
      <c r="O514" s="5">
        <f t="shared" si="86"/>
        <v>8.6327369161824263E-2</v>
      </c>
      <c r="P514">
        <f t="shared" si="94"/>
        <v>10000</v>
      </c>
      <c r="Q514">
        <f t="shared" si="87"/>
        <v>863.27369161824265</v>
      </c>
    </row>
    <row r="515" spans="1:17" x14ac:dyDescent="0.15">
      <c r="A515" s="10">
        <v>45886.559027777985</v>
      </c>
      <c r="B515">
        <f>COUNT(A515:$A$1158)/(48*252)</f>
        <v>5.3240740740740741E-2</v>
      </c>
      <c r="C515">
        <v>2.2210000000000001</v>
      </c>
      <c r="D515">
        <v>6.2E-2</v>
      </c>
      <c r="E515">
        <f t="shared" si="84"/>
        <v>0.15597234009461824</v>
      </c>
      <c r="F515">
        <f t="shared" si="85"/>
        <v>0.5619725881168115</v>
      </c>
      <c r="G515">
        <f t="shared" si="88"/>
        <v>3.0000000000001137E-3</v>
      </c>
      <c r="H515">
        <f>IF(MOD(COUNTA($C$7:C515)-1,$J$2),H514,ROUND(F515*P515,-2))</f>
        <v>5600</v>
      </c>
      <c r="I515">
        <f t="shared" si="89"/>
        <v>0</v>
      </c>
      <c r="J515">
        <f t="shared" si="90"/>
        <v>0</v>
      </c>
      <c r="K515">
        <f t="shared" si="91"/>
        <v>-11286.643923458072</v>
      </c>
      <c r="L515">
        <f t="shared" si="92"/>
        <v>1150.9560765419283</v>
      </c>
      <c r="M515">
        <f t="shared" si="93"/>
        <v>16.800000000001091</v>
      </c>
      <c r="N515">
        <f t="shared" si="95"/>
        <v>1150.9560765419283</v>
      </c>
      <c r="O515" s="5">
        <f t="shared" si="86"/>
        <v>8.4934032199565412E-2</v>
      </c>
      <c r="P515">
        <f t="shared" si="94"/>
        <v>10000</v>
      </c>
      <c r="Q515">
        <f t="shared" si="87"/>
        <v>849.34032199565411</v>
      </c>
    </row>
    <row r="516" spans="1:17" x14ac:dyDescent="0.15">
      <c r="A516" s="10">
        <v>45886.5625</v>
      </c>
      <c r="B516">
        <f>COUNT(A516:$A$1158)/(48*252)</f>
        <v>5.3158068783068786E-2</v>
      </c>
      <c r="C516">
        <v>2.222</v>
      </c>
      <c r="D516">
        <v>6.2E-2</v>
      </c>
      <c r="E516">
        <f t="shared" si="84"/>
        <v>0.16008881365180677</v>
      </c>
      <c r="F516">
        <f t="shared" si="85"/>
        <v>0.56359444353036769</v>
      </c>
      <c r="G516">
        <f t="shared" si="88"/>
        <v>9.9999999999988987E-4</v>
      </c>
      <c r="H516">
        <f>IF(MOD(COUNTA($C$7:C516)-1,$J$2),H515,ROUND(F516*P516,-2))</f>
        <v>5600</v>
      </c>
      <c r="I516">
        <f t="shared" si="89"/>
        <v>0</v>
      </c>
      <c r="J516">
        <f t="shared" si="90"/>
        <v>0</v>
      </c>
      <c r="K516">
        <f t="shared" si="91"/>
        <v>-11286.643923458072</v>
      </c>
      <c r="L516">
        <f t="shared" si="92"/>
        <v>1156.5560765419286</v>
      </c>
      <c r="M516">
        <f t="shared" si="93"/>
        <v>5.6000000000003638</v>
      </c>
      <c r="N516">
        <f t="shared" si="95"/>
        <v>1156.5560765419286</v>
      </c>
      <c r="O516" s="5">
        <f t="shared" si="86"/>
        <v>8.4424796672681546E-2</v>
      </c>
      <c r="P516">
        <f t="shared" si="94"/>
        <v>10000</v>
      </c>
      <c r="Q516">
        <f t="shared" si="87"/>
        <v>844.24796672681543</v>
      </c>
    </row>
    <row r="517" spans="1:17" x14ac:dyDescent="0.15">
      <c r="A517" s="10">
        <v>45886.565972222015</v>
      </c>
      <c r="B517">
        <f>COUNT(A517:$A$1158)/(48*252)</f>
        <v>5.3075396825396824E-2</v>
      </c>
      <c r="C517">
        <v>2.218</v>
      </c>
      <c r="D517">
        <v>6.2E-2</v>
      </c>
      <c r="E517">
        <f t="shared" si="84"/>
        <v>0.14366895743058672</v>
      </c>
      <c r="F517">
        <f t="shared" si="85"/>
        <v>0.55711905738676393</v>
      </c>
      <c r="G517">
        <f t="shared" si="88"/>
        <v>-4.0000000000000036E-3</v>
      </c>
      <c r="H517">
        <f>IF(MOD(COUNTA($C$7:C517)-1,$J$2),H516,ROUND(F517*P517,-2))</f>
        <v>5600</v>
      </c>
      <c r="I517">
        <f t="shared" si="89"/>
        <v>0</v>
      </c>
      <c r="J517">
        <f t="shared" si="90"/>
        <v>0</v>
      </c>
      <c r="K517">
        <f t="shared" si="91"/>
        <v>-11286.643923458072</v>
      </c>
      <c r="L517">
        <f t="shared" si="92"/>
        <v>1134.1560765419272</v>
      </c>
      <c r="M517">
        <f t="shared" si="93"/>
        <v>-22.400000000001455</v>
      </c>
      <c r="N517">
        <f t="shared" si="95"/>
        <v>1134.1560765419272</v>
      </c>
      <c r="O517" s="5">
        <f t="shared" si="86"/>
        <v>8.6111273271450406E-2</v>
      </c>
      <c r="P517">
        <f t="shared" si="94"/>
        <v>10000</v>
      </c>
      <c r="Q517">
        <f t="shared" si="87"/>
        <v>861.11273271450409</v>
      </c>
    </row>
    <row r="518" spans="1:17" x14ac:dyDescent="0.15">
      <c r="A518" s="10">
        <v>45886.569444444962</v>
      </c>
      <c r="B518">
        <f>COUNT(A518:$A$1158)/(48*252)</f>
        <v>5.2992724867724869E-2</v>
      </c>
      <c r="C518">
        <v>2.222</v>
      </c>
      <c r="D518">
        <v>6.3E-2</v>
      </c>
      <c r="E518">
        <f t="shared" si="84"/>
        <v>0.1601221990782607</v>
      </c>
      <c r="F518">
        <f t="shared" si="85"/>
        <v>0.56360759277153716</v>
      </c>
      <c r="G518">
        <f t="shared" si="88"/>
        <v>4.0000000000000036E-3</v>
      </c>
      <c r="H518">
        <f>IF(MOD(COUNTA($C$7:C518)-1,$J$2),H517,ROUND(F518*P518,-2))</f>
        <v>5600</v>
      </c>
      <c r="I518">
        <f t="shared" si="89"/>
        <v>0</v>
      </c>
      <c r="J518">
        <f t="shared" si="90"/>
        <v>0</v>
      </c>
      <c r="K518">
        <f t="shared" si="91"/>
        <v>-11286.643923458072</v>
      </c>
      <c r="L518">
        <f t="shared" si="92"/>
        <v>1156.5560765419286</v>
      </c>
      <c r="M518">
        <f t="shared" si="93"/>
        <v>22.400000000001455</v>
      </c>
      <c r="N518">
        <f t="shared" si="95"/>
        <v>1156.5560765419286</v>
      </c>
      <c r="O518" s="5">
        <f t="shared" si="86"/>
        <v>8.4280590443116643E-2</v>
      </c>
      <c r="P518">
        <f t="shared" si="94"/>
        <v>10000</v>
      </c>
      <c r="Q518">
        <f t="shared" si="87"/>
        <v>842.80590443116648</v>
      </c>
    </row>
    <row r="519" spans="1:17" x14ac:dyDescent="0.15">
      <c r="A519" s="10">
        <v>45886.572916666977</v>
      </c>
      <c r="B519">
        <f>COUNT(A519:$A$1158)/(48*252)</f>
        <v>5.2910052910052907E-2</v>
      </c>
      <c r="C519">
        <v>2.2229999999999999</v>
      </c>
      <c r="D519">
        <v>6.3E-2</v>
      </c>
      <c r="E519">
        <f t="shared" si="84"/>
        <v>0.16424998390428927</v>
      </c>
      <c r="F519">
        <f t="shared" si="85"/>
        <v>0.56523282304539968</v>
      </c>
      <c r="G519">
        <f t="shared" si="88"/>
        <v>9.9999999999988987E-4</v>
      </c>
      <c r="H519">
        <f>IF(MOD(COUNTA($C$7:C519)-1,$J$2),H518,ROUND(F519*P519,-2))</f>
        <v>5600</v>
      </c>
      <c r="I519">
        <f t="shared" si="89"/>
        <v>0</v>
      </c>
      <c r="J519">
        <f t="shared" si="90"/>
        <v>0</v>
      </c>
      <c r="K519">
        <f t="shared" si="91"/>
        <v>-11286.643923458072</v>
      </c>
      <c r="L519">
        <f t="shared" si="92"/>
        <v>1162.1560765419272</v>
      </c>
      <c r="M519">
        <f t="shared" si="93"/>
        <v>5.5999999999985448</v>
      </c>
      <c r="N519">
        <f t="shared" si="95"/>
        <v>1162.1560765419272</v>
      </c>
      <c r="O519" s="5">
        <f t="shared" si="86"/>
        <v>8.3772823566172994E-2</v>
      </c>
      <c r="P519">
        <f t="shared" si="94"/>
        <v>10000</v>
      </c>
      <c r="Q519">
        <f t="shared" si="87"/>
        <v>837.72823566172997</v>
      </c>
    </row>
    <row r="520" spans="1:17" x14ac:dyDescent="0.15">
      <c r="A520" s="10">
        <v>45886.576388888992</v>
      </c>
      <c r="B520">
        <f>COUNT(A520:$A$1158)/(48*252)</f>
        <v>5.2827380952380952E-2</v>
      </c>
      <c r="C520">
        <v>2.2170000000000001</v>
      </c>
      <c r="D520">
        <v>6.0999999999999999E-2</v>
      </c>
      <c r="E520">
        <f t="shared" ref="E520:E583" si="96">(LN(C520/$B$2)+($B$1+0.5*$D$1*$D$1)*B520)/($D$1*SQRT(B520))</f>
        <v>0.1395576548499303</v>
      </c>
      <c r="F520">
        <f t="shared" ref="F520:F583" si="97">NORMSDIST(E520)</f>
        <v>0.55549525017894608</v>
      </c>
      <c r="G520">
        <f t="shared" si="88"/>
        <v>-5.9999999999997833E-3</v>
      </c>
      <c r="H520">
        <f>IF(MOD(COUNTA($C$7:C520)-1,$J$2),H519,ROUND(F520*P520,-2))</f>
        <v>5600</v>
      </c>
      <c r="I520">
        <f t="shared" si="89"/>
        <v>0</v>
      </c>
      <c r="J520">
        <f t="shared" si="90"/>
        <v>0</v>
      </c>
      <c r="K520">
        <f t="shared" si="91"/>
        <v>-11286.643923458072</v>
      </c>
      <c r="L520">
        <f t="shared" si="92"/>
        <v>1128.5560765419286</v>
      </c>
      <c r="M520">
        <f t="shared" si="93"/>
        <v>-33.599999999998545</v>
      </c>
      <c r="N520">
        <f t="shared" si="95"/>
        <v>1128.5560765419286</v>
      </c>
      <c r="O520" s="5">
        <f t="shared" ref="O520:O583" si="98">put_bs($B$1,$J$1,C520,$B$2,B520)</f>
        <v>8.6338342302545223E-2</v>
      </c>
      <c r="P520">
        <f t="shared" si="94"/>
        <v>10000</v>
      </c>
      <c r="Q520">
        <f t="shared" ref="Q520:Q583" si="99">P520*O520</f>
        <v>863.3834230254522</v>
      </c>
    </row>
    <row r="521" spans="1:17" x14ac:dyDescent="0.15">
      <c r="A521" s="10">
        <v>45886.579861111008</v>
      </c>
      <c r="B521">
        <f>COUNT(A521:$A$1158)/(48*252)</f>
        <v>5.2744708994708997E-2</v>
      </c>
      <c r="C521">
        <v>2.2160000000000002</v>
      </c>
      <c r="D521">
        <v>6.0999999999999999E-2</v>
      </c>
      <c r="E521">
        <f t="shared" si="96"/>
        <v>0.1354301542946722</v>
      </c>
      <c r="F521">
        <f t="shared" si="97"/>
        <v>0.55386410796394292</v>
      </c>
      <c r="G521">
        <f t="shared" ref="G521:G584" si="100">C521-C520</f>
        <v>-9.9999999999988987E-4</v>
      </c>
      <c r="H521">
        <f>IF(MOD(COUNTA($C$7:C521)-1,$J$2),H520,ROUND(F521*P521,-2))</f>
        <v>5600</v>
      </c>
      <c r="I521">
        <f t="shared" ref="I521:I584" si="101">H521-H520</f>
        <v>0</v>
      </c>
      <c r="J521">
        <f t="shared" ref="J521:J584" si="102">J520</f>
        <v>0</v>
      </c>
      <c r="K521">
        <f t="shared" ref="K521:K584" si="103">K520-I521*C521-ABS(I521*C521*$F$2)</f>
        <v>-11286.643923458072</v>
      </c>
      <c r="L521">
        <f t="shared" ref="L521:L584" si="104">K521+H521*C521</f>
        <v>1122.9560765419283</v>
      </c>
      <c r="M521">
        <f t="shared" ref="M521:M584" si="105">L521-L520</f>
        <v>-5.6000000000003638</v>
      </c>
      <c r="N521">
        <f t="shared" si="95"/>
        <v>1122.9560765419283</v>
      </c>
      <c r="O521" s="5">
        <f t="shared" si="98"/>
        <v>8.6711336776060799E-2</v>
      </c>
      <c r="P521">
        <f t="shared" ref="P521:P584" si="106">P520</f>
        <v>10000</v>
      </c>
      <c r="Q521">
        <f t="shared" si="99"/>
        <v>867.11336776060796</v>
      </c>
    </row>
    <row r="522" spans="1:17" x14ac:dyDescent="0.15">
      <c r="A522" s="10">
        <v>45886.583333333023</v>
      </c>
      <c r="B522">
        <f>COUNT(A522:$A$1158)/(48*252)</f>
        <v>5.2662037037037035E-2</v>
      </c>
      <c r="C522">
        <v>2.2170000000000001</v>
      </c>
      <c r="D522">
        <v>6.2E-2</v>
      </c>
      <c r="E522">
        <f t="shared" si="96"/>
        <v>0.13955972270223288</v>
      </c>
      <c r="F522">
        <f t="shared" si="97"/>
        <v>0.5554960671379916</v>
      </c>
      <c r="G522">
        <f t="shared" si="100"/>
        <v>9.9999999999988987E-4</v>
      </c>
      <c r="H522">
        <f>IF(MOD(COUNTA($C$7:C522)-1,$J$2),H521,ROUND(F522*P522,-2))</f>
        <v>5600</v>
      </c>
      <c r="I522">
        <f t="shared" si="101"/>
        <v>0</v>
      </c>
      <c r="J522">
        <f t="shared" si="102"/>
        <v>0</v>
      </c>
      <c r="K522">
        <f t="shared" si="103"/>
        <v>-11286.643923458072</v>
      </c>
      <c r="L522">
        <f t="shared" si="104"/>
        <v>1128.5560765419286</v>
      </c>
      <c r="M522">
        <f t="shared" si="105"/>
        <v>5.6000000000003638</v>
      </c>
      <c r="N522">
        <f t="shared" ref="N522:N585" si="107">L522-$F$1</f>
        <v>1128.5560765419286</v>
      </c>
      <c r="O522" s="5">
        <f t="shared" si="98"/>
        <v>8.6193632317418389E-2</v>
      </c>
      <c r="P522">
        <f t="shared" si="106"/>
        <v>10000</v>
      </c>
      <c r="Q522">
        <f t="shared" si="99"/>
        <v>861.93632317418394</v>
      </c>
    </row>
    <row r="523" spans="1:17" x14ac:dyDescent="0.15">
      <c r="A523" s="10">
        <v>45886.586805555969</v>
      </c>
      <c r="B523">
        <f>COUNT(A523:$A$1158)/(48*252)</f>
        <v>5.257936507936508E-2</v>
      </c>
      <c r="C523">
        <v>2.2170000000000001</v>
      </c>
      <c r="D523">
        <v>6.2E-2</v>
      </c>
      <c r="E523">
        <f t="shared" si="96"/>
        <v>0.13956088804142616</v>
      </c>
      <c r="F523">
        <f t="shared" si="97"/>
        <v>0.555496527535564</v>
      </c>
      <c r="G523">
        <f t="shared" si="100"/>
        <v>0</v>
      </c>
      <c r="H523">
        <f>IF(MOD(COUNTA($C$7:C523)-1,$J$2),H522,ROUND(F523*P523,-2))</f>
        <v>5600</v>
      </c>
      <c r="I523">
        <f t="shared" si="101"/>
        <v>0</v>
      </c>
      <c r="J523">
        <f t="shared" si="102"/>
        <v>0</v>
      </c>
      <c r="K523">
        <f t="shared" si="103"/>
        <v>-11286.643923458072</v>
      </c>
      <c r="L523">
        <f t="shared" si="104"/>
        <v>1128.5560765419286</v>
      </c>
      <c r="M523">
        <f t="shared" si="105"/>
        <v>0</v>
      </c>
      <c r="N523">
        <f t="shared" si="107"/>
        <v>1128.5560765419286</v>
      </c>
      <c r="O523" s="5">
        <f t="shared" si="98"/>
        <v>8.6121188749118782E-2</v>
      </c>
      <c r="P523">
        <f t="shared" si="106"/>
        <v>10000</v>
      </c>
      <c r="Q523">
        <f t="shared" si="99"/>
        <v>861.21188749118778</v>
      </c>
    </row>
    <row r="524" spans="1:17" x14ac:dyDescent="0.15">
      <c r="A524" s="10">
        <v>45886.590277777985</v>
      </c>
      <c r="B524">
        <f>COUNT(A524:$A$1158)/(48*252)</f>
        <v>5.2496693121693125E-2</v>
      </c>
      <c r="C524">
        <v>2.2170000000000001</v>
      </c>
      <c r="D524">
        <v>6.0999999999999999E-2</v>
      </c>
      <c r="E524">
        <f t="shared" si="96"/>
        <v>0.13956214153835178</v>
      </c>
      <c r="F524">
        <f t="shared" si="97"/>
        <v>0.55549702276205903</v>
      </c>
      <c r="G524">
        <f t="shared" si="100"/>
        <v>0</v>
      </c>
      <c r="H524">
        <f>IF(MOD(COUNTA($C$7:C524)-1,$J$2),H523,ROUND(F524*P524,-2))</f>
        <v>5600</v>
      </c>
      <c r="I524">
        <f t="shared" si="101"/>
        <v>0</v>
      </c>
      <c r="J524">
        <f t="shared" si="102"/>
        <v>0</v>
      </c>
      <c r="K524">
        <f t="shared" si="103"/>
        <v>-11286.643923458072</v>
      </c>
      <c r="L524">
        <f t="shared" si="104"/>
        <v>1128.5560765419286</v>
      </c>
      <c r="M524">
        <f t="shared" si="105"/>
        <v>0</v>
      </c>
      <c r="N524">
        <f t="shared" si="107"/>
        <v>1128.5560765419286</v>
      </c>
      <c r="O524" s="5">
        <f t="shared" si="98"/>
        <v>8.6048685945937509E-2</v>
      </c>
      <c r="P524">
        <f t="shared" si="106"/>
        <v>10000</v>
      </c>
      <c r="Q524">
        <f t="shared" si="99"/>
        <v>860.48685945937507</v>
      </c>
    </row>
    <row r="525" spans="1:17" x14ac:dyDescent="0.15">
      <c r="A525" s="10">
        <v>45886.59375</v>
      </c>
      <c r="B525">
        <f>COUNT(A525:$A$1158)/(48*252)</f>
        <v>5.2414021164021163E-2</v>
      </c>
      <c r="C525">
        <v>2.2149999999999999</v>
      </c>
      <c r="D525">
        <v>6.0999999999999999E-2</v>
      </c>
      <c r="E525">
        <f t="shared" si="96"/>
        <v>0.13127862634758439</v>
      </c>
      <c r="F525">
        <f t="shared" si="97"/>
        <v>0.55222255042299606</v>
      </c>
      <c r="G525">
        <f t="shared" si="100"/>
        <v>-2.0000000000002238E-3</v>
      </c>
      <c r="H525">
        <f>IF(MOD(COUNTA($C$7:C525)-1,$J$2),H524,ROUND(F525*P525,-2))</f>
        <v>5600</v>
      </c>
      <c r="I525">
        <f t="shared" si="101"/>
        <v>0</v>
      </c>
      <c r="J525">
        <f t="shared" si="102"/>
        <v>0</v>
      </c>
      <c r="K525">
        <f t="shared" si="103"/>
        <v>-11286.643923458072</v>
      </c>
      <c r="L525">
        <f t="shared" si="104"/>
        <v>1117.3560765419279</v>
      </c>
      <c r="M525">
        <f t="shared" si="105"/>
        <v>-11.200000000000728</v>
      </c>
      <c r="N525">
        <f t="shared" si="107"/>
        <v>1117.3560765419279</v>
      </c>
      <c r="O525" s="5">
        <f t="shared" si="98"/>
        <v>8.6868402560475899E-2</v>
      </c>
      <c r="P525">
        <f t="shared" si="106"/>
        <v>10000</v>
      </c>
      <c r="Q525">
        <f t="shared" si="99"/>
        <v>868.68402560475897</v>
      </c>
    </row>
    <row r="526" spans="1:17" x14ac:dyDescent="0.15">
      <c r="A526" s="10">
        <v>45886.597222222015</v>
      </c>
      <c r="B526">
        <f>COUNT(A526:$A$1158)/(48*252)</f>
        <v>5.2331349206349208E-2</v>
      </c>
      <c r="C526">
        <v>2.2189999999999999</v>
      </c>
      <c r="D526">
        <v>6.0999999999999999E-2</v>
      </c>
      <c r="E526">
        <f t="shared" si="96"/>
        <v>0.14784883700067875</v>
      </c>
      <c r="F526">
        <f t="shared" si="97"/>
        <v>0.55876896676045307</v>
      </c>
      <c r="G526">
        <f t="shared" si="100"/>
        <v>4.0000000000000036E-3</v>
      </c>
      <c r="H526">
        <f>IF(MOD(COUNTA($C$7:C526)-1,$J$2),H525,ROUND(F526*P526,-2))</f>
        <v>5600</v>
      </c>
      <c r="I526">
        <f t="shared" si="101"/>
        <v>0</v>
      </c>
      <c r="J526">
        <f t="shared" si="102"/>
        <v>0</v>
      </c>
      <c r="K526">
        <f t="shared" si="103"/>
        <v>-11286.643923458072</v>
      </c>
      <c r="L526">
        <f t="shared" si="104"/>
        <v>1139.7560765419275</v>
      </c>
      <c r="M526">
        <f t="shared" si="105"/>
        <v>22.399999999999636</v>
      </c>
      <c r="N526">
        <f t="shared" si="107"/>
        <v>1139.7560765419275</v>
      </c>
      <c r="O526" s="5">
        <f t="shared" si="98"/>
        <v>8.5017770304148588E-2</v>
      </c>
      <c r="P526">
        <f t="shared" si="106"/>
        <v>10000</v>
      </c>
      <c r="Q526">
        <f t="shared" si="99"/>
        <v>850.17770304148587</v>
      </c>
    </row>
    <row r="527" spans="1:17" x14ac:dyDescent="0.15">
      <c r="A527" s="10">
        <v>45886.600694444962</v>
      </c>
      <c r="B527">
        <f>COUNT(A527:$A$1158)/(48*252)</f>
        <v>5.2248677248677246E-2</v>
      </c>
      <c r="C527">
        <v>2.2200000000000002</v>
      </c>
      <c r="D527">
        <v>6.2E-2</v>
      </c>
      <c r="E527">
        <f t="shared" si="96"/>
        <v>0.15199934367752788</v>
      </c>
      <c r="F527">
        <f t="shared" si="97"/>
        <v>0.56040627334675386</v>
      </c>
      <c r="G527">
        <f t="shared" si="100"/>
        <v>1.000000000000334E-3</v>
      </c>
      <c r="H527">
        <f>IF(MOD(COUNTA($C$7:C527)-1,$J$2),H526,ROUND(F527*P527,-2))</f>
        <v>5600</v>
      </c>
      <c r="I527">
        <f t="shared" si="101"/>
        <v>0</v>
      </c>
      <c r="J527">
        <f t="shared" si="102"/>
        <v>0</v>
      </c>
      <c r="K527">
        <f t="shared" si="103"/>
        <v>-11286.643923458072</v>
      </c>
      <c r="L527">
        <f t="shared" si="104"/>
        <v>1145.3560765419297</v>
      </c>
      <c r="M527">
        <f t="shared" si="105"/>
        <v>5.6000000000021828</v>
      </c>
      <c r="N527">
        <f t="shared" si="107"/>
        <v>1145.3560765419297</v>
      </c>
      <c r="O527" s="5">
        <f t="shared" si="98"/>
        <v>8.4504682106090412E-2</v>
      </c>
      <c r="P527">
        <f t="shared" si="106"/>
        <v>10000</v>
      </c>
      <c r="Q527">
        <f t="shared" si="99"/>
        <v>845.04682106090411</v>
      </c>
    </row>
    <row r="528" spans="1:17" x14ac:dyDescent="0.15">
      <c r="A528" s="10">
        <v>45886.604166666977</v>
      </c>
      <c r="B528">
        <f>COUNT(A528:$A$1158)/(48*252)</f>
        <v>5.2166005291005291E-2</v>
      </c>
      <c r="C528">
        <v>2.2210000000000001</v>
      </c>
      <c r="D528">
        <v>6.2E-2</v>
      </c>
      <c r="E528">
        <f t="shared" si="96"/>
        <v>0.15615465100834663</v>
      </c>
      <c r="F528">
        <f t="shared" si="97"/>
        <v>0.56204443930179648</v>
      </c>
      <c r="G528">
        <f t="shared" si="100"/>
        <v>9.9999999999988987E-4</v>
      </c>
      <c r="H528">
        <f>IF(MOD(COUNTA($C$7:C528)-1,$J$2),H527,ROUND(F528*P528,-2))</f>
        <v>5600</v>
      </c>
      <c r="I528">
        <f t="shared" si="101"/>
        <v>0</v>
      </c>
      <c r="J528">
        <f t="shared" si="102"/>
        <v>0</v>
      </c>
      <c r="K528">
        <f t="shared" si="103"/>
        <v>-11286.643923458072</v>
      </c>
      <c r="L528">
        <f t="shared" si="104"/>
        <v>1150.9560765419283</v>
      </c>
      <c r="M528">
        <f t="shared" si="105"/>
        <v>5.5999999999985448</v>
      </c>
      <c r="N528">
        <f t="shared" si="107"/>
        <v>1150.9560765419283</v>
      </c>
      <c r="O528" s="5">
        <f t="shared" si="98"/>
        <v>8.3993176469257635E-2</v>
      </c>
      <c r="P528">
        <f t="shared" si="106"/>
        <v>10000</v>
      </c>
      <c r="Q528">
        <f t="shared" si="99"/>
        <v>839.93176469257639</v>
      </c>
    </row>
    <row r="529" spans="1:17" x14ac:dyDescent="0.15">
      <c r="A529" s="10">
        <v>45886.607638888992</v>
      </c>
      <c r="B529">
        <f>COUNT(A529:$A$1158)/(48*252)</f>
        <v>5.2083333333333336E-2</v>
      </c>
      <c r="C529">
        <v>2.2240000000000002</v>
      </c>
      <c r="D529">
        <v>6.3E-2</v>
      </c>
      <c r="E529">
        <f t="shared" si="96"/>
        <v>0.1685997260626893</v>
      </c>
      <c r="F529">
        <f t="shared" si="97"/>
        <v>0.56694425197603859</v>
      </c>
      <c r="G529">
        <f t="shared" si="100"/>
        <v>3.0000000000001137E-3</v>
      </c>
      <c r="H529">
        <f>IF(MOD(COUNTA($C$7:C529)-1,$J$2),H528,ROUND(F529*P529,-2))</f>
        <v>5700</v>
      </c>
      <c r="I529">
        <f t="shared" si="101"/>
        <v>100</v>
      </c>
      <c r="J529">
        <f t="shared" si="102"/>
        <v>0</v>
      </c>
      <c r="K529">
        <f t="shared" si="103"/>
        <v>-11509.053931458071</v>
      </c>
      <c r="L529">
        <f t="shared" si="104"/>
        <v>1167.7460685419301</v>
      </c>
      <c r="M529">
        <f t="shared" si="105"/>
        <v>16.789992000001803</v>
      </c>
      <c r="N529">
        <f t="shared" si="107"/>
        <v>1167.7460685419301</v>
      </c>
      <c r="O529" s="5">
        <f t="shared" si="98"/>
        <v>8.261388440632933E-2</v>
      </c>
      <c r="P529">
        <f t="shared" si="106"/>
        <v>10000</v>
      </c>
      <c r="Q529">
        <f t="shared" si="99"/>
        <v>826.13884406329328</v>
      </c>
    </row>
    <row r="530" spans="1:17" x14ac:dyDescent="0.15">
      <c r="A530" s="10">
        <v>45886.611111111008</v>
      </c>
      <c r="B530">
        <f>COUNT(A530:$A$1158)/(48*252)</f>
        <v>5.2000661375661374E-2</v>
      </c>
      <c r="C530">
        <v>2.2210000000000001</v>
      </c>
      <c r="D530">
        <v>6.2E-2</v>
      </c>
      <c r="E530">
        <f t="shared" si="96"/>
        <v>0.15618449168018655</v>
      </c>
      <c r="F530">
        <f t="shared" si="97"/>
        <v>0.56205619971748</v>
      </c>
      <c r="G530">
        <f t="shared" si="100"/>
        <v>-3.0000000000001137E-3</v>
      </c>
      <c r="H530">
        <f>IF(MOD(COUNTA($C$7:C530)-1,$J$2),H529,ROUND(F530*P530,-2))</f>
        <v>5700</v>
      </c>
      <c r="I530">
        <f t="shared" si="101"/>
        <v>0</v>
      </c>
      <c r="J530">
        <f t="shared" si="102"/>
        <v>0</v>
      </c>
      <c r="K530">
        <f t="shared" si="103"/>
        <v>-11509.053931458071</v>
      </c>
      <c r="L530">
        <f t="shared" si="104"/>
        <v>1150.6460685419297</v>
      </c>
      <c r="M530">
        <f t="shared" si="105"/>
        <v>-17.100000000000364</v>
      </c>
      <c r="N530">
        <f t="shared" si="107"/>
        <v>1150.6460685419297</v>
      </c>
      <c r="O530" s="5">
        <f t="shared" si="98"/>
        <v>8.3847540549843447E-2</v>
      </c>
      <c r="P530">
        <f t="shared" si="106"/>
        <v>10000</v>
      </c>
      <c r="Q530">
        <f t="shared" si="99"/>
        <v>838.4754054984345</v>
      </c>
    </row>
    <row r="531" spans="1:17" x14ac:dyDescent="0.15">
      <c r="A531" s="10">
        <v>45886.614583333023</v>
      </c>
      <c r="B531">
        <f>COUNT(A531:$A$1158)/(48*252)</f>
        <v>5.1917989417989419E-2</v>
      </c>
      <c r="C531">
        <v>2.218</v>
      </c>
      <c r="D531">
        <v>0.06</v>
      </c>
      <c r="E531">
        <f t="shared" si="96"/>
        <v>0.14373277419004574</v>
      </c>
      <c r="F531">
        <f t="shared" si="97"/>
        <v>0.55714425507718879</v>
      </c>
      <c r="G531">
        <f t="shared" si="100"/>
        <v>-3.0000000000001137E-3</v>
      </c>
      <c r="H531">
        <f>IF(MOD(COUNTA($C$7:C531)-1,$J$2),H530,ROUND(F531*P531,-2))</f>
        <v>5700</v>
      </c>
      <c r="I531">
        <f t="shared" si="101"/>
        <v>0</v>
      </c>
      <c r="J531">
        <f t="shared" si="102"/>
        <v>0</v>
      </c>
      <c r="K531">
        <f t="shared" si="103"/>
        <v>-11509.053931458071</v>
      </c>
      <c r="L531">
        <f t="shared" si="104"/>
        <v>1133.5460685419293</v>
      </c>
      <c r="M531">
        <f t="shared" si="105"/>
        <v>-17.100000000000364</v>
      </c>
      <c r="N531">
        <f t="shared" si="107"/>
        <v>1133.5460685419293</v>
      </c>
      <c r="O531" s="5">
        <f t="shared" si="98"/>
        <v>8.5095819013539797E-2</v>
      </c>
      <c r="P531">
        <f t="shared" si="106"/>
        <v>10000</v>
      </c>
      <c r="Q531">
        <f t="shared" si="99"/>
        <v>850.95819013539801</v>
      </c>
    </row>
    <row r="532" spans="1:17" x14ac:dyDescent="0.15">
      <c r="A532" s="10">
        <v>45886.618055555969</v>
      </c>
      <c r="B532">
        <f>COUNT(A532:$A$1158)/(48*252)</f>
        <v>5.1835317460317464E-2</v>
      </c>
      <c r="C532">
        <v>2.2200000000000002</v>
      </c>
      <c r="D532">
        <v>6.2E-2</v>
      </c>
      <c r="E532">
        <f t="shared" si="96"/>
        <v>0.15205777659415717</v>
      </c>
      <c r="F532">
        <f t="shared" si="97"/>
        <v>0.56042931686433728</v>
      </c>
      <c r="G532">
        <f t="shared" si="100"/>
        <v>2.0000000000002238E-3</v>
      </c>
      <c r="H532">
        <f>IF(MOD(COUNTA($C$7:C532)-1,$J$2),H531,ROUND(F532*P532,-2))</f>
        <v>5700</v>
      </c>
      <c r="I532">
        <f t="shared" si="101"/>
        <v>0</v>
      </c>
      <c r="J532">
        <f t="shared" si="102"/>
        <v>0</v>
      </c>
      <c r="K532">
        <f t="shared" si="103"/>
        <v>-11509.053931458071</v>
      </c>
      <c r="L532">
        <f t="shared" si="104"/>
        <v>1144.9460685419308</v>
      </c>
      <c r="M532">
        <f t="shared" si="105"/>
        <v>11.400000000001455</v>
      </c>
      <c r="N532">
        <f t="shared" si="107"/>
        <v>1144.9460685419308</v>
      </c>
      <c r="O532" s="5">
        <f t="shared" si="98"/>
        <v>8.4140415543405456E-2</v>
      </c>
      <c r="P532">
        <f t="shared" si="106"/>
        <v>10000</v>
      </c>
      <c r="Q532">
        <f t="shared" si="99"/>
        <v>841.40415543405459</v>
      </c>
    </row>
    <row r="533" spans="1:17" x14ac:dyDescent="0.15">
      <c r="A533" s="10">
        <v>45886.621527777985</v>
      </c>
      <c r="B533">
        <f>COUNT(A533:$A$1158)/(48*252)</f>
        <v>5.1752645502645502E-2</v>
      </c>
      <c r="C533">
        <v>2.2170000000000001</v>
      </c>
      <c r="D533">
        <v>0.06</v>
      </c>
      <c r="E533">
        <f t="shared" si="96"/>
        <v>0.13957745937104357</v>
      </c>
      <c r="F533">
        <f t="shared" si="97"/>
        <v>0.55550307446244007</v>
      </c>
      <c r="G533">
        <f t="shared" si="100"/>
        <v>-3.0000000000001137E-3</v>
      </c>
      <c r="H533">
        <f>IF(MOD(COUNTA($C$7:C533)-1,$J$2),H532,ROUND(F533*P533,-2))</f>
        <v>5700</v>
      </c>
      <c r="I533">
        <f t="shared" si="101"/>
        <v>0</v>
      </c>
      <c r="J533">
        <f t="shared" si="102"/>
        <v>0</v>
      </c>
      <c r="K533">
        <f t="shared" si="103"/>
        <v>-11509.053931458071</v>
      </c>
      <c r="L533">
        <f t="shared" si="104"/>
        <v>1127.8460685419286</v>
      </c>
      <c r="M533">
        <f t="shared" si="105"/>
        <v>-17.100000000002183</v>
      </c>
      <c r="N533">
        <f t="shared" si="107"/>
        <v>1127.8460685419286</v>
      </c>
      <c r="O533" s="5">
        <f t="shared" si="98"/>
        <v>8.5393472036188967E-2</v>
      </c>
      <c r="P533">
        <f t="shared" si="106"/>
        <v>10000</v>
      </c>
      <c r="Q533">
        <f t="shared" si="99"/>
        <v>853.93472036188962</v>
      </c>
    </row>
    <row r="534" spans="1:17" x14ac:dyDescent="0.15">
      <c r="A534" s="10">
        <v>45886.625</v>
      </c>
      <c r="B534">
        <f>COUNT(A534:$A$1158)/(48*252)</f>
        <v>5.1669973544973546E-2</v>
      </c>
      <c r="C534">
        <v>2.2210000000000001</v>
      </c>
      <c r="D534">
        <v>6.0999999999999999E-2</v>
      </c>
      <c r="E534">
        <f t="shared" si="96"/>
        <v>0.15624564878336328</v>
      </c>
      <c r="F534">
        <f t="shared" si="97"/>
        <v>0.56208030198460923</v>
      </c>
      <c r="G534">
        <f t="shared" si="100"/>
        <v>4.0000000000000036E-3</v>
      </c>
      <c r="H534">
        <f>IF(MOD(COUNTA($C$7:C534)-1,$J$2),H533,ROUND(F534*P534,-2))</f>
        <v>5700</v>
      </c>
      <c r="I534">
        <f t="shared" si="101"/>
        <v>0</v>
      </c>
      <c r="J534">
        <f t="shared" si="102"/>
        <v>0</v>
      </c>
      <c r="K534">
        <f t="shared" si="103"/>
        <v>-11509.053931458071</v>
      </c>
      <c r="L534">
        <f t="shared" si="104"/>
        <v>1150.6460685419297</v>
      </c>
      <c r="M534">
        <f t="shared" si="105"/>
        <v>22.800000000001091</v>
      </c>
      <c r="N534">
        <f t="shared" si="107"/>
        <v>1150.6460685419297</v>
      </c>
      <c r="O534" s="5">
        <f t="shared" si="98"/>
        <v>8.3555546963498095E-2</v>
      </c>
      <c r="P534">
        <f t="shared" si="106"/>
        <v>10000</v>
      </c>
      <c r="Q534">
        <f t="shared" si="99"/>
        <v>835.55546963498091</v>
      </c>
    </row>
    <row r="535" spans="1:17" x14ac:dyDescent="0.15">
      <c r="A535" s="10">
        <v>45889.399305555969</v>
      </c>
      <c r="B535">
        <f>COUNT(A535:$A$1158)/(48*252)</f>
        <v>5.1587301587301584E-2</v>
      </c>
      <c r="C535">
        <v>2.2280000000000002</v>
      </c>
      <c r="D535">
        <v>6.7000000000000004E-2</v>
      </c>
      <c r="E535">
        <f t="shared" si="96"/>
        <v>0.18537801126484563</v>
      </c>
      <c r="F535">
        <f t="shared" si="97"/>
        <v>0.5735337230126154</v>
      </c>
      <c r="G535">
        <f t="shared" si="100"/>
        <v>7.0000000000001172E-3</v>
      </c>
      <c r="H535">
        <f>IF(MOD(COUNTA($C$7:C535)-1,$J$2),H534,ROUND(F535*P535,-2))</f>
        <v>5700</v>
      </c>
      <c r="I535">
        <f t="shared" si="101"/>
        <v>0</v>
      </c>
      <c r="J535">
        <f t="shared" si="102"/>
        <v>0</v>
      </c>
      <c r="K535">
        <f t="shared" si="103"/>
        <v>-11509.053931458071</v>
      </c>
      <c r="L535">
        <f t="shared" si="104"/>
        <v>1190.5460685419293</v>
      </c>
      <c r="M535">
        <f t="shared" si="105"/>
        <v>39.899999999999636</v>
      </c>
      <c r="N535">
        <f t="shared" si="107"/>
        <v>1190.5460685419293</v>
      </c>
      <c r="O535" s="5">
        <f t="shared" si="98"/>
        <v>8.045712219997192E-2</v>
      </c>
      <c r="P535">
        <f t="shared" si="106"/>
        <v>10000</v>
      </c>
      <c r="Q535">
        <f t="shared" si="99"/>
        <v>804.57122199971923</v>
      </c>
    </row>
    <row r="536" spans="1:17" x14ac:dyDescent="0.15">
      <c r="A536" s="10">
        <v>45889.402777777985</v>
      </c>
      <c r="B536">
        <f>COUNT(A536:$A$1158)/(48*252)</f>
        <v>5.1504629629629629E-2</v>
      </c>
      <c r="C536">
        <v>2.2290000000000001</v>
      </c>
      <c r="D536">
        <v>6.8000000000000005E-2</v>
      </c>
      <c r="E536">
        <f t="shared" si="96"/>
        <v>0.18957249456211289</v>
      </c>
      <c r="F536">
        <f t="shared" si="97"/>
        <v>0.57517792875378948</v>
      </c>
      <c r="G536">
        <f t="shared" si="100"/>
        <v>9.9999999999988987E-4</v>
      </c>
      <c r="H536">
        <f>IF(MOD(COUNTA($C$7:C536)-1,$J$2),H535,ROUND(F536*P536,-2))</f>
        <v>5700</v>
      </c>
      <c r="I536">
        <f t="shared" si="101"/>
        <v>0</v>
      </c>
      <c r="J536">
        <f t="shared" si="102"/>
        <v>0</v>
      </c>
      <c r="K536">
        <f t="shared" si="103"/>
        <v>-11509.053931458071</v>
      </c>
      <c r="L536">
        <f t="shared" si="104"/>
        <v>1196.2460685419301</v>
      </c>
      <c r="M536">
        <f t="shared" si="105"/>
        <v>5.7000000000007276</v>
      </c>
      <c r="N536">
        <f t="shared" si="107"/>
        <v>1196.2460685419301</v>
      </c>
      <c r="O536" s="5">
        <f t="shared" si="98"/>
        <v>7.9958350905306674E-2</v>
      </c>
      <c r="P536">
        <f t="shared" si="106"/>
        <v>10000</v>
      </c>
      <c r="Q536">
        <f t="shared" si="99"/>
        <v>799.58350905306679</v>
      </c>
    </row>
    <row r="537" spans="1:17" x14ac:dyDescent="0.15">
      <c r="A537" s="10">
        <v>45889.40625</v>
      </c>
      <c r="B537">
        <f>COUNT(A537:$A$1158)/(48*252)</f>
        <v>5.1421957671957674E-2</v>
      </c>
      <c r="C537">
        <v>2.234</v>
      </c>
      <c r="D537">
        <v>7.0000000000000007E-2</v>
      </c>
      <c r="E537">
        <f t="shared" si="96"/>
        <v>0.21038084399323814</v>
      </c>
      <c r="F537">
        <f t="shared" si="97"/>
        <v>0.58331477881083127</v>
      </c>
      <c r="G537">
        <f t="shared" si="100"/>
        <v>4.9999999999998934E-3</v>
      </c>
      <c r="H537">
        <f>IF(MOD(COUNTA($C$7:C537)-1,$J$2),H536,ROUND(F537*P537,-2))</f>
        <v>5700</v>
      </c>
      <c r="I537">
        <f t="shared" si="101"/>
        <v>0</v>
      </c>
      <c r="J537">
        <f t="shared" si="102"/>
        <v>0</v>
      </c>
      <c r="K537">
        <f t="shared" si="103"/>
        <v>-11509.053931458071</v>
      </c>
      <c r="L537">
        <f t="shared" si="104"/>
        <v>1224.7460685419283</v>
      </c>
      <c r="M537">
        <f t="shared" si="105"/>
        <v>28.499999999998181</v>
      </c>
      <c r="N537">
        <f t="shared" si="107"/>
        <v>1224.7460685419283</v>
      </c>
      <c r="O537" s="5">
        <f t="shared" si="98"/>
        <v>7.7781466650947317E-2</v>
      </c>
      <c r="P537">
        <f t="shared" si="106"/>
        <v>10000</v>
      </c>
      <c r="Q537">
        <f t="shared" si="99"/>
        <v>777.81466650947323</v>
      </c>
    </row>
    <row r="538" spans="1:17" x14ac:dyDescent="0.15">
      <c r="A538" s="10">
        <v>45889.409722222015</v>
      </c>
      <c r="B538">
        <f>COUNT(A538:$A$1158)/(48*252)</f>
        <v>5.1339285714285712E-2</v>
      </c>
      <c r="C538">
        <v>2.2349999999999999</v>
      </c>
      <c r="D538">
        <v>7.0000000000000007E-2</v>
      </c>
      <c r="E538">
        <f t="shared" si="96"/>
        <v>0.2145912628691215</v>
      </c>
      <c r="F538">
        <f t="shared" si="97"/>
        <v>0.58495699676338586</v>
      </c>
      <c r="G538">
        <f t="shared" si="100"/>
        <v>9.9999999999988987E-4</v>
      </c>
      <c r="H538">
        <f>IF(MOD(COUNTA($C$7:C538)-1,$J$2),H537,ROUND(F538*P538,-2))</f>
        <v>5700</v>
      </c>
      <c r="I538">
        <f t="shared" si="101"/>
        <v>0</v>
      </c>
      <c r="J538">
        <f t="shared" si="102"/>
        <v>0</v>
      </c>
      <c r="K538">
        <f t="shared" si="103"/>
        <v>-11509.053931458071</v>
      </c>
      <c r="L538">
        <f t="shared" si="104"/>
        <v>1230.446068541929</v>
      </c>
      <c r="M538">
        <f t="shared" si="105"/>
        <v>5.7000000000007276</v>
      </c>
      <c r="N538">
        <f t="shared" si="107"/>
        <v>1230.446068541929</v>
      </c>
      <c r="O538" s="5">
        <f t="shared" si="98"/>
        <v>7.7292474386862375E-2</v>
      </c>
      <c r="P538">
        <f t="shared" si="106"/>
        <v>10000</v>
      </c>
      <c r="Q538">
        <f t="shared" si="99"/>
        <v>772.92474386862375</v>
      </c>
    </row>
    <row r="539" spans="1:17" x14ac:dyDescent="0.15">
      <c r="A539" s="10">
        <v>45889.413194444962</v>
      </c>
      <c r="B539">
        <f>COUNT(A539:$A$1158)/(48*252)</f>
        <v>5.1256613756613757E-2</v>
      </c>
      <c r="C539">
        <v>2.2349999999999999</v>
      </c>
      <c r="D539">
        <v>7.0000000000000007E-2</v>
      </c>
      <c r="E539">
        <f t="shared" si="96"/>
        <v>0.21465435109476491</v>
      </c>
      <c r="F539">
        <f t="shared" si="97"/>
        <v>0.58498159227928426</v>
      </c>
      <c r="G539">
        <f t="shared" si="100"/>
        <v>0</v>
      </c>
      <c r="H539">
        <f>IF(MOD(COUNTA($C$7:C539)-1,$J$2),H538,ROUND(F539*P539,-2))</f>
        <v>5700</v>
      </c>
      <c r="I539">
        <f t="shared" si="101"/>
        <v>0</v>
      </c>
      <c r="J539">
        <f t="shared" si="102"/>
        <v>0</v>
      </c>
      <c r="K539">
        <f t="shared" si="103"/>
        <v>-11509.053931458071</v>
      </c>
      <c r="L539">
        <f t="shared" si="104"/>
        <v>1230.446068541929</v>
      </c>
      <c r="M539">
        <f t="shared" si="105"/>
        <v>0</v>
      </c>
      <c r="N539">
        <f t="shared" si="107"/>
        <v>1230.446068541929</v>
      </c>
      <c r="O539" s="5">
        <f t="shared" si="98"/>
        <v>7.7219298110861145E-2</v>
      </c>
      <c r="P539">
        <f t="shared" si="106"/>
        <v>10000</v>
      </c>
      <c r="Q539">
        <f t="shared" si="99"/>
        <v>772.19298110861143</v>
      </c>
    </row>
    <row r="540" spans="1:17" x14ac:dyDescent="0.15">
      <c r="A540" s="10">
        <v>45889.416666666977</v>
      </c>
      <c r="B540">
        <f>COUNT(A540:$A$1158)/(48*252)</f>
        <v>5.1173941798941802E-2</v>
      </c>
      <c r="C540">
        <v>2.2360000000000002</v>
      </c>
      <c r="D540">
        <v>7.0999999999999994E-2</v>
      </c>
      <c r="E540">
        <f t="shared" si="96"/>
        <v>0.21887343073245058</v>
      </c>
      <c r="F540">
        <f t="shared" si="97"/>
        <v>0.58662567806551258</v>
      </c>
      <c r="G540">
        <f t="shared" si="100"/>
        <v>1.000000000000334E-3</v>
      </c>
      <c r="H540">
        <f>IF(MOD(COUNTA($C$7:C540)-1,$J$2),H539,ROUND(F540*P540,-2))</f>
        <v>5700</v>
      </c>
      <c r="I540">
        <f t="shared" si="101"/>
        <v>0</v>
      </c>
      <c r="J540">
        <f t="shared" si="102"/>
        <v>0</v>
      </c>
      <c r="K540">
        <f t="shared" si="103"/>
        <v>-11509.053931458071</v>
      </c>
      <c r="L540">
        <f t="shared" si="104"/>
        <v>1236.1460685419297</v>
      </c>
      <c r="M540">
        <f t="shared" si="105"/>
        <v>5.7000000000007276</v>
      </c>
      <c r="N540">
        <f t="shared" si="107"/>
        <v>1236.1460685419297</v>
      </c>
      <c r="O540" s="5">
        <f t="shared" si="98"/>
        <v>7.6731877658395509E-2</v>
      </c>
      <c r="P540">
        <f t="shared" si="106"/>
        <v>10000</v>
      </c>
      <c r="Q540">
        <f t="shared" si="99"/>
        <v>767.31877658395513</v>
      </c>
    </row>
    <row r="541" spans="1:17" x14ac:dyDescent="0.15">
      <c r="A541" s="10">
        <v>45889.420138888992</v>
      </c>
      <c r="B541">
        <f>COUNT(A541:$A$1158)/(48*252)</f>
        <v>5.109126984126984E-2</v>
      </c>
      <c r="C541">
        <v>2.238</v>
      </c>
      <c r="D541">
        <v>7.1999999999999995E-2</v>
      </c>
      <c r="E541">
        <f t="shared" si="96"/>
        <v>0.22725300823243003</v>
      </c>
      <c r="F541">
        <f t="shared" si="97"/>
        <v>0.58988649442897423</v>
      </c>
      <c r="G541">
        <f t="shared" si="100"/>
        <v>1.9999999999997797E-3</v>
      </c>
      <c r="H541">
        <f>IF(MOD(COUNTA($C$7:C541)-1,$J$2),H540,ROUND(F541*P541,-2))</f>
        <v>5900</v>
      </c>
      <c r="I541">
        <f t="shared" si="101"/>
        <v>200</v>
      </c>
      <c r="J541">
        <f t="shared" si="102"/>
        <v>0</v>
      </c>
      <c r="K541">
        <f t="shared" si="103"/>
        <v>-11956.674073458071</v>
      </c>
      <c r="L541">
        <f t="shared" si="104"/>
        <v>1247.5259265419299</v>
      </c>
      <c r="M541">
        <f t="shared" si="105"/>
        <v>11.37985800000024</v>
      </c>
      <c r="N541">
        <f t="shared" si="107"/>
        <v>1247.5259265419299</v>
      </c>
      <c r="O541" s="5">
        <f t="shared" si="98"/>
        <v>7.5835145714973962E-2</v>
      </c>
      <c r="P541">
        <f t="shared" si="106"/>
        <v>10000</v>
      </c>
      <c r="Q541">
        <f t="shared" si="99"/>
        <v>758.35145714973964</v>
      </c>
    </row>
    <row r="542" spans="1:17" x14ac:dyDescent="0.15">
      <c r="A542" s="10">
        <v>45889.423611111008</v>
      </c>
      <c r="B542">
        <f>COUNT(A542:$A$1158)/(48*252)</f>
        <v>5.1008597883597885E-2</v>
      </c>
      <c r="C542">
        <v>2.2490000000000001</v>
      </c>
      <c r="D542">
        <v>7.8E-2</v>
      </c>
      <c r="E542">
        <f t="shared" si="96"/>
        <v>0.27295102474894389</v>
      </c>
      <c r="F542">
        <f t="shared" si="97"/>
        <v>0.60755456847487455</v>
      </c>
      <c r="G542">
        <f t="shared" si="100"/>
        <v>1.1000000000000121E-2</v>
      </c>
      <c r="H542">
        <f>IF(MOD(COUNTA($C$7:C542)-1,$J$2),H541,ROUND(F542*P542,-2))</f>
        <v>5900</v>
      </c>
      <c r="I542">
        <f t="shared" si="101"/>
        <v>0</v>
      </c>
      <c r="J542">
        <f t="shared" si="102"/>
        <v>0</v>
      </c>
      <c r="K542">
        <f t="shared" si="103"/>
        <v>-11956.674073458071</v>
      </c>
      <c r="L542">
        <f t="shared" si="104"/>
        <v>1312.4259265419296</v>
      </c>
      <c r="M542">
        <f t="shared" si="105"/>
        <v>64.899999999999636</v>
      </c>
      <c r="N542">
        <f t="shared" si="107"/>
        <v>1312.4259265419296</v>
      </c>
      <c r="O542" s="5">
        <f t="shared" si="98"/>
        <v>7.1348216127512187E-2</v>
      </c>
      <c r="P542">
        <f t="shared" si="106"/>
        <v>10000</v>
      </c>
      <c r="Q542">
        <f t="shared" si="99"/>
        <v>713.48216127512183</v>
      </c>
    </row>
    <row r="543" spans="1:17" x14ac:dyDescent="0.15">
      <c r="A543" s="10">
        <v>45889.427083333023</v>
      </c>
      <c r="B543">
        <f>COUNT(A543:$A$1158)/(48*252)</f>
        <v>5.0925925925925923E-2</v>
      </c>
      <c r="C543">
        <v>2.2530000000000001</v>
      </c>
      <c r="D543">
        <v>7.9000000000000001E-2</v>
      </c>
      <c r="E543">
        <f t="shared" si="96"/>
        <v>0.28961092122542925</v>
      </c>
      <c r="F543">
        <f t="shared" si="97"/>
        <v>0.6139430445055476</v>
      </c>
      <c r="G543">
        <f t="shared" si="100"/>
        <v>4.0000000000000036E-3</v>
      </c>
      <c r="H543">
        <f>IF(MOD(COUNTA($C$7:C543)-1,$J$2),H542,ROUND(F543*P543,-2))</f>
        <v>5900</v>
      </c>
      <c r="I543">
        <f t="shared" si="101"/>
        <v>0</v>
      </c>
      <c r="J543">
        <f t="shared" si="102"/>
        <v>0</v>
      </c>
      <c r="K543">
        <f t="shared" si="103"/>
        <v>-11956.674073458071</v>
      </c>
      <c r="L543">
        <f t="shared" si="104"/>
        <v>1336.0259265419299</v>
      </c>
      <c r="M543">
        <f t="shared" si="105"/>
        <v>23.600000000000364</v>
      </c>
      <c r="N543">
        <f t="shared" si="107"/>
        <v>1336.0259265419299</v>
      </c>
      <c r="O543" s="5">
        <f t="shared" si="98"/>
        <v>6.9718366819860988E-2</v>
      </c>
      <c r="P543">
        <f t="shared" si="106"/>
        <v>10000</v>
      </c>
      <c r="Q543">
        <f t="shared" si="99"/>
        <v>697.18366819860989</v>
      </c>
    </row>
    <row r="544" spans="1:17" x14ac:dyDescent="0.15">
      <c r="A544" s="10">
        <v>45889.430555555969</v>
      </c>
      <c r="B544">
        <f>COUNT(A544:$A$1158)/(48*252)</f>
        <v>5.0843253968253968E-2</v>
      </c>
      <c r="C544">
        <v>2.254</v>
      </c>
      <c r="D544">
        <v>0.08</v>
      </c>
      <c r="E544">
        <f t="shared" si="96"/>
        <v>0.2938718767114622</v>
      </c>
      <c r="F544">
        <f t="shared" si="97"/>
        <v>0.61557209557674419</v>
      </c>
      <c r="G544">
        <f t="shared" si="100"/>
        <v>9.9999999999988987E-4</v>
      </c>
      <c r="H544">
        <f>IF(MOD(COUNTA($C$7:C544)-1,$J$2),H543,ROUND(F544*P544,-2))</f>
        <v>5900</v>
      </c>
      <c r="I544">
        <f t="shared" si="101"/>
        <v>0</v>
      </c>
      <c r="J544">
        <f t="shared" si="102"/>
        <v>0</v>
      </c>
      <c r="K544">
        <f t="shared" si="103"/>
        <v>-11956.674073458071</v>
      </c>
      <c r="L544">
        <f t="shared" si="104"/>
        <v>1341.9259265419296</v>
      </c>
      <c r="M544">
        <f t="shared" si="105"/>
        <v>5.8999999999996362</v>
      </c>
      <c r="N544">
        <f t="shared" si="107"/>
        <v>1341.9259265419296</v>
      </c>
      <c r="O544" s="5">
        <f t="shared" si="98"/>
        <v>6.9260327046001047E-2</v>
      </c>
      <c r="P544">
        <f t="shared" si="106"/>
        <v>10000</v>
      </c>
      <c r="Q544">
        <f t="shared" si="99"/>
        <v>692.60327046001044</v>
      </c>
    </row>
    <row r="545" spans="1:17" x14ac:dyDescent="0.15">
      <c r="A545" s="10">
        <v>45889.434027777985</v>
      </c>
      <c r="B545">
        <f>COUNT(A545:$A$1158)/(48*252)</f>
        <v>5.0760582010582013E-2</v>
      </c>
      <c r="C545">
        <v>2.2559999999999998</v>
      </c>
      <c r="D545">
        <v>8.2000000000000003E-2</v>
      </c>
      <c r="E545">
        <f t="shared" si="96"/>
        <v>0.30227376130171901</v>
      </c>
      <c r="F545">
        <f t="shared" si="97"/>
        <v>0.61877831059938737</v>
      </c>
      <c r="G545">
        <f t="shared" si="100"/>
        <v>1.9999999999997797E-3</v>
      </c>
      <c r="H545">
        <f>IF(MOD(COUNTA($C$7:C545)-1,$J$2),H544,ROUND(F545*P545,-2))</f>
        <v>5900</v>
      </c>
      <c r="I545">
        <f t="shared" si="101"/>
        <v>0</v>
      </c>
      <c r="J545">
        <f t="shared" si="102"/>
        <v>0</v>
      </c>
      <c r="K545">
        <f t="shared" si="103"/>
        <v>-11956.674073458071</v>
      </c>
      <c r="L545">
        <f t="shared" si="104"/>
        <v>1353.725926541927</v>
      </c>
      <c r="M545">
        <f t="shared" si="105"/>
        <v>11.799999999997453</v>
      </c>
      <c r="N545">
        <f t="shared" si="107"/>
        <v>1353.725926541927</v>
      </c>
      <c r="O545" s="5">
        <f t="shared" si="98"/>
        <v>6.8421896690622375E-2</v>
      </c>
      <c r="P545">
        <f t="shared" si="106"/>
        <v>10000</v>
      </c>
      <c r="Q545">
        <f t="shared" si="99"/>
        <v>684.21896690622373</v>
      </c>
    </row>
    <row r="546" spans="1:17" x14ac:dyDescent="0.15">
      <c r="A546" s="10">
        <v>45889.4375</v>
      </c>
      <c r="B546">
        <f>COUNT(A546:$A$1158)/(48*252)</f>
        <v>5.0677910052910051E-2</v>
      </c>
      <c r="C546">
        <v>2.258</v>
      </c>
      <c r="D546">
        <v>8.3000000000000004E-2</v>
      </c>
      <c r="E546">
        <f t="shared" si="96"/>
        <v>0.3106822044729789</v>
      </c>
      <c r="F546">
        <f t="shared" si="97"/>
        <v>0.62197888649522948</v>
      </c>
      <c r="G546">
        <f t="shared" si="100"/>
        <v>2.0000000000002238E-3</v>
      </c>
      <c r="H546">
        <f>IF(MOD(COUNTA($C$7:C546)-1,$J$2),H545,ROUND(F546*P546,-2))</f>
        <v>5900</v>
      </c>
      <c r="I546">
        <f t="shared" si="101"/>
        <v>0</v>
      </c>
      <c r="J546">
        <f t="shared" si="102"/>
        <v>0</v>
      </c>
      <c r="K546">
        <f t="shared" si="103"/>
        <v>-11956.674073458071</v>
      </c>
      <c r="L546">
        <f t="shared" si="104"/>
        <v>1365.5259265419299</v>
      </c>
      <c r="M546">
        <f t="shared" si="105"/>
        <v>11.80000000000291</v>
      </c>
      <c r="N546">
        <f t="shared" si="107"/>
        <v>1365.5259265419299</v>
      </c>
      <c r="O546" s="5">
        <f t="shared" si="98"/>
        <v>6.7589918094170698E-2</v>
      </c>
      <c r="P546">
        <f t="shared" si="106"/>
        <v>10000</v>
      </c>
      <c r="Q546">
        <f t="shared" si="99"/>
        <v>675.89918094170696</v>
      </c>
    </row>
    <row r="547" spans="1:17" x14ac:dyDescent="0.15">
      <c r="A547" s="10">
        <v>45889.440972222015</v>
      </c>
      <c r="B547">
        <f>COUNT(A547:$A$1158)/(48*252)</f>
        <v>5.0595238095238096E-2</v>
      </c>
      <c r="C547">
        <v>2.266</v>
      </c>
      <c r="D547">
        <v>8.7999999999999995E-2</v>
      </c>
      <c r="E547">
        <f t="shared" si="96"/>
        <v>0.34386922738219133</v>
      </c>
      <c r="F547">
        <f t="shared" si="97"/>
        <v>0.63452768241313429</v>
      </c>
      <c r="G547">
        <f t="shared" si="100"/>
        <v>8.0000000000000071E-3</v>
      </c>
      <c r="H547">
        <f>IF(MOD(COUNTA($C$7:C547)-1,$J$2),H546,ROUND(F547*P547,-2))</f>
        <v>6300</v>
      </c>
      <c r="I547">
        <f t="shared" si="101"/>
        <v>400</v>
      </c>
      <c r="J547">
        <f t="shared" si="102"/>
        <v>0</v>
      </c>
      <c r="K547">
        <f t="shared" si="103"/>
        <v>-12863.114861458071</v>
      </c>
      <c r="L547">
        <f t="shared" si="104"/>
        <v>1412.6851385419286</v>
      </c>
      <c r="M547">
        <f t="shared" si="105"/>
        <v>47.159211999998661</v>
      </c>
      <c r="N547">
        <f t="shared" si="107"/>
        <v>1412.6851385419286</v>
      </c>
      <c r="O547" s="5">
        <f t="shared" si="98"/>
        <v>6.4543539847533582E-2</v>
      </c>
      <c r="P547">
        <f t="shared" si="106"/>
        <v>10000</v>
      </c>
      <c r="Q547">
        <f t="shared" si="99"/>
        <v>645.43539847533577</v>
      </c>
    </row>
    <row r="548" spans="1:17" x14ac:dyDescent="0.15">
      <c r="A548" s="10">
        <v>45889.444444444962</v>
      </c>
      <c r="B548">
        <f>COUNT(A548:$A$1158)/(48*252)</f>
        <v>5.0512566137566141E-2</v>
      </c>
      <c r="C548">
        <v>2.2719999999999998</v>
      </c>
      <c r="D548">
        <v>9.4E-2</v>
      </c>
      <c r="E548">
        <f t="shared" si="96"/>
        <v>0.36876648418370317</v>
      </c>
      <c r="F548">
        <f t="shared" si="97"/>
        <v>0.64384910578872545</v>
      </c>
      <c r="G548">
        <f t="shared" si="100"/>
        <v>5.9999999999997833E-3</v>
      </c>
      <c r="H548">
        <f>IF(MOD(COUNTA($C$7:C548)-1,$J$2),H547,ROUND(F548*P548,-2))</f>
        <v>6300</v>
      </c>
      <c r="I548">
        <f t="shared" si="101"/>
        <v>0</v>
      </c>
      <c r="J548">
        <f t="shared" si="102"/>
        <v>0</v>
      </c>
      <c r="K548">
        <f t="shared" si="103"/>
        <v>-12863.114861458071</v>
      </c>
      <c r="L548">
        <f t="shared" si="104"/>
        <v>1450.4851385419279</v>
      </c>
      <c r="M548">
        <f t="shared" si="105"/>
        <v>37.799999999999272</v>
      </c>
      <c r="N548">
        <f t="shared" si="107"/>
        <v>1450.4851385419279</v>
      </c>
      <c r="O548" s="5">
        <f t="shared" si="98"/>
        <v>6.230659056668475E-2</v>
      </c>
      <c r="P548">
        <f t="shared" si="106"/>
        <v>10000</v>
      </c>
      <c r="Q548">
        <f t="shared" si="99"/>
        <v>623.06590566684747</v>
      </c>
    </row>
    <row r="549" spans="1:17" x14ac:dyDescent="0.15">
      <c r="A549" s="10">
        <v>45889.447916666977</v>
      </c>
      <c r="B549">
        <f>COUNT(A549:$A$1158)/(48*252)</f>
        <v>5.0429894179894179E-2</v>
      </c>
      <c r="C549">
        <v>2.27</v>
      </c>
      <c r="D549">
        <v>9.1999999999999998E-2</v>
      </c>
      <c r="E549">
        <f t="shared" si="96"/>
        <v>0.36071612071110781</v>
      </c>
      <c r="F549">
        <f t="shared" si="97"/>
        <v>0.64084416381129805</v>
      </c>
      <c r="G549">
        <f t="shared" si="100"/>
        <v>-1.9999999999997797E-3</v>
      </c>
      <c r="H549">
        <f>IF(MOD(COUNTA($C$7:C549)-1,$J$2),H548,ROUND(F549*P549,-2))</f>
        <v>6300</v>
      </c>
      <c r="I549">
        <f t="shared" si="101"/>
        <v>0</v>
      </c>
      <c r="J549">
        <f t="shared" si="102"/>
        <v>0</v>
      </c>
      <c r="K549">
        <f t="shared" si="103"/>
        <v>-12863.114861458071</v>
      </c>
      <c r="L549">
        <f t="shared" si="104"/>
        <v>1437.8851385419293</v>
      </c>
      <c r="M549">
        <f t="shared" si="105"/>
        <v>-12.599999999998545</v>
      </c>
      <c r="N549">
        <f t="shared" si="107"/>
        <v>1437.8851385419293</v>
      </c>
      <c r="O549" s="5">
        <f t="shared" si="98"/>
        <v>6.2949848740588954E-2</v>
      </c>
      <c r="P549">
        <f t="shared" si="106"/>
        <v>10000</v>
      </c>
      <c r="Q549">
        <f t="shared" si="99"/>
        <v>629.49848740588959</v>
      </c>
    </row>
    <row r="550" spans="1:17" x14ac:dyDescent="0.15">
      <c r="A550" s="10">
        <v>45889.451388888992</v>
      </c>
      <c r="B550">
        <f>COUNT(A550:$A$1158)/(48*252)</f>
        <v>5.0347222222222224E-2</v>
      </c>
      <c r="C550">
        <v>2.2690000000000001</v>
      </c>
      <c r="D550">
        <v>9.0999999999999998E-2</v>
      </c>
      <c r="E550">
        <f t="shared" si="96"/>
        <v>0.35677430319370368</v>
      </c>
      <c r="F550">
        <f t="shared" si="97"/>
        <v>0.63936961248946222</v>
      </c>
      <c r="G550">
        <f t="shared" si="100"/>
        <v>-9.9999999999988987E-4</v>
      </c>
      <c r="H550">
        <f>IF(MOD(COUNTA($C$7:C550)-1,$J$2),H549,ROUND(F550*P550,-2))</f>
        <v>6300</v>
      </c>
      <c r="I550">
        <f t="shared" si="101"/>
        <v>0</v>
      </c>
      <c r="J550">
        <f t="shared" si="102"/>
        <v>0</v>
      </c>
      <c r="K550">
        <f t="shared" si="103"/>
        <v>-12863.114861458071</v>
      </c>
      <c r="L550">
        <f t="shared" si="104"/>
        <v>1431.5851385419301</v>
      </c>
      <c r="M550">
        <f t="shared" si="105"/>
        <v>-6.2999999999992724</v>
      </c>
      <c r="N550">
        <f t="shared" si="107"/>
        <v>1431.5851385419301</v>
      </c>
      <c r="O550" s="5">
        <f t="shared" si="98"/>
        <v>6.3237534894756142E-2</v>
      </c>
      <c r="P550">
        <f t="shared" si="106"/>
        <v>10000</v>
      </c>
      <c r="Q550">
        <f t="shared" si="99"/>
        <v>632.37534894756141</v>
      </c>
    </row>
    <row r="551" spans="1:17" x14ac:dyDescent="0.15">
      <c r="A551" s="10">
        <v>45889.454861111008</v>
      </c>
      <c r="B551">
        <f>COUNT(A551:$A$1158)/(48*252)</f>
        <v>5.0264550264550262E-2</v>
      </c>
      <c r="C551">
        <v>2.2690000000000001</v>
      </c>
      <c r="D551">
        <v>9.1999999999999998E-2</v>
      </c>
      <c r="E551">
        <f t="shared" si="96"/>
        <v>0.35695660381682071</v>
      </c>
      <c r="F551">
        <f t="shared" si="97"/>
        <v>0.63943785325281377</v>
      </c>
      <c r="G551">
        <f t="shared" si="100"/>
        <v>0</v>
      </c>
      <c r="H551">
        <f>IF(MOD(COUNTA($C$7:C551)-1,$J$2),H550,ROUND(F551*P551,-2))</f>
        <v>6300</v>
      </c>
      <c r="I551">
        <f t="shared" si="101"/>
        <v>0</v>
      </c>
      <c r="J551">
        <f t="shared" si="102"/>
        <v>0</v>
      </c>
      <c r="K551">
        <f t="shared" si="103"/>
        <v>-12863.114861458071</v>
      </c>
      <c r="L551">
        <f t="shared" si="104"/>
        <v>1431.5851385419301</v>
      </c>
      <c r="M551">
        <f t="shared" si="105"/>
        <v>0</v>
      </c>
      <c r="N551">
        <f t="shared" si="107"/>
        <v>1431.5851385419301</v>
      </c>
      <c r="O551" s="5">
        <f t="shared" si="98"/>
        <v>6.3165237305627508E-2</v>
      </c>
      <c r="P551">
        <f t="shared" si="106"/>
        <v>10000</v>
      </c>
      <c r="Q551">
        <f t="shared" si="99"/>
        <v>631.65237305627511</v>
      </c>
    </row>
    <row r="552" spans="1:17" x14ac:dyDescent="0.15">
      <c r="A552" s="10">
        <v>45889.458333333023</v>
      </c>
      <c r="B552">
        <f>COUNT(A552:$A$1158)/(48*252)</f>
        <v>5.0181878306878307E-2</v>
      </c>
      <c r="C552">
        <v>2.278</v>
      </c>
      <c r="D552">
        <v>9.8000000000000004E-2</v>
      </c>
      <c r="E552">
        <f t="shared" si="96"/>
        <v>0.39427784383989828</v>
      </c>
      <c r="F552">
        <f t="shared" si="97"/>
        <v>0.65331204037789914</v>
      </c>
      <c r="G552">
        <f t="shared" si="100"/>
        <v>8.999999999999897E-3</v>
      </c>
      <c r="H552">
        <f>IF(MOD(COUNTA($C$7:C552)-1,$J$2),H551,ROUND(F552*P552,-2))</f>
        <v>6300</v>
      </c>
      <c r="I552">
        <f t="shared" si="101"/>
        <v>0</v>
      </c>
      <c r="J552">
        <f t="shared" si="102"/>
        <v>0</v>
      </c>
      <c r="K552">
        <f t="shared" si="103"/>
        <v>-12863.114861458071</v>
      </c>
      <c r="L552">
        <f t="shared" si="104"/>
        <v>1488.285138541929</v>
      </c>
      <c r="M552">
        <f t="shared" si="105"/>
        <v>56.699999999998909</v>
      </c>
      <c r="N552">
        <f t="shared" si="107"/>
        <v>1488.285138541929</v>
      </c>
      <c r="O552" s="5">
        <f t="shared" si="98"/>
        <v>5.9910750688254466E-2</v>
      </c>
      <c r="P552">
        <f t="shared" si="106"/>
        <v>10000</v>
      </c>
      <c r="Q552">
        <f t="shared" si="99"/>
        <v>599.10750688254461</v>
      </c>
    </row>
    <row r="553" spans="1:17" x14ac:dyDescent="0.15">
      <c r="A553" s="10">
        <v>45889.461805555969</v>
      </c>
      <c r="B553">
        <f>COUNT(A553:$A$1158)/(48*252)</f>
        <v>5.0099206349206352E-2</v>
      </c>
      <c r="C553">
        <v>2.2839999999999998</v>
      </c>
      <c r="D553">
        <v>0.10100000000000001</v>
      </c>
      <c r="E553">
        <f t="shared" si="96"/>
        <v>0.41918971800688887</v>
      </c>
      <c r="F553">
        <f t="shared" si="97"/>
        <v>0.66246125705074688</v>
      </c>
      <c r="G553">
        <f t="shared" si="100"/>
        <v>5.9999999999997833E-3</v>
      </c>
      <c r="H553">
        <f>IF(MOD(COUNTA($C$7:C553)-1,$J$2),H552,ROUND(F553*P553,-2))</f>
        <v>6600</v>
      </c>
      <c r="I553">
        <f t="shared" si="101"/>
        <v>300</v>
      </c>
      <c r="J553">
        <f t="shared" si="102"/>
        <v>0</v>
      </c>
      <c r="K553">
        <f t="shared" si="103"/>
        <v>-13548.345695458071</v>
      </c>
      <c r="L553">
        <f t="shared" si="104"/>
        <v>1526.054304541929</v>
      </c>
      <c r="M553">
        <f t="shared" si="105"/>
        <v>37.769166000000041</v>
      </c>
      <c r="N553">
        <f t="shared" si="107"/>
        <v>1526.054304541929</v>
      </c>
      <c r="O553" s="5">
        <f t="shared" si="98"/>
        <v>5.7786618036668513E-2</v>
      </c>
      <c r="P553">
        <f t="shared" si="106"/>
        <v>10000</v>
      </c>
      <c r="Q553">
        <f t="shared" si="99"/>
        <v>577.86618036668517</v>
      </c>
    </row>
    <row r="554" spans="1:17" x14ac:dyDescent="0.15">
      <c r="A554" s="10">
        <v>45889.465277777985</v>
      </c>
      <c r="B554">
        <f>COUNT(A554:$A$1158)/(48*252)</f>
        <v>5.001653439153439E-2</v>
      </c>
      <c r="C554">
        <v>2.298</v>
      </c>
      <c r="D554">
        <v>0.11</v>
      </c>
      <c r="E554">
        <f t="shared" si="96"/>
        <v>0.47684909766054201</v>
      </c>
      <c r="F554">
        <f t="shared" si="97"/>
        <v>0.68326520948618108</v>
      </c>
      <c r="G554">
        <f t="shared" si="100"/>
        <v>1.4000000000000234E-2</v>
      </c>
      <c r="H554">
        <f>IF(MOD(COUNTA($C$7:C554)-1,$J$2),H553,ROUND(F554*P554,-2))</f>
        <v>6600</v>
      </c>
      <c r="I554">
        <f t="shared" si="101"/>
        <v>0</v>
      </c>
      <c r="J554">
        <f t="shared" si="102"/>
        <v>0</v>
      </c>
      <c r="K554">
        <f t="shared" si="103"/>
        <v>-13548.345695458071</v>
      </c>
      <c r="L554">
        <f t="shared" si="104"/>
        <v>1618.4543045419305</v>
      </c>
      <c r="M554">
        <f t="shared" si="105"/>
        <v>92.400000000001455</v>
      </c>
      <c r="N554">
        <f t="shared" si="107"/>
        <v>1618.4543045419305</v>
      </c>
      <c r="O554" s="5">
        <f t="shared" si="98"/>
        <v>5.3136767121320871E-2</v>
      </c>
      <c r="P554">
        <f t="shared" si="106"/>
        <v>10000</v>
      </c>
      <c r="Q554">
        <f t="shared" si="99"/>
        <v>531.36767121320872</v>
      </c>
    </row>
    <row r="555" spans="1:17" x14ac:dyDescent="0.15">
      <c r="A555" s="10">
        <v>45889.46875</v>
      </c>
      <c r="B555">
        <f>COUNT(A555:$A$1158)/(48*252)</f>
        <v>4.9933862433862435E-2</v>
      </c>
      <c r="C555">
        <v>2.2949999999999999</v>
      </c>
      <c r="D555">
        <v>0.11</v>
      </c>
      <c r="E555">
        <f t="shared" si="96"/>
        <v>0.46484646503224181</v>
      </c>
      <c r="F555">
        <f t="shared" si="97"/>
        <v>0.6789792948079898</v>
      </c>
      <c r="G555">
        <f t="shared" si="100"/>
        <v>-3.0000000000001137E-3</v>
      </c>
      <c r="H555">
        <f>IF(MOD(COUNTA($C$7:C555)-1,$J$2),H554,ROUND(F555*P555,-2))</f>
        <v>6600</v>
      </c>
      <c r="I555">
        <f t="shared" si="101"/>
        <v>0</v>
      </c>
      <c r="J555">
        <f t="shared" si="102"/>
        <v>0</v>
      </c>
      <c r="K555">
        <f t="shared" si="103"/>
        <v>-13548.345695458071</v>
      </c>
      <c r="L555">
        <f t="shared" si="104"/>
        <v>1598.6543045419294</v>
      </c>
      <c r="M555">
        <f t="shared" si="105"/>
        <v>-19.800000000001091</v>
      </c>
      <c r="N555">
        <f t="shared" si="107"/>
        <v>1598.6543045419294</v>
      </c>
      <c r="O555" s="5">
        <f t="shared" si="98"/>
        <v>5.4023190411325417E-2</v>
      </c>
      <c r="P555">
        <f t="shared" si="106"/>
        <v>10000</v>
      </c>
      <c r="Q555">
        <f t="shared" si="99"/>
        <v>540.23190411325413</v>
      </c>
    </row>
    <row r="556" spans="1:17" x14ac:dyDescent="0.15">
      <c r="A556" s="10">
        <v>45889.472222222015</v>
      </c>
      <c r="B556">
        <f>COUNT(A556:$A$1158)/(48*252)</f>
        <v>4.9851190476190479E-2</v>
      </c>
      <c r="C556">
        <v>2.294</v>
      </c>
      <c r="D556">
        <v>0.109</v>
      </c>
      <c r="E556">
        <f t="shared" si="96"/>
        <v>0.4610180570303406</v>
      </c>
      <c r="F556">
        <f t="shared" si="97"/>
        <v>0.67760717493111344</v>
      </c>
      <c r="G556">
        <f t="shared" si="100"/>
        <v>-9.9999999999988987E-4</v>
      </c>
      <c r="H556">
        <f>IF(MOD(COUNTA($C$7:C556)-1,$J$2),H555,ROUND(F556*P556,-2))</f>
        <v>6600</v>
      </c>
      <c r="I556">
        <f t="shared" si="101"/>
        <v>0</v>
      </c>
      <c r="J556">
        <f t="shared" si="102"/>
        <v>0</v>
      </c>
      <c r="K556">
        <f t="shared" si="103"/>
        <v>-13548.345695458071</v>
      </c>
      <c r="L556">
        <f t="shared" si="104"/>
        <v>1592.054304541929</v>
      </c>
      <c r="M556">
        <f t="shared" si="105"/>
        <v>-6.6000000000003638</v>
      </c>
      <c r="N556">
        <f t="shared" si="107"/>
        <v>1592.054304541929</v>
      </c>
      <c r="O556" s="5">
        <f t="shared" si="98"/>
        <v>5.4274447569464646E-2</v>
      </c>
      <c r="P556">
        <f t="shared" si="106"/>
        <v>10000</v>
      </c>
      <c r="Q556">
        <f t="shared" si="99"/>
        <v>542.74447569464644</v>
      </c>
    </row>
    <row r="557" spans="1:17" x14ac:dyDescent="0.15">
      <c r="A557" s="10">
        <v>45889.475694444962</v>
      </c>
      <c r="B557">
        <f>COUNT(A557:$A$1158)/(48*252)</f>
        <v>4.9768518518518517E-2</v>
      </c>
      <c r="C557">
        <v>2.2930000000000001</v>
      </c>
      <c r="D557">
        <v>0.109</v>
      </c>
      <c r="E557">
        <f t="shared" si="96"/>
        <v>0.45718182192798379</v>
      </c>
      <c r="F557">
        <f t="shared" si="97"/>
        <v>0.6762298184768456</v>
      </c>
      <c r="G557">
        <f t="shared" si="100"/>
        <v>-9.9999999999988987E-4</v>
      </c>
      <c r="H557">
        <f>IF(MOD(COUNTA($C$7:C557)-1,$J$2),H556,ROUND(F557*P557,-2))</f>
        <v>6600</v>
      </c>
      <c r="I557">
        <f t="shared" si="101"/>
        <v>0</v>
      </c>
      <c r="J557">
        <f t="shared" si="102"/>
        <v>0</v>
      </c>
      <c r="K557">
        <f t="shared" si="103"/>
        <v>-13548.345695458071</v>
      </c>
      <c r="L557">
        <f t="shared" si="104"/>
        <v>1585.4543045419305</v>
      </c>
      <c r="M557">
        <f t="shared" si="105"/>
        <v>-6.5999999999985448</v>
      </c>
      <c r="N557">
        <f t="shared" si="107"/>
        <v>1585.4543045419305</v>
      </c>
      <c r="O557" s="5">
        <f t="shared" si="98"/>
        <v>5.4526930525941264E-2</v>
      </c>
      <c r="P557">
        <f t="shared" si="106"/>
        <v>10000</v>
      </c>
      <c r="Q557">
        <f t="shared" si="99"/>
        <v>545.26930525941259</v>
      </c>
    </row>
    <row r="558" spans="1:17" x14ac:dyDescent="0.15">
      <c r="A558" s="10">
        <v>45889.479166666977</v>
      </c>
      <c r="B558">
        <f>COUNT(A558:$A$1158)/(48*252)</f>
        <v>4.9685846560846562E-2</v>
      </c>
      <c r="C558">
        <v>2.2989999999999999</v>
      </c>
      <c r="D558">
        <v>0.112</v>
      </c>
      <c r="E558">
        <f t="shared" si="96"/>
        <v>0.48208874997483975</v>
      </c>
      <c r="F558">
        <f t="shared" si="97"/>
        <v>0.68512854935386658</v>
      </c>
      <c r="G558">
        <f t="shared" si="100"/>
        <v>5.9999999999997833E-3</v>
      </c>
      <c r="H558">
        <f>IF(MOD(COUNTA($C$7:C558)-1,$J$2),H557,ROUND(F558*P558,-2))</f>
        <v>6600</v>
      </c>
      <c r="I558">
        <f t="shared" si="101"/>
        <v>0</v>
      </c>
      <c r="J558">
        <f t="shared" si="102"/>
        <v>0</v>
      </c>
      <c r="K558">
        <f t="shared" si="103"/>
        <v>-13548.345695458071</v>
      </c>
      <c r="L558">
        <f t="shared" si="104"/>
        <v>1625.054304541929</v>
      </c>
      <c r="M558">
        <f t="shared" si="105"/>
        <v>39.599999999998545</v>
      </c>
      <c r="N558">
        <f t="shared" si="107"/>
        <v>1625.054304541929</v>
      </c>
      <c r="O558" s="5">
        <f t="shared" si="98"/>
        <v>5.2540659047325966E-2</v>
      </c>
      <c r="P558">
        <f t="shared" si="106"/>
        <v>10000</v>
      </c>
      <c r="Q558">
        <f t="shared" si="99"/>
        <v>525.40659047325971</v>
      </c>
    </row>
    <row r="559" spans="1:17" x14ac:dyDescent="0.15">
      <c r="A559" s="10">
        <v>45889.545138888992</v>
      </c>
      <c r="B559">
        <f>COUNT(A559:$A$1158)/(48*252)</f>
        <v>4.96031746031746E-2</v>
      </c>
      <c r="C559">
        <v>2.3010000000000002</v>
      </c>
      <c r="D559">
        <v>0.114</v>
      </c>
      <c r="E559">
        <f t="shared" si="96"/>
        <v>0.49058393529340061</v>
      </c>
      <c r="F559">
        <f t="shared" si="97"/>
        <v>0.68813962454650712</v>
      </c>
      <c r="G559">
        <f t="shared" si="100"/>
        <v>2.0000000000002238E-3</v>
      </c>
      <c r="H559">
        <f>IF(MOD(COUNTA($C$7:C559)-1,$J$2),H558,ROUND(F559*P559,-2))</f>
        <v>6900</v>
      </c>
      <c r="I559">
        <f t="shared" si="101"/>
        <v>300</v>
      </c>
      <c r="J559">
        <f t="shared" si="102"/>
        <v>0</v>
      </c>
      <c r="K559">
        <f t="shared" si="103"/>
        <v>-14238.67675895807</v>
      </c>
      <c r="L559">
        <f t="shared" si="104"/>
        <v>1638.223241041931</v>
      </c>
      <c r="M559">
        <f t="shared" si="105"/>
        <v>13.168936500002019</v>
      </c>
      <c r="N559">
        <f t="shared" si="107"/>
        <v>1638.223241041931</v>
      </c>
      <c r="O559" s="5">
        <f t="shared" si="98"/>
        <v>5.1843880968296174E-2</v>
      </c>
      <c r="P559">
        <f t="shared" si="106"/>
        <v>10000</v>
      </c>
      <c r="Q559">
        <f t="shared" si="99"/>
        <v>518.43880968296173</v>
      </c>
    </row>
    <row r="560" spans="1:17" x14ac:dyDescent="0.15">
      <c r="A560" s="10">
        <v>45889.548611111008</v>
      </c>
      <c r="B560">
        <f>COUNT(A560:$A$1158)/(48*252)</f>
        <v>4.9520502645502645E-2</v>
      </c>
      <c r="C560">
        <v>2.2999999999999998</v>
      </c>
      <c r="D560">
        <v>0.11600000000000001</v>
      </c>
      <c r="E560">
        <f t="shared" si="96"/>
        <v>0.48677626300503857</v>
      </c>
      <c r="F560">
        <f t="shared" si="97"/>
        <v>0.68679155319590157</v>
      </c>
      <c r="G560">
        <f t="shared" si="100"/>
        <v>-1.000000000000334E-3</v>
      </c>
      <c r="H560">
        <f>IF(MOD(COUNTA($C$7:C560)-1,$J$2),H559,ROUND(F560*P560,-2))</f>
        <v>6900</v>
      </c>
      <c r="I560">
        <f t="shared" si="101"/>
        <v>0</v>
      </c>
      <c r="J560">
        <f t="shared" si="102"/>
        <v>0</v>
      </c>
      <c r="K560">
        <f t="shared" si="103"/>
        <v>-14238.67675895807</v>
      </c>
      <c r="L560">
        <f t="shared" si="104"/>
        <v>1631.3232410419278</v>
      </c>
      <c r="M560">
        <f t="shared" si="105"/>
        <v>-6.9000000000032742</v>
      </c>
      <c r="N560">
        <f t="shared" si="107"/>
        <v>1631.3232410419278</v>
      </c>
      <c r="O560" s="5">
        <f t="shared" si="98"/>
        <v>5.2086368618856405E-2</v>
      </c>
      <c r="P560">
        <f t="shared" si="106"/>
        <v>10000</v>
      </c>
      <c r="Q560">
        <f t="shared" si="99"/>
        <v>520.86368618856409</v>
      </c>
    </row>
    <row r="561" spans="1:17" x14ac:dyDescent="0.15">
      <c r="A561" s="10">
        <v>45889.552083333023</v>
      </c>
      <c r="B561">
        <f>COUNT(A561:$A$1158)/(48*252)</f>
        <v>4.943783068783069E-2</v>
      </c>
      <c r="C561">
        <v>2.3079999999999998</v>
      </c>
      <c r="D561">
        <v>0.122</v>
      </c>
      <c r="E561">
        <f t="shared" si="96"/>
        <v>0.51989029975081802</v>
      </c>
      <c r="F561">
        <f t="shared" si="97"/>
        <v>0.6984299816472116</v>
      </c>
      <c r="G561">
        <f t="shared" si="100"/>
        <v>8.0000000000000071E-3</v>
      </c>
      <c r="H561">
        <f>IF(MOD(COUNTA($C$7:C561)-1,$J$2),H560,ROUND(F561*P561,-2))</f>
        <v>6900</v>
      </c>
      <c r="I561">
        <f t="shared" si="101"/>
        <v>0</v>
      </c>
      <c r="J561">
        <f t="shared" si="102"/>
        <v>0</v>
      </c>
      <c r="K561">
        <f t="shared" si="103"/>
        <v>-14238.67675895807</v>
      </c>
      <c r="L561">
        <f t="shared" si="104"/>
        <v>1686.5232410419285</v>
      </c>
      <c r="M561">
        <f t="shared" si="105"/>
        <v>55.200000000000728</v>
      </c>
      <c r="N561">
        <f t="shared" si="107"/>
        <v>1686.5232410419285</v>
      </c>
      <c r="O561" s="5">
        <f t="shared" si="98"/>
        <v>4.9557677382598864E-2</v>
      </c>
      <c r="P561">
        <f t="shared" si="106"/>
        <v>10000</v>
      </c>
      <c r="Q561">
        <f t="shared" si="99"/>
        <v>495.57677382598865</v>
      </c>
    </row>
    <row r="562" spans="1:17" x14ac:dyDescent="0.15">
      <c r="A562" s="10">
        <v>45889.555555555969</v>
      </c>
      <c r="B562">
        <f>COUNT(A562:$A$1158)/(48*252)</f>
        <v>4.9355158730158728E-2</v>
      </c>
      <c r="C562">
        <v>2.3109999999999999</v>
      </c>
      <c r="D562">
        <v>0.123</v>
      </c>
      <c r="E562">
        <f t="shared" si="96"/>
        <v>0.53250166375223218</v>
      </c>
      <c r="F562">
        <f t="shared" si="97"/>
        <v>0.70281070509510057</v>
      </c>
      <c r="G562">
        <f t="shared" si="100"/>
        <v>3.0000000000001137E-3</v>
      </c>
      <c r="H562">
        <f>IF(MOD(COUNTA($C$7:C562)-1,$J$2),H561,ROUND(F562*P562,-2))</f>
        <v>6900</v>
      </c>
      <c r="I562">
        <f t="shared" si="101"/>
        <v>0</v>
      </c>
      <c r="J562">
        <f t="shared" si="102"/>
        <v>0</v>
      </c>
      <c r="K562">
        <f t="shared" si="103"/>
        <v>-14238.67675895807</v>
      </c>
      <c r="L562">
        <f t="shared" si="104"/>
        <v>1707.2232410419292</v>
      </c>
      <c r="M562">
        <f t="shared" si="105"/>
        <v>20.700000000000728</v>
      </c>
      <c r="N562">
        <f t="shared" si="107"/>
        <v>1707.2232410419292</v>
      </c>
      <c r="O562" s="5">
        <f t="shared" si="98"/>
        <v>4.8590385850842632E-2</v>
      </c>
      <c r="P562">
        <f t="shared" si="106"/>
        <v>10000</v>
      </c>
      <c r="Q562">
        <f t="shared" si="99"/>
        <v>485.90385850842631</v>
      </c>
    </row>
    <row r="563" spans="1:17" x14ac:dyDescent="0.15">
      <c r="A563" s="10">
        <v>45889.559027777985</v>
      </c>
      <c r="B563">
        <f>COUNT(A563:$A$1158)/(48*252)</f>
        <v>4.9272486772486773E-2</v>
      </c>
      <c r="C563">
        <v>2.306</v>
      </c>
      <c r="D563">
        <v>0.12</v>
      </c>
      <c r="E563">
        <f t="shared" si="96"/>
        <v>0.51232985114781104</v>
      </c>
      <c r="F563">
        <f t="shared" si="97"/>
        <v>0.69578991162074177</v>
      </c>
      <c r="G563">
        <f t="shared" si="100"/>
        <v>-4.9999999999998934E-3</v>
      </c>
      <c r="H563">
        <f>IF(MOD(COUNTA($C$7:C563)-1,$J$2),H562,ROUND(F563*P563,-2))</f>
        <v>6900</v>
      </c>
      <c r="I563">
        <f t="shared" si="101"/>
        <v>0</v>
      </c>
      <c r="J563">
        <f t="shared" si="102"/>
        <v>0</v>
      </c>
      <c r="K563">
        <f t="shared" si="103"/>
        <v>-14238.67675895807</v>
      </c>
      <c r="L563">
        <f t="shared" si="104"/>
        <v>1672.7232410419292</v>
      </c>
      <c r="M563">
        <f t="shared" si="105"/>
        <v>-34.5</v>
      </c>
      <c r="N563">
        <f t="shared" si="107"/>
        <v>1672.7232410419292</v>
      </c>
      <c r="O563" s="5">
        <f t="shared" si="98"/>
        <v>5.0024521374731123E-2</v>
      </c>
      <c r="P563">
        <f t="shared" si="106"/>
        <v>10000</v>
      </c>
      <c r="Q563">
        <f t="shared" si="99"/>
        <v>500.24521374731125</v>
      </c>
    </row>
    <row r="564" spans="1:17" x14ac:dyDescent="0.15">
      <c r="A564" s="10">
        <v>45889.5625</v>
      </c>
      <c r="B564">
        <f>COUNT(A564:$A$1158)/(48*252)</f>
        <v>4.9189814814814818E-2</v>
      </c>
      <c r="C564">
        <v>2.302</v>
      </c>
      <c r="D564">
        <v>0.11799999999999999</v>
      </c>
      <c r="E564">
        <f t="shared" si="96"/>
        <v>0.4961971578963793</v>
      </c>
      <c r="F564">
        <f t="shared" si="97"/>
        <v>0.69012234199292977</v>
      </c>
      <c r="G564">
        <f t="shared" si="100"/>
        <v>-4.0000000000000036E-3</v>
      </c>
      <c r="H564">
        <f>IF(MOD(COUNTA($C$7:C564)-1,$J$2),H563,ROUND(F564*P564,-2))</f>
        <v>6900</v>
      </c>
      <c r="I564">
        <f t="shared" si="101"/>
        <v>0</v>
      </c>
      <c r="J564">
        <f t="shared" si="102"/>
        <v>0</v>
      </c>
      <c r="K564">
        <f t="shared" si="103"/>
        <v>-14238.67675895807</v>
      </c>
      <c r="L564">
        <f t="shared" si="104"/>
        <v>1645.1232410419307</v>
      </c>
      <c r="M564">
        <f t="shared" si="105"/>
        <v>-27.599999999998545</v>
      </c>
      <c r="N564">
        <f t="shared" si="107"/>
        <v>1645.1232410419307</v>
      </c>
      <c r="O564" s="5">
        <f t="shared" si="98"/>
        <v>5.1182803538830202E-2</v>
      </c>
      <c r="P564">
        <f t="shared" si="106"/>
        <v>10000</v>
      </c>
      <c r="Q564">
        <f t="shared" si="99"/>
        <v>511.828035388302</v>
      </c>
    </row>
    <row r="565" spans="1:17" x14ac:dyDescent="0.15">
      <c r="A565" s="10">
        <v>45889.565972222015</v>
      </c>
      <c r="B565">
        <f>COUNT(A565:$A$1158)/(48*252)</f>
        <v>4.9107142857142856E-2</v>
      </c>
      <c r="C565">
        <v>2.2919999999999998</v>
      </c>
      <c r="D565">
        <v>0.113</v>
      </c>
      <c r="E565">
        <f t="shared" si="96"/>
        <v>0.45521513702883609</v>
      </c>
      <c r="F565">
        <f t="shared" si="97"/>
        <v>0.67552276420623791</v>
      </c>
      <c r="G565">
        <f t="shared" si="100"/>
        <v>-1.0000000000000231E-2</v>
      </c>
      <c r="H565">
        <f>IF(MOD(COUNTA($C$7:C565)-1,$J$2),H564,ROUND(F565*P565,-2))</f>
        <v>6800</v>
      </c>
      <c r="I565">
        <f t="shared" si="101"/>
        <v>-100</v>
      </c>
      <c r="J565">
        <f t="shared" si="102"/>
        <v>0</v>
      </c>
      <c r="K565">
        <f t="shared" si="103"/>
        <v>-14009.487072958069</v>
      </c>
      <c r="L565">
        <f t="shared" si="104"/>
        <v>1576.1129270419297</v>
      </c>
      <c r="M565">
        <f t="shared" si="105"/>
        <v>-69.010314000001017</v>
      </c>
      <c r="N565">
        <f t="shared" si="107"/>
        <v>1576.1129270419297</v>
      </c>
      <c r="O565" s="5">
        <f t="shared" si="98"/>
        <v>5.4283606432033005E-2</v>
      </c>
      <c r="P565">
        <f t="shared" si="106"/>
        <v>10000</v>
      </c>
      <c r="Q565">
        <f t="shared" si="99"/>
        <v>542.83606432033002</v>
      </c>
    </row>
    <row r="566" spans="1:17" x14ac:dyDescent="0.15">
      <c r="A566" s="10">
        <v>45889.569444444962</v>
      </c>
      <c r="B566">
        <f>COUNT(A566:$A$1158)/(48*252)</f>
        <v>4.9024470899470901E-2</v>
      </c>
      <c r="C566">
        <v>2.2959999999999998</v>
      </c>
      <c r="D566">
        <v>0.115</v>
      </c>
      <c r="E566">
        <f t="shared" si="96"/>
        <v>0.47203683466868995</v>
      </c>
      <c r="F566">
        <f t="shared" si="97"/>
        <v>0.68154975147827856</v>
      </c>
      <c r="G566">
        <f t="shared" si="100"/>
        <v>4.0000000000000036E-3</v>
      </c>
      <c r="H566">
        <f>IF(MOD(COUNTA($C$7:C566)-1,$J$2),H565,ROUND(F566*P566,-2))</f>
        <v>6800</v>
      </c>
      <c r="I566">
        <f t="shared" si="101"/>
        <v>0</v>
      </c>
      <c r="J566">
        <f t="shared" si="102"/>
        <v>0</v>
      </c>
      <c r="K566">
        <f t="shared" si="103"/>
        <v>-14009.487072958069</v>
      </c>
      <c r="L566">
        <f t="shared" si="104"/>
        <v>1603.3129270419304</v>
      </c>
      <c r="M566">
        <f t="shared" si="105"/>
        <v>27.200000000000728</v>
      </c>
      <c r="N566">
        <f t="shared" si="107"/>
        <v>1603.3129270419304</v>
      </c>
      <c r="O566" s="5">
        <f t="shared" si="98"/>
        <v>5.2926747415815933E-2</v>
      </c>
      <c r="P566">
        <f t="shared" si="106"/>
        <v>10000</v>
      </c>
      <c r="Q566">
        <f t="shared" si="99"/>
        <v>529.2674741581593</v>
      </c>
    </row>
    <row r="567" spans="1:17" x14ac:dyDescent="0.15">
      <c r="A567" s="10">
        <v>45889.572916666977</v>
      </c>
      <c r="B567">
        <f>COUNT(A567:$A$1158)/(48*252)</f>
        <v>4.8941798941798939E-2</v>
      </c>
      <c r="C567">
        <v>2.2919999999999998</v>
      </c>
      <c r="D567">
        <v>0.115</v>
      </c>
      <c r="E567">
        <f t="shared" si="96"/>
        <v>0.45575849622674458</v>
      </c>
      <c r="F567">
        <f t="shared" si="97"/>
        <v>0.67571817382110977</v>
      </c>
      <c r="G567">
        <f t="shared" si="100"/>
        <v>-4.0000000000000036E-3</v>
      </c>
      <c r="H567">
        <f>IF(MOD(COUNTA($C$7:C567)-1,$J$2),H566,ROUND(F567*P567,-2))</f>
        <v>6800</v>
      </c>
      <c r="I567">
        <f t="shared" si="101"/>
        <v>0</v>
      </c>
      <c r="J567">
        <f t="shared" si="102"/>
        <v>0</v>
      </c>
      <c r="K567">
        <f t="shared" si="103"/>
        <v>-14009.487072958069</v>
      </c>
      <c r="L567">
        <f t="shared" si="104"/>
        <v>1576.1129270419297</v>
      </c>
      <c r="M567">
        <f t="shared" si="105"/>
        <v>-27.200000000000728</v>
      </c>
      <c r="N567">
        <f t="shared" si="107"/>
        <v>1576.1129270419297</v>
      </c>
      <c r="O567" s="5">
        <f t="shared" si="98"/>
        <v>5.4141117412443984E-2</v>
      </c>
      <c r="P567">
        <f t="shared" si="106"/>
        <v>10000</v>
      </c>
      <c r="Q567">
        <f t="shared" si="99"/>
        <v>541.41117412443987</v>
      </c>
    </row>
    <row r="568" spans="1:17" x14ac:dyDescent="0.15">
      <c r="A568" s="10">
        <v>45889.576388888992</v>
      </c>
      <c r="B568">
        <f>COUNT(A568:$A$1158)/(48*252)</f>
        <v>4.8859126984126984E-2</v>
      </c>
      <c r="C568">
        <v>2.294</v>
      </c>
      <c r="D568">
        <v>0.113</v>
      </c>
      <c r="E568">
        <f t="shared" si="96"/>
        <v>0.46432416031132551</v>
      </c>
      <c r="F568">
        <f t="shared" si="97"/>
        <v>0.67879224164404595</v>
      </c>
      <c r="G568">
        <f t="shared" si="100"/>
        <v>2.0000000000002238E-3</v>
      </c>
      <c r="H568">
        <f>IF(MOD(COUNTA($C$7:C568)-1,$J$2),H567,ROUND(F568*P568,-2))</f>
        <v>6800</v>
      </c>
      <c r="I568">
        <f t="shared" si="101"/>
        <v>0</v>
      </c>
      <c r="J568">
        <f t="shared" si="102"/>
        <v>0</v>
      </c>
      <c r="K568">
        <f t="shared" si="103"/>
        <v>-14009.487072958069</v>
      </c>
      <c r="L568">
        <f t="shared" si="104"/>
        <v>1589.7129270419318</v>
      </c>
      <c r="M568">
        <f t="shared" si="105"/>
        <v>13.600000000002183</v>
      </c>
      <c r="N568">
        <f t="shared" si="107"/>
        <v>1589.7129270419318</v>
      </c>
      <c r="O568" s="5">
        <f t="shared" si="98"/>
        <v>5.3424403525065611E-2</v>
      </c>
      <c r="P568">
        <f t="shared" si="106"/>
        <v>10000</v>
      </c>
      <c r="Q568">
        <f t="shared" si="99"/>
        <v>534.24403525065611</v>
      </c>
    </row>
    <row r="569" spans="1:17" x14ac:dyDescent="0.15">
      <c r="A569" s="10">
        <v>45889.579861111008</v>
      </c>
      <c r="B569">
        <f>COUNT(A569:$A$1158)/(48*252)</f>
        <v>4.8776455026455029E-2</v>
      </c>
      <c r="C569">
        <v>2.29</v>
      </c>
      <c r="D569">
        <v>0.113</v>
      </c>
      <c r="E569">
        <f t="shared" si="96"/>
        <v>0.44799791828278512</v>
      </c>
      <c r="F569">
        <f t="shared" si="97"/>
        <v>0.67292265050675337</v>
      </c>
      <c r="G569">
        <f t="shared" si="100"/>
        <v>-4.0000000000000036E-3</v>
      </c>
      <c r="H569">
        <f>IF(MOD(COUNTA($C$7:C569)-1,$J$2),H568,ROUND(F569*P569,-2))</f>
        <v>6800</v>
      </c>
      <c r="I569">
        <f t="shared" si="101"/>
        <v>0</v>
      </c>
      <c r="J569">
        <f t="shared" si="102"/>
        <v>0</v>
      </c>
      <c r="K569">
        <f t="shared" si="103"/>
        <v>-14009.487072958069</v>
      </c>
      <c r="L569">
        <f t="shared" si="104"/>
        <v>1562.5129270419311</v>
      </c>
      <c r="M569">
        <f t="shared" si="105"/>
        <v>-27.200000000000728</v>
      </c>
      <c r="N569">
        <f t="shared" si="107"/>
        <v>1562.5129270419311</v>
      </c>
      <c r="O569" s="5">
        <f t="shared" si="98"/>
        <v>5.4649574677880008E-2</v>
      </c>
      <c r="P569">
        <f t="shared" si="106"/>
        <v>10000</v>
      </c>
      <c r="Q569">
        <f t="shared" si="99"/>
        <v>546.49574677880014</v>
      </c>
    </row>
    <row r="570" spans="1:17" x14ac:dyDescent="0.15">
      <c r="A570" s="10">
        <v>45889.583333333023</v>
      </c>
      <c r="B570">
        <f>COUNT(A570:$A$1158)/(48*252)</f>
        <v>4.8693783068783067E-2</v>
      </c>
      <c r="C570">
        <v>2.2919999999999998</v>
      </c>
      <c r="D570">
        <v>0.115</v>
      </c>
      <c r="E570">
        <f t="shared" si="96"/>
        <v>0.45657943374308779</v>
      </c>
      <c r="F570">
        <f t="shared" si="97"/>
        <v>0.67601331782382634</v>
      </c>
      <c r="G570">
        <f t="shared" si="100"/>
        <v>1.9999999999997797E-3</v>
      </c>
      <c r="H570">
        <f>IF(MOD(COUNTA($C$7:C570)-1,$J$2),H569,ROUND(F570*P570,-2))</f>
        <v>6800</v>
      </c>
      <c r="I570">
        <f t="shared" si="101"/>
        <v>0</v>
      </c>
      <c r="J570">
        <f t="shared" si="102"/>
        <v>0</v>
      </c>
      <c r="K570">
        <f t="shared" si="103"/>
        <v>-14009.487072958069</v>
      </c>
      <c r="L570">
        <f t="shared" si="104"/>
        <v>1576.1129270419297</v>
      </c>
      <c r="M570">
        <f t="shared" si="105"/>
        <v>13.599999999998545</v>
      </c>
      <c r="N570">
        <f t="shared" si="107"/>
        <v>1576.1129270419297</v>
      </c>
      <c r="O570" s="5">
        <f t="shared" si="98"/>
        <v>5.3926982178925664E-2</v>
      </c>
      <c r="P570">
        <f t="shared" si="106"/>
        <v>10000</v>
      </c>
      <c r="Q570">
        <f t="shared" si="99"/>
        <v>539.26982178925664</v>
      </c>
    </row>
    <row r="571" spans="1:17" x14ac:dyDescent="0.15">
      <c r="A571" s="10">
        <v>45889.586805555969</v>
      </c>
      <c r="B571">
        <f>COUNT(A571:$A$1158)/(48*252)</f>
        <v>4.8611111111111112E-2</v>
      </c>
      <c r="C571">
        <v>2.2909999999999999</v>
      </c>
      <c r="D571">
        <v>0.114</v>
      </c>
      <c r="E571">
        <f t="shared" si="96"/>
        <v>0.45269497715988355</v>
      </c>
      <c r="F571">
        <f t="shared" si="97"/>
        <v>0.67461580154828815</v>
      </c>
      <c r="G571">
        <f t="shared" si="100"/>
        <v>-9.9999999999988987E-4</v>
      </c>
      <c r="H571">
        <f>IF(MOD(COUNTA($C$7:C571)-1,$J$2),H570,ROUND(F571*P571,-2))</f>
        <v>6700</v>
      </c>
      <c r="I571">
        <f t="shared" si="101"/>
        <v>-100</v>
      </c>
      <c r="J571">
        <f t="shared" si="102"/>
        <v>0</v>
      </c>
      <c r="K571">
        <f t="shared" si="103"/>
        <v>-13780.397382458068</v>
      </c>
      <c r="L571">
        <f t="shared" si="104"/>
        <v>1569.3026175419309</v>
      </c>
      <c r="M571">
        <f t="shared" si="105"/>
        <v>-6.8103094999987661</v>
      </c>
      <c r="N571">
        <f t="shared" si="107"/>
        <v>1569.3026175419309</v>
      </c>
      <c r="O571" s="5">
        <f t="shared" si="98"/>
        <v>5.4180131880904425E-2</v>
      </c>
      <c r="P571">
        <f t="shared" si="106"/>
        <v>10000</v>
      </c>
      <c r="Q571">
        <f t="shared" si="99"/>
        <v>541.80131880904423</v>
      </c>
    </row>
    <row r="572" spans="1:17" x14ac:dyDescent="0.15">
      <c r="A572" s="10">
        <v>45889.590277777985</v>
      </c>
      <c r="B572">
        <f>COUNT(A572:$A$1158)/(48*252)</f>
        <v>4.8528439153439157E-2</v>
      </c>
      <c r="C572">
        <v>2.2879999999999998</v>
      </c>
      <c r="D572">
        <v>0.115</v>
      </c>
      <c r="E572">
        <f t="shared" si="96"/>
        <v>0.44046686279965824</v>
      </c>
      <c r="F572">
        <f t="shared" si="97"/>
        <v>0.67020049627464007</v>
      </c>
      <c r="G572">
        <f t="shared" si="100"/>
        <v>-3.0000000000001137E-3</v>
      </c>
      <c r="H572">
        <f>IF(MOD(COUNTA($C$7:C572)-1,$J$2),H571,ROUND(F572*P572,-2))</f>
        <v>6700</v>
      </c>
      <c r="I572">
        <f t="shared" si="101"/>
        <v>0</v>
      </c>
      <c r="J572">
        <f t="shared" si="102"/>
        <v>0</v>
      </c>
      <c r="K572">
        <f t="shared" si="103"/>
        <v>-13780.397382458068</v>
      </c>
      <c r="L572">
        <f t="shared" si="104"/>
        <v>1549.2026175419305</v>
      </c>
      <c r="M572">
        <f t="shared" si="105"/>
        <v>-20.100000000000364</v>
      </c>
      <c r="N572">
        <f t="shared" si="107"/>
        <v>1549.2026175419305</v>
      </c>
      <c r="O572" s="5">
        <f t="shared" si="98"/>
        <v>5.5091113863539265E-2</v>
      </c>
      <c r="P572">
        <f t="shared" si="106"/>
        <v>10000</v>
      </c>
      <c r="Q572">
        <f t="shared" si="99"/>
        <v>550.9111386353926</v>
      </c>
    </row>
    <row r="573" spans="1:17" x14ac:dyDescent="0.15">
      <c r="A573" s="10">
        <v>45889.59375</v>
      </c>
      <c r="B573">
        <f>COUNT(A573:$A$1158)/(48*252)</f>
        <v>4.8445767195767195E-2</v>
      </c>
      <c r="C573">
        <v>2.294</v>
      </c>
      <c r="D573">
        <v>0.11899999999999999</v>
      </c>
      <c r="E573">
        <f t="shared" si="96"/>
        <v>0.46573564398236167</v>
      </c>
      <c r="F573">
        <f t="shared" si="97"/>
        <v>0.67929763228460149</v>
      </c>
      <c r="G573">
        <f t="shared" si="100"/>
        <v>6.0000000000002274E-3</v>
      </c>
      <c r="H573">
        <f>IF(MOD(COUNTA($C$7:C573)-1,$J$2),H572,ROUND(F573*P573,-2))</f>
        <v>6700</v>
      </c>
      <c r="I573">
        <f t="shared" si="101"/>
        <v>0</v>
      </c>
      <c r="J573">
        <f t="shared" si="102"/>
        <v>0</v>
      </c>
      <c r="K573">
        <f t="shared" si="103"/>
        <v>-13780.397382458068</v>
      </c>
      <c r="L573">
        <f t="shared" si="104"/>
        <v>1589.4026175419331</v>
      </c>
      <c r="M573">
        <f t="shared" si="105"/>
        <v>40.200000000002547</v>
      </c>
      <c r="N573">
        <f t="shared" si="107"/>
        <v>1589.4026175419331</v>
      </c>
      <c r="O573" s="5">
        <f t="shared" si="98"/>
        <v>5.3067973086655118E-2</v>
      </c>
      <c r="P573">
        <f t="shared" si="106"/>
        <v>10000</v>
      </c>
      <c r="Q573">
        <f t="shared" si="99"/>
        <v>530.67973086655115</v>
      </c>
    </row>
    <row r="574" spans="1:17" x14ac:dyDescent="0.15">
      <c r="A574" s="10">
        <v>45889.597222222015</v>
      </c>
      <c r="B574">
        <f>COUNT(A574:$A$1158)/(48*252)</f>
        <v>4.836309523809524E-2</v>
      </c>
      <c r="C574">
        <v>2.2930000000000001</v>
      </c>
      <c r="D574">
        <v>0.11899999999999999</v>
      </c>
      <c r="E574">
        <f t="shared" si="96"/>
        <v>0.46185369463886178</v>
      </c>
      <c r="F574">
        <f t="shared" si="97"/>
        <v>0.67790687881893485</v>
      </c>
      <c r="G574">
        <f t="shared" si="100"/>
        <v>-9.9999999999988987E-4</v>
      </c>
      <c r="H574">
        <f>IF(MOD(COUNTA($C$7:C574)-1,$J$2),H573,ROUND(F574*P574,-2))</f>
        <v>6700</v>
      </c>
      <c r="I574">
        <f t="shared" si="101"/>
        <v>0</v>
      </c>
      <c r="J574">
        <f t="shared" si="102"/>
        <v>0</v>
      </c>
      <c r="K574">
        <f t="shared" si="103"/>
        <v>-13780.397382458068</v>
      </c>
      <c r="L574">
        <f t="shared" si="104"/>
        <v>1582.7026175419323</v>
      </c>
      <c r="M574">
        <f t="shared" si="105"/>
        <v>-6.7000000000007276</v>
      </c>
      <c r="N574">
        <f t="shared" si="107"/>
        <v>1582.7026175419323</v>
      </c>
      <c r="O574" s="5">
        <f t="shared" si="98"/>
        <v>5.3317872998161042E-2</v>
      </c>
      <c r="P574">
        <f t="shared" si="106"/>
        <v>10000</v>
      </c>
      <c r="Q574">
        <f t="shared" si="99"/>
        <v>533.17872998161045</v>
      </c>
    </row>
    <row r="575" spans="1:17" x14ac:dyDescent="0.15">
      <c r="A575" s="10">
        <v>45889.600694444962</v>
      </c>
      <c r="B575">
        <f>COUNT(A575:$A$1158)/(48*252)</f>
        <v>4.8280423280423278E-2</v>
      </c>
      <c r="C575">
        <v>2.286</v>
      </c>
      <c r="D575">
        <v>0.113</v>
      </c>
      <c r="E575">
        <f t="shared" si="96"/>
        <v>0.43289279464122582</v>
      </c>
      <c r="F575">
        <f t="shared" si="97"/>
        <v>0.66745367257900812</v>
      </c>
      <c r="G575">
        <f t="shared" si="100"/>
        <v>-7.0000000000001172E-3</v>
      </c>
      <c r="H575">
        <f>IF(MOD(COUNTA($C$7:C575)-1,$J$2),H574,ROUND(F575*P575,-2))</f>
        <v>6700</v>
      </c>
      <c r="I575">
        <f t="shared" si="101"/>
        <v>0</v>
      </c>
      <c r="J575">
        <f t="shared" si="102"/>
        <v>0</v>
      </c>
      <c r="K575">
        <f t="shared" si="103"/>
        <v>-13780.397382458068</v>
      </c>
      <c r="L575">
        <f t="shared" si="104"/>
        <v>1535.8026175419327</v>
      </c>
      <c r="M575">
        <f t="shared" si="105"/>
        <v>-46.899999999999636</v>
      </c>
      <c r="N575">
        <f t="shared" si="107"/>
        <v>1535.8026175419327</v>
      </c>
      <c r="O575" s="5">
        <f t="shared" si="98"/>
        <v>5.5537055755911058E-2</v>
      </c>
      <c r="P575">
        <f t="shared" si="106"/>
        <v>10000</v>
      </c>
      <c r="Q575">
        <f t="shared" si="99"/>
        <v>555.37055755911058</v>
      </c>
    </row>
    <row r="576" spans="1:17" x14ac:dyDescent="0.15">
      <c r="A576" s="10">
        <v>45889.604166666977</v>
      </c>
      <c r="B576">
        <f>COUNT(A576:$A$1158)/(48*252)</f>
        <v>4.8197751322751323E-2</v>
      </c>
      <c r="C576">
        <v>2.286</v>
      </c>
      <c r="D576">
        <v>0.114</v>
      </c>
      <c r="E576">
        <f t="shared" si="96"/>
        <v>0.43315056543648167</v>
      </c>
      <c r="F576">
        <f t="shared" si="97"/>
        <v>0.66754730515681704</v>
      </c>
      <c r="G576">
        <f t="shared" si="100"/>
        <v>0</v>
      </c>
      <c r="H576">
        <f>IF(MOD(COUNTA($C$7:C576)-1,$J$2),H575,ROUND(F576*P576,-2))</f>
        <v>6700</v>
      </c>
      <c r="I576">
        <f t="shared" si="101"/>
        <v>0</v>
      </c>
      <c r="J576">
        <f t="shared" si="102"/>
        <v>0</v>
      </c>
      <c r="K576">
        <f t="shared" si="103"/>
        <v>-13780.397382458068</v>
      </c>
      <c r="L576">
        <f t="shared" si="104"/>
        <v>1535.8026175419327</v>
      </c>
      <c r="M576">
        <f t="shared" si="105"/>
        <v>0</v>
      </c>
      <c r="N576">
        <f t="shared" si="107"/>
        <v>1535.8026175419327</v>
      </c>
      <c r="O576" s="5">
        <f t="shared" si="98"/>
        <v>5.5464716789075941E-2</v>
      </c>
      <c r="P576">
        <f t="shared" si="106"/>
        <v>10000</v>
      </c>
      <c r="Q576">
        <f t="shared" si="99"/>
        <v>554.64716789075942</v>
      </c>
    </row>
    <row r="577" spans="1:17" x14ac:dyDescent="0.15">
      <c r="A577" s="10">
        <v>45889.607638888992</v>
      </c>
      <c r="B577">
        <f>COUNT(A577:$A$1158)/(48*252)</f>
        <v>4.8115079365079368E-2</v>
      </c>
      <c r="C577">
        <v>2.2879999999999998</v>
      </c>
      <c r="D577">
        <v>0.11600000000000001</v>
      </c>
      <c r="E577">
        <f t="shared" si="96"/>
        <v>0.44178770340070445</v>
      </c>
      <c r="F577">
        <f t="shared" si="97"/>
        <v>0.67067858120733626</v>
      </c>
      <c r="G577">
        <f t="shared" si="100"/>
        <v>1.9999999999997797E-3</v>
      </c>
      <c r="H577">
        <f>IF(MOD(COUNTA($C$7:C577)-1,$J$2),H576,ROUND(F577*P577,-2))</f>
        <v>6700</v>
      </c>
      <c r="I577">
        <f t="shared" si="101"/>
        <v>0</v>
      </c>
      <c r="J577">
        <f t="shared" si="102"/>
        <v>0</v>
      </c>
      <c r="K577">
        <f t="shared" si="103"/>
        <v>-13780.397382458068</v>
      </c>
      <c r="L577">
        <f t="shared" si="104"/>
        <v>1549.2026175419305</v>
      </c>
      <c r="M577">
        <f t="shared" si="105"/>
        <v>13.399999999997817</v>
      </c>
      <c r="N577">
        <f t="shared" si="107"/>
        <v>1549.2026175419305</v>
      </c>
      <c r="O577" s="5">
        <f t="shared" si="98"/>
        <v>5.4730643714110072E-2</v>
      </c>
      <c r="P577">
        <f t="shared" si="106"/>
        <v>10000</v>
      </c>
      <c r="Q577">
        <f t="shared" si="99"/>
        <v>547.30643714110067</v>
      </c>
    </row>
    <row r="578" spans="1:17" x14ac:dyDescent="0.15">
      <c r="A578" s="10">
        <v>45889.611111111008</v>
      </c>
      <c r="B578">
        <f>COUNT(A578:$A$1158)/(48*252)</f>
        <v>4.8032407407407406E-2</v>
      </c>
      <c r="C578">
        <v>2.2909999999999999</v>
      </c>
      <c r="D578">
        <v>0.11799999999999999</v>
      </c>
      <c r="E578">
        <f t="shared" si="96"/>
        <v>0.45461919328771094</v>
      </c>
      <c r="F578">
        <f t="shared" si="97"/>
        <v>0.67530838790024295</v>
      </c>
      <c r="G578">
        <f t="shared" si="100"/>
        <v>3.0000000000001137E-3</v>
      </c>
      <c r="H578">
        <f>IF(MOD(COUNTA($C$7:C578)-1,$J$2),H577,ROUND(F578*P578,-2))</f>
        <v>6700</v>
      </c>
      <c r="I578">
        <f t="shared" si="101"/>
        <v>0</v>
      </c>
      <c r="J578">
        <f t="shared" si="102"/>
        <v>0</v>
      </c>
      <c r="K578">
        <f t="shared" si="103"/>
        <v>-13780.397382458068</v>
      </c>
      <c r="L578">
        <f t="shared" si="104"/>
        <v>1569.3026175419309</v>
      </c>
      <c r="M578">
        <f t="shared" si="105"/>
        <v>20.100000000000364</v>
      </c>
      <c r="N578">
        <f t="shared" si="107"/>
        <v>1569.3026175419309</v>
      </c>
      <c r="O578" s="5">
        <f t="shared" si="98"/>
        <v>5.3677515805743314E-2</v>
      </c>
      <c r="P578">
        <f t="shared" si="106"/>
        <v>10000</v>
      </c>
      <c r="Q578">
        <f t="shared" si="99"/>
        <v>536.77515805743315</v>
      </c>
    </row>
    <row r="579" spans="1:17" x14ac:dyDescent="0.15">
      <c r="A579" s="10">
        <v>45889.614583333023</v>
      </c>
      <c r="B579">
        <f>COUNT(A579:$A$1158)/(48*252)</f>
        <v>4.7949735449735451E-2</v>
      </c>
      <c r="C579">
        <v>2.29</v>
      </c>
      <c r="D579">
        <v>0.11799999999999999</v>
      </c>
      <c r="E579">
        <f t="shared" si="96"/>
        <v>0.45070720471154707</v>
      </c>
      <c r="F579">
        <f t="shared" si="97"/>
        <v>0.67389970549110956</v>
      </c>
      <c r="G579">
        <f t="shared" si="100"/>
        <v>-9.9999999999988987E-4</v>
      </c>
      <c r="H579">
        <f>IF(MOD(COUNTA($C$7:C579)-1,$J$2),H578,ROUND(F579*P579,-2))</f>
        <v>6700</v>
      </c>
      <c r="I579">
        <f t="shared" si="101"/>
        <v>0</v>
      </c>
      <c r="J579">
        <f t="shared" si="102"/>
        <v>0</v>
      </c>
      <c r="K579">
        <f t="shared" si="103"/>
        <v>-13780.397382458068</v>
      </c>
      <c r="L579">
        <f t="shared" si="104"/>
        <v>1562.602617541932</v>
      </c>
      <c r="M579">
        <f t="shared" si="105"/>
        <v>-6.6999999999989086</v>
      </c>
      <c r="N579">
        <f t="shared" si="107"/>
        <v>1562.602617541932</v>
      </c>
      <c r="O579" s="5">
        <f t="shared" si="98"/>
        <v>5.3930839815582332E-2</v>
      </c>
      <c r="P579">
        <f t="shared" si="106"/>
        <v>10000</v>
      </c>
      <c r="Q579">
        <f t="shared" si="99"/>
        <v>539.30839815582328</v>
      </c>
    </row>
    <row r="580" spans="1:17" x14ac:dyDescent="0.15">
      <c r="A580" s="10">
        <v>45889.618055555969</v>
      </c>
      <c r="B580">
        <f>COUNT(A580:$A$1158)/(48*252)</f>
        <v>4.7867063492063495E-2</v>
      </c>
      <c r="C580">
        <v>2.29</v>
      </c>
      <c r="D580">
        <v>0.11799999999999999</v>
      </c>
      <c r="E580">
        <f t="shared" si="96"/>
        <v>0.45098252449146592</v>
      </c>
      <c r="F580">
        <f t="shared" si="97"/>
        <v>0.67399892792893534</v>
      </c>
      <c r="G580">
        <f t="shared" si="100"/>
        <v>0</v>
      </c>
      <c r="H580">
        <f>IF(MOD(COUNTA($C$7:C580)-1,$J$2),H579,ROUND(F580*P580,-2))</f>
        <v>6700</v>
      </c>
      <c r="I580">
        <f t="shared" si="101"/>
        <v>0</v>
      </c>
      <c r="J580">
        <f t="shared" si="102"/>
        <v>0</v>
      </c>
      <c r="K580">
        <f t="shared" si="103"/>
        <v>-13780.397382458068</v>
      </c>
      <c r="L580">
        <f t="shared" si="104"/>
        <v>1562.602617541932</v>
      </c>
      <c r="M580">
        <f t="shared" si="105"/>
        <v>0</v>
      </c>
      <c r="N580">
        <f t="shared" si="107"/>
        <v>1562.602617541932</v>
      </c>
      <c r="O580" s="5">
        <f t="shared" si="98"/>
        <v>5.3858663228195103E-2</v>
      </c>
      <c r="P580">
        <f t="shared" si="106"/>
        <v>10000</v>
      </c>
      <c r="Q580">
        <f t="shared" si="99"/>
        <v>538.58663228195098</v>
      </c>
    </row>
    <row r="581" spans="1:17" x14ac:dyDescent="0.15">
      <c r="A581" s="10">
        <v>45889.621527777985</v>
      </c>
      <c r="B581">
        <f>COUNT(A581:$A$1158)/(48*252)</f>
        <v>4.7784391534391533E-2</v>
      </c>
      <c r="C581">
        <v>2.2890000000000001</v>
      </c>
      <c r="D581">
        <v>0.113</v>
      </c>
      <c r="E581">
        <f t="shared" si="96"/>
        <v>0.44705947351973302</v>
      </c>
      <c r="F581">
        <f t="shared" si="97"/>
        <v>0.67258394044434777</v>
      </c>
      <c r="G581">
        <f t="shared" si="100"/>
        <v>-9.9999999999988987E-4</v>
      </c>
      <c r="H581">
        <f>IF(MOD(COUNTA($C$7:C581)-1,$J$2),H580,ROUND(F581*P581,-2))</f>
        <v>6700</v>
      </c>
      <c r="I581">
        <f t="shared" si="101"/>
        <v>0</v>
      </c>
      <c r="J581">
        <f t="shared" si="102"/>
        <v>0</v>
      </c>
      <c r="K581">
        <f t="shared" si="103"/>
        <v>-13780.397382458068</v>
      </c>
      <c r="L581">
        <f t="shared" si="104"/>
        <v>1555.9026175419331</v>
      </c>
      <c r="M581">
        <f t="shared" si="105"/>
        <v>-6.6999999999989086</v>
      </c>
      <c r="N581">
        <f t="shared" si="107"/>
        <v>1555.9026175419331</v>
      </c>
      <c r="O581" s="5">
        <f t="shared" si="98"/>
        <v>5.4113089576919071E-2</v>
      </c>
      <c r="P581">
        <f t="shared" si="106"/>
        <v>10000</v>
      </c>
      <c r="Q581">
        <f t="shared" si="99"/>
        <v>541.13089576919072</v>
      </c>
    </row>
    <row r="582" spans="1:17" x14ac:dyDescent="0.15">
      <c r="A582" s="10">
        <v>45889.625</v>
      </c>
      <c r="B582">
        <f>COUNT(A582:$A$1158)/(48*252)</f>
        <v>4.7701719576719578E-2</v>
      </c>
      <c r="C582">
        <v>2.2879999999999998</v>
      </c>
      <c r="D582">
        <v>0.112</v>
      </c>
      <c r="E582">
        <f t="shared" si="96"/>
        <v>0.4431281277165543</v>
      </c>
      <c r="F582">
        <f t="shared" si="97"/>
        <v>0.67116346943187466</v>
      </c>
      <c r="G582">
        <f t="shared" si="100"/>
        <v>-1.000000000000334E-3</v>
      </c>
      <c r="H582">
        <f>IF(MOD(COUNTA($C$7:C582)-1,$J$2),H581,ROUND(F582*P582,-2))</f>
        <v>6700</v>
      </c>
      <c r="I582">
        <f t="shared" si="101"/>
        <v>0</v>
      </c>
      <c r="J582">
        <f t="shared" si="102"/>
        <v>0</v>
      </c>
      <c r="K582">
        <f t="shared" si="103"/>
        <v>-13780.397382458068</v>
      </c>
      <c r="L582">
        <f t="shared" si="104"/>
        <v>1549.2026175419305</v>
      </c>
      <c r="M582">
        <f t="shared" si="105"/>
        <v>-6.7000000000025466</v>
      </c>
      <c r="N582">
        <f t="shared" si="107"/>
        <v>1549.2026175419305</v>
      </c>
      <c r="O582" s="5">
        <f t="shared" si="98"/>
        <v>5.4368779148887825E-2</v>
      </c>
      <c r="P582">
        <f t="shared" si="106"/>
        <v>10000</v>
      </c>
      <c r="Q582">
        <f t="shared" si="99"/>
        <v>543.68779148887825</v>
      </c>
    </row>
    <row r="583" spans="1:17" x14ac:dyDescent="0.15">
      <c r="A583" s="10">
        <v>45890.399305555969</v>
      </c>
      <c r="B583">
        <f>COUNT(A583:$A$1158)/(48*252)</f>
        <v>4.7619047619047616E-2</v>
      </c>
      <c r="C583">
        <v>2.278</v>
      </c>
      <c r="D583">
        <v>0.105</v>
      </c>
      <c r="E583">
        <f t="shared" si="96"/>
        <v>0.40121409843527289</v>
      </c>
      <c r="F583">
        <f t="shared" si="97"/>
        <v>0.65586874915057702</v>
      </c>
      <c r="G583">
        <f t="shared" si="100"/>
        <v>-9.9999999999997868E-3</v>
      </c>
      <c r="H583">
        <f>IF(MOD(COUNTA($C$7:C583)-1,$J$2),H582,ROUND(F583*P583,-2))</f>
        <v>6600</v>
      </c>
      <c r="I583">
        <f t="shared" si="101"/>
        <v>-100</v>
      </c>
      <c r="J583">
        <f t="shared" si="102"/>
        <v>0</v>
      </c>
      <c r="K583">
        <f t="shared" si="103"/>
        <v>-13552.607633458068</v>
      </c>
      <c r="L583">
        <f t="shared" si="104"/>
        <v>1482.1923665419308</v>
      </c>
      <c r="M583">
        <f t="shared" si="105"/>
        <v>-67.010250999999698</v>
      </c>
      <c r="N583">
        <f t="shared" si="107"/>
        <v>1482.1923665419308</v>
      </c>
      <c r="O583" s="5">
        <f t="shared" si="98"/>
        <v>5.7660302755729309E-2</v>
      </c>
      <c r="P583">
        <f t="shared" si="106"/>
        <v>10000</v>
      </c>
      <c r="Q583">
        <f t="shared" si="99"/>
        <v>576.6030275572931</v>
      </c>
    </row>
    <row r="584" spans="1:17" x14ac:dyDescent="0.15">
      <c r="A584" s="10">
        <v>45890.402777777985</v>
      </c>
      <c r="B584">
        <f>COUNT(A584:$A$1158)/(48*252)</f>
        <v>4.7536375661375661E-2</v>
      </c>
      <c r="C584">
        <v>2.282</v>
      </c>
      <c r="D584">
        <v>0.109</v>
      </c>
      <c r="E584">
        <f t="shared" ref="E584:E647" si="108">(LN(C584/$B$2)+($B$1+0.5*$D$1*$D$1)*B584)/($D$1*SQRT(B584))</f>
        <v>0.4183593762211954</v>
      </c>
      <c r="F584">
        <f t="shared" ref="F584:F647" si="109">NORMSDIST(E584)</f>
        <v>0.6621578082839078</v>
      </c>
      <c r="G584">
        <f t="shared" si="100"/>
        <v>4.0000000000000036E-3</v>
      </c>
      <c r="H584">
        <f>IF(MOD(COUNTA($C$7:C584)-1,$J$2),H583,ROUND(F584*P584,-2))</f>
        <v>6600</v>
      </c>
      <c r="I584">
        <f t="shared" si="101"/>
        <v>0</v>
      </c>
      <c r="J584">
        <f t="shared" si="102"/>
        <v>0</v>
      </c>
      <c r="K584">
        <f t="shared" si="103"/>
        <v>-13552.607633458068</v>
      </c>
      <c r="L584">
        <f t="shared" si="104"/>
        <v>1508.5923665419323</v>
      </c>
      <c r="M584">
        <f t="shared" si="105"/>
        <v>26.400000000001455</v>
      </c>
      <c r="N584">
        <f t="shared" si="107"/>
        <v>1508.5923665419323</v>
      </c>
      <c r="O584" s="5">
        <f t="shared" ref="O584:O647" si="110">put_bs($B$1,$J$1,C584,$B$2,B584)</f>
        <v>5.6223025691934159E-2</v>
      </c>
      <c r="P584">
        <f t="shared" si="106"/>
        <v>10000</v>
      </c>
      <c r="Q584">
        <f t="shared" ref="Q584:Q647" si="111">P584*O584</f>
        <v>562.23025691934163</v>
      </c>
    </row>
    <row r="585" spans="1:17" x14ac:dyDescent="0.15">
      <c r="A585" s="10">
        <v>45890.40625</v>
      </c>
      <c r="B585">
        <f>COUNT(A585:$A$1158)/(48*252)</f>
        <v>4.7453703703703706E-2</v>
      </c>
      <c r="C585">
        <v>2.2810000000000001</v>
      </c>
      <c r="D585">
        <v>0.11</v>
      </c>
      <c r="E585">
        <f t="shared" si="108"/>
        <v>0.41438085920231493</v>
      </c>
      <c r="F585">
        <f t="shared" si="109"/>
        <v>0.66070239773403139</v>
      </c>
      <c r="G585">
        <f t="shared" ref="G585:G648" si="112">C585-C584</f>
        <v>-9.9999999999988987E-4</v>
      </c>
      <c r="H585">
        <f>IF(MOD(COUNTA($C$7:C585)-1,$J$2),H584,ROUND(F585*P585,-2))</f>
        <v>6600</v>
      </c>
      <c r="I585">
        <f t="shared" ref="I585:I648" si="113">H585-H584</f>
        <v>0</v>
      </c>
      <c r="J585">
        <f t="shared" ref="J585:J648" si="114">J584</f>
        <v>0</v>
      </c>
      <c r="K585">
        <f t="shared" ref="K585:K648" si="115">K584-I585*C585-ABS(I585*C585*$F$2)</f>
        <v>-13552.607633458068</v>
      </c>
      <c r="L585">
        <f t="shared" ref="L585:L648" si="116">K585+H585*C585</f>
        <v>1501.9923665419319</v>
      </c>
      <c r="M585">
        <f t="shared" ref="M585:M648" si="117">L585-L584</f>
        <v>-6.6000000000003638</v>
      </c>
      <c r="N585">
        <f t="shared" si="107"/>
        <v>1501.9923665419319</v>
      </c>
      <c r="O585" s="5">
        <f t="shared" si="110"/>
        <v>5.6488325489357893E-2</v>
      </c>
      <c r="P585">
        <f t="shared" ref="P585:P648" si="118">P584</f>
        <v>10000</v>
      </c>
      <c r="Q585">
        <f t="shared" si="111"/>
        <v>564.88325489357896</v>
      </c>
    </row>
    <row r="586" spans="1:17" x14ac:dyDescent="0.15">
      <c r="A586" s="10">
        <v>45890.409722222015</v>
      </c>
      <c r="B586">
        <f>COUNT(A586:$A$1158)/(48*252)</f>
        <v>4.7371031746031744E-2</v>
      </c>
      <c r="C586">
        <v>2.2770000000000001</v>
      </c>
      <c r="D586">
        <v>0.107</v>
      </c>
      <c r="E586">
        <f t="shared" si="108"/>
        <v>0.3976803861289519</v>
      </c>
      <c r="F586">
        <f t="shared" si="109"/>
        <v>0.65456710142508756</v>
      </c>
      <c r="G586">
        <f t="shared" si="112"/>
        <v>-4.0000000000000036E-3</v>
      </c>
      <c r="H586">
        <f>IF(MOD(COUNTA($C$7:C586)-1,$J$2),H585,ROUND(F586*P586,-2))</f>
        <v>6600</v>
      </c>
      <c r="I586">
        <f t="shared" si="113"/>
        <v>0</v>
      </c>
      <c r="J586">
        <f t="shared" si="114"/>
        <v>0</v>
      </c>
      <c r="K586">
        <f t="shared" si="115"/>
        <v>-13552.607633458068</v>
      </c>
      <c r="L586">
        <f t="shared" si="116"/>
        <v>1475.5923665419323</v>
      </c>
      <c r="M586">
        <f t="shared" si="117"/>
        <v>-26.399999999999636</v>
      </c>
      <c r="N586">
        <f t="shared" ref="N586:N649" si="119">L586-$F$1</f>
        <v>1475.5923665419323</v>
      </c>
      <c r="O586" s="5">
        <f t="shared" si="110"/>
        <v>5.7784214041776361E-2</v>
      </c>
      <c r="P586">
        <f t="shared" si="118"/>
        <v>10000</v>
      </c>
      <c r="Q586">
        <f t="shared" si="111"/>
        <v>577.84214041776363</v>
      </c>
    </row>
    <row r="587" spans="1:17" x14ac:dyDescent="0.15">
      <c r="A587" s="10">
        <v>45890.413194444962</v>
      </c>
      <c r="B587">
        <f>COUNT(A587:$A$1158)/(48*252)</f>
        <v>4.7288359788359789E-2</v>
      </c>
      <c r="C587">
        <v>2.2789999999999999</v>
      </c>
      <c r="D587">
        <v>0.107</v>
      </c>
      <c r="E587">
        <f t="shared" si="108"/>
        <v>0.40639835782329337</v>
      </c>
      <c r="F587">
        <f t="shared" si="109"/>
        <v>0.65777503694673989</v>
      </c>
      <c r="G587">
        <f t="shared" si="112"/>
        <v>1.9999999999997797E-3</v>
      </c>
      <c r="H587">
        <f>IF(MOD(COUNTA($C$7:C587)-1,$J$2),H586,ROUND(F587*P587,-2))</f>
        <v>6600</v>
      </c>
      <c r="I587">
        <f t="shared" si="113"/>
        <v>0</v>
      </c>
      <c r="J587">
        <f t="shared" si="114"/>
        <v>0</v>
      </c>
      <c r="K587">
        <f t="shared" si="115"/>
        <v>-13552.607633458068</v>
      </c>
      <c r="L587">
        <f t="shared" si="116"/>
        <v>1488.7923665419312</v>
      </c>
      <c r="M587">
        <f t="shared" si="117"/>
        <v>13.199999999998909</v>
      </c>
      <c r="N587">
        <f t="shared" si="119"/>
        <v>1488.7923665419312</v>
      </c>
      <c r="O587" s="5">
        <f t="shared" si="110"/>
        <v>5.7022858625385919E-2</v>
      </c>
      <c r="P587">
        <f t="shared" si="118"/>
        <v>10000</v>
      </c>
      <c r="Q587">
        <f t="shared" si="111"/>
        <v>570.22858625385925</v>
      </c>
    </row>
    <row r="588" spans="1:17" x14ac:dyDescent="0.15">
      <c r="A588" s="10">
        <v>45890.416666666977</v>
      </c>
      <c r="B588">
        <f>COUNT(A588:$A$1158)/(48*252)</f>
        <v>4.7205687830687834E-2</v>
      </c>
      <c r="C588">
        <v>2.2810000000000001</v>
      </c>
      <c r="D588">
        <v>0.107</v>
      </c>
      <c r="E588">
        <f t="shared" si="108"/>
        <v>0.41512444544583721</v>
      </c>
      <c r="F588">
        <f t="shared" si="109"/>
        <v>0.66097459752499232</v>
      </c>
      <c r="G588">
        <f t="shared" si="112"/>
        <v>2.0000000000002238E-3</v>
      </c>
      <c r="H588">
        <f>IF(MOD(COUNTA($C$7:C588)-1,$J$2),H587,ROUND(F588*P588,-2))</f>
        <v>6600</v>
      </c>
      <c r="I588">
        <f t="shared" si="113"/>
        <v>0</v>
      </c>
      <c r="J588">
        <f t="shared" si="114"/>
        <v>0</v>
      </c>
      <c r="K588">
        <f t="shared" si="115"/>
        <v>-13552.607633458068</v>
      </c>
      <c r="L588">
        <f t="shared" si="116"/>
        <v>1501.9923665419319</v>
      </c>
      <c r="M588">
        <f t="shared" si="117"/>
        <v>13.200000000000728</v>
      </c>
      <c r="N588">
        <f t="shared" si="119"/>
        <v>1501.9923665419319</v>
      </c>
      <c r="O588" s="5">
        <f t="shared" si="110"/>
        <v>5.6268028202230314E-2</v>
      </c>
      <c r="P588">
        <f t="shared" si="118"/>
        <v>10000</v>
      </c>
      <c r="Q588">
        <f t="shared" si="111"/>
        <v>562.68028202230312</v>
      </c>
    </row>
    <row r="589" spans="1:17" x14ac:dyDescent="0.15">
      <c r="A589" s="10">
        <v>45890.420138888992</v>
      </c>
      <c r="B589">
        <f>COUNT(A589:$A$1158)/(48*252)</f>
        <v>4.7123015873015872E-2</v>
      </c>
      <c r="C589">
        <v>2.282</v>
      </c>
      <c r="D589">
        <v>0.109</v>
      </c>
      <c r="E589">
        <f t="shared" si="108"/>
        <v>0.41961718756784405</v>
      </c>
      <c r="F589">
        <f t="shared" si="109"/>
        <v>0.66261743482169599</v>
      </c>
      <c r="G589">
        <f t="shared" si="112"/>
        <v>9.9999999999988987E-4</v>
      </c>
      <c r="H589">
        <f>IF(MOD(COUNTA($C$7:C589)-1,$J$2),H588,ROUND(F589*P589,-2))</f>
        <v>6600</v>
      </c>
      <c r="I589">
        <f t="shared" si="113"/>
        <v>0</v>
      </c>
      <c r="J589">
        <f t="shared" si="114"/>
        <v>0</v>
      </c>
      <c r="K589">
        <f t="shared" si="115"/>
        <v>-13552.607633458068</v>
      </c>
      <c r="L589">
        <f t="shared" si="116"/>
        <v>1508.5923665419323</v>
      </c>
      <c r="M589">
        <f t="shared" si="117"/>
        <v>6.6000000000003638</v>
      </c>
      <c r="N589">
        <f t="shared" si="119"/>
        <v>1508.5923665419323</v>
      </c>
      <c r="O589" s="5">
        <f t="shared" si="110"/>
        <v>5.5856319752704997E-2</v>
      </c>
      <c r="P589">
        <f t="shared" si="118"/>
        <v>10000</v>
      </c>
      <c r="Q589">
        <f t="shared" si="111"/>
        <v>558.56319752704997</v>
      </c>
    </row>
    <row r="590" spans="1:17" x14ac:dyDescent="0.15">
      <c r="A590" s="10">
        <v>45890.423611111008</v>
      </c>
      <c r="B590">
        <f>COUNT(A590:$A$1158)/(48*252)</f>
        <v>4.7040343915343917E-2</v>
      </c>
      <c r="C590">
        <v>2.2799999999999998</v>
      </c>
      <c r="D590">
        <v>0.107</v>
      </c>
      <c r="E590">
        <f t="shared" si="108"/>
        <v>0.41137497050826644</v>
      </c>
      <c r="F590">
        <f t="shared" si="109"/>
        <v>0.65960119791392147</v>
      </c>
      <c r="G590">
        <f t="shared" si="112"/>
        <v>-2.0000000000002238E-3</v>
      </c>
      <c r="H590">
        <f>IF(MOD(COUNTA($C$7:C590)-1,$J$2),H589,ROUND(F590*P590,-2))</f>
        <v>6600</v>
      </c>
      <c r="I590">
        <f t="shared" si="113"/>
        <v>0</v>
      </c>
      <c r="J590">
        <f t="shared" si="114"/>
        <v>0</v>
      </c>
      <c r="K590">
        <f t="shared" si="115"/>
        <v>-13552.607633458068</v>
      </c>
      <c r="L590">
        <f t="shared" si="116"/>
        <v>1495.3923665419297</v>
      </c>
      <c r="M590">
        <f t="shared" si="117"/>
        <v>-13.200000000002547</v>
      </c>
      <c r="N590">
        <f t="shared" si="119"/>
        <v>1495.3923665419297</v>
      </c>
      <c r="O590" s="5">
        <f t="shared" si="110"/>
        <v>5.6460488651528751E-2</v>
      </c>
      <c r="P590">
        <f t="shared" si="118"/>
        <v>10000</v>
      </c>
      <c r="Q590">
        <f t="shared" si="111"/>
        <v>564.60488651528749</v>
      </c>
    </row>
    <row r="591" spans="1:17" x14ac:dyDescent="0.15">
      <c r="A591" s="10">
        <v>45890.427083333023</v>
      </c>
      <c r="B591">
        <f>COUNT(A591:$A$1158)/(48*252)</f>
        <v>4.6957671957671955E-2</v>
      </c>
      <c r="C591">
        <v>2.2810000000000001</v>
      </c>
      <c r="D591">
        <v>0.108</v>
      </c>
      <c r="E591">
        <f t="shared" si="108"/>
        <v>0.41587482110689972</v>
      </c>
      <c r="F591">
        <f t="shared" si="109"/>
        <v>0.66124919750960709</v>
      </c>
      <c r="G591">
        <f t="shared" si="112"/>
        <v>1.000000000000334E-3</v>
      </c>
      <c r="H591">
        <f>IF(MOD(COUNTA($C$7:C591)-1,$J$2),H590,ROUND(F591*P591,-2))</f>
        <v>6600</v>
      </c>
      <c r="I591">
        <f t="shared" si="113"/>
        <v>0</v>
      </c>
      <c r="J591">
        <f t="shared" si="114"/>
        <v>0</v>
      </c>
      <c r="K591">
        <f t="shared" si="115"/>
        <v>-13552.607633458068</v>
      </c>
      <c r="L591">
        <f t="shared" si="116"/>
        <v>1501.9923665419319</v>
      </c>
      <c r="M591">
        <f t="shared" si="117"/>
        <v>6.6000000000021828</v>
      </c>
      <c r="N591">
        <f t="shared" si="119"/>
        <v>1501.9923665419319</v>
      </c>
      <c r="O591" s="5">
        <f t="shared" si="110"/>
        <v>5.6047199311403784E-2</v>
      </c>
      <c r="P591">
        <f t="shared" si="118"/>
        <v>10000</v>
      </c>
      <c r="Q591">
        <f t="shared" si="111"/>
        <v>560.47199311403779</v>
      </c>
    </row>
    <row r="592" spans="1:17" x14ac:dyDescent="0.15">
      <c r="A592" s="10">
        <v>45890.430555555969</v>
      </c>
      <c r="B592">
        <f>COUNT(A592:$A$1158)/(48*252)</f>
        <v>4.6875E-2</v>
      </c>
      <c r="C592">
        <v>2.2799999999999998</v>
      </c>
      <c r="D592">
        <v>0.106</v>
      </c>
      <c r="E592">
        <f t="shared" si="108"/>
        <v>0.41187001850949001</v>
      </c>
      <c r="F592">
        <f t="shared" si="109"/>
        <v>0.65978265145507942</v>
      </c>
      <c r="G592">
        <f t="shared" si="112"/>
        <v>-1.000000000000334E-3</v>
      </c>
      <c r="H592">
        <f>IF(MOD(COUNTA($C$7:C592)-1,$J$2),H591,ROUND(F592*P592,-2))</f>
        <v>6600</v>
      </c>
      <c r="I592">
        <f t="shared" si="113"/>
        <v>0</v>
      </c>
      <c r="J592">
        <f t="shared" si="114"/>
        <v>0</v>
      </c>
      <c r="K592">
        <f t="shared" si="115"/>
        <v>-13552.607633458068</v>
      </c>
      <c r="L592">
        <f t="shared" si="116"/>
        <v>1495.3923665419297</v>
      </c>
      <c r="M592">
        <f t="shared" si="117"/>
        <v>-6.6000000000021828</v>
      </c>
      <c r="N592">
        <f t="shared" si="119"/>
        <v>1495.3923665419297</v>
      </c>
      <c r="O592" s="5">
        <f t="shared" si="110"/>
        <v>5.6312908671595108E-2</v>
      </c>
      <c r="P592">
        <f t="shared" si="118"/>
        <v>10000</v>
      </c>
      <c r="Q592">
        <f t="shared" si="111"/>
        <v>563.12908671595108</v>
      </c>
    </row>
    <row r="593" spans="1:17" x14ac:dyDescent="0.15">
      <c r="A593" s="10">
        <v>45890.434027777985</v>
      </c>
      <c r="B593">
        <f>COUNT(A593:$A$1158)/(48*252)</f>
        <v>4.6792328042328045E-2</v>
      </c>
      <c r="C593">
        <v>2.2799999999999998</v>
      </c>
      <c r="D593">
        <v>0.107</v>
      </c>
      <c r="E593">
        <f t="shared" si="108"/>
        <v>0.4121186780517852</v>
      </c>
      <c r="F593">
        <f t="shared" si="109"/>
        <v>0.65987378048869449</v>
      </c>
      <c r="G593">
        <f t="shared" si="112"/>
        <v>0</v>
      </c>
      <c r="H593">
        <f>IF(MOD(COUNTA($C$7:C593)-1,$J$2),H592,ROUND(F593*P593,-2))</f>
        <v>6600</v>
      </c>
      <c r="I593">
        <f t="shared" si="113"/>
        <v>0</v>
      </c>
      <c r="J593">
        <f t="shared" si="114"/>
        <v>0</v>
      </c>
      <c r="K593">
        <f t="shared" si="115"/>
        <v>-13552.607633458068</v>
      </c>
      <c r="L593">
        <f t="shared" si="116"/>
        <v>1495.3923665419297</v>
      </c>
      <c r="M593">
        <f t="shared" si="117"/>
        <v>0</v>
      </c>
      <c r="N593">
        <f t="shared" si="119"/>
        <v>1495.3923665419297</v>
      </c>
      <c r="O593" s="5">
        <f t="shared" si="110"/>
        <v>5.6239028933434132E-2</v>
      </c>
      <c r="P593">
        <f t="shared" si="118"/>
        <v>10000</v>
      </c>
      <c r="Q593">
        <f t="shared" si="111"/>
        <v>562.39028933434133</v>
      </c>
    </row>
    <row r="594" spans="1:17" x14ac:dyDescent="0.15">
      <c r="A594" s="10">
        <v>45890.4375</v>
      </c>
      <c r="B594">
        <f>COUNT(A594:$A$1158)/(48*252)</f>
        <v>4.6709656084656083E-2</v>
      </c>
      <c r="C594">
        <v>2.2810000000000001</v>
      </c>
      <c r="D594">
        <v>0.108</v>
      </c>
      <c r="E594">
        <f t="shared" si="108"/>
        <v>0.41663207859376594</v>
      </c>
      <c r="F594">
        <f t="shared" si="109"/>
        <v>0.66152622903687408</v>
      </c>
      <c r="G594">
        <f t="shared" si="112"/>
        <v>1.000000000000334E-3</v>
      </c>
      <c r="H594">
        <f>IF(MOD(COUNTA($C$7:C594)-1,$J$2),H593,ROUND(F594*P594,-2))</f>
        <v>6600</v>
      </c>
      <c r="I594">
        <f t="shared" si="113"/>
        <v>0</v>
      </c>
      <c r="J594">
        <f t="shared" si="114"/>
        <v>0</v>
      </c>
      <c r="K594">
        <f t="shared" si="115"/>
        <v>-13552.607633458068</v>
      </c>
      <c r="L594">
        <f t="shared" si="116"/>
        <v>1501.9923665419319</v>
      </c>
      <c r="M594">
        <f t="shared" si="117"/>
        <v>6.6000000000021828</v>
      </c>
      <c r="N594">
        <f t="shared" si="119"/>
        <v>1501.9923665419319</v>
      </c>
      <c r="O594" s="5">
        <f t="shared" si="110"/>
        <v>5.5825835170768778E-2</v>
      </c>
      <c r="P594">
        <f t="shared" si="118"/>
        <v>10000</v>
      </c>
      <c r="Q594">
        <f t="shared" si="111"/>
        <v>558.25835170768778</v>
      </c>
    </row>
    <row r="595" spans="1:17" x14ac:dyDescent="0.15">
      <c r="A595" s="10">
        <v>45890.440972222015</v>
      </c>
      <c r="B595">
        <f>COUNT(A595:$A$1158)/(48*252)</f>
        <v>4.6626984126984128E-2</v>
      </c>
      <c r="C595">
        <v>2.2810000000000001</v>
      </c>
      <c r="D595">
        <v>0.105</v>
      </c>
      <c r="E595">
        <f t="shared" si="108"/>
        <v>0.41688604327277862</v>
      </c>
      <c r="F595">
        <f t="shared" si="109"/>
        <v>0.66161911872179946</v>
      </c>
      <c r="G595">
        <f t="shared" si="112"/>
        <v>0</v>
      </c>
      <c r="H595">
        <f>IF(MOD(COUNTA($C$7:C595)-1,$J$2),H594,ROUND(F595*P595,-2))</f>
        <v>6600</v>
      </c>
      <c r="I595">
        <f t="shared" si="113"/>
        <v>0</v>
      </c>
      <c r="J595">
        <f t="shared" si="114"/>
        <v>0</v>
      </c>
      <c r="K595">
        <f t="shared" si="115"/>
        <v>-13552.607633458068</v>
      </c>
      <c r="L595">
        <f t="shared" si="116"/>
        <v>1501.9923665419319</v>
      </c>
      <c r="M595">
        <f t="shared" si="117"/>
        <v>0</v>
      </c>
      <c r="N595">
        <f t="shared" si="119"/>
        <v>1501.9923665419319</v>
      </c>
      <c r="O595" s="5">
        <f t="shared" si="110"/>
        <v>5.575192754336733E-2</v>
      </c>
      <c r="P595">
        <f t="shared" si="118"/>
        <v>10000</v>
      </c>
      <c r="Q595">
        <f t="shared" si="111"/>
        <v>557.51927543367333</v>
      </c>
    </row>
    <row r="596" spans="1:17" x14ac:dyDescent="0.15">
      <c r="A596" s="10">
        <v>45890.444444444962</v>
      </c>
      <c r="B596">
        <f>COUNT(A596:$A$1158)/(48*252)</f>
        <v>4.6544312169312166E-2</v>
      </c>
      <c r="C596">
        <v>2.2770000000000001</v>
      </c>
      <c r="D596">
        <v>0.104</v>
      </c>
      <c r="E596">
        <f t="shared" si="108"/>
        <v>0.40004335121851586</v>
      </c>
      <c r="F596">
        <f t="shared" si="109"/>
        <v>0.65543770643122512</v>
      </c>
      <c r="G596">
        <f t="shared" si="112"/>
        <v>-4.0000000000000036E-3</v>
      </c>
      <c r="H596">
        <f>IF(MOD(COUNTA($C$7:C596)-1,$J$2),H595,ROUND(F596*P596,-2))</f>
        <v>6600</v>
      </c>
      <c r="I596">
        <f t="shared" si="113"/>
        <v>0</v>
      </c>
      <c r="J596">
        <f t="shared" si="114"/>
        <v>0</v>
      </c>
      <c r="K596">
        <f t="shared" si="115"/>
        <v>-13552.607633458068</v>
      </c>
      <c r="L596">
        <f t="shared" si="116"/>
        <v>1475.5923665419323</v>
      </c>
      <c r="M596">
        <f t="shared" si="117"/>
        <v>-26.399999999999636</v>
      </c>
      <c r="N596">
        <f t="shared" si="119"/>
        <v>1475.5923665419323</v>
      </c>
      <c r="O596" s="5">
        <f t="shared" si="110"/>
        <v>5.7043641635356912E-2</v>
      </c>
      <c r="P596">
        <f t="shared" si="118"/>
        <v>10000</v>
      </c>
      <c r="Q596">
        <f t="shared" si="111"/>
        <v>570.43641635356914</v>
      </c>
    </row>
    <row r="597" spans="1:17" x14ac:dyDescent="0.15">
      <c r="A597" s="10">
        <v>45890.447916666977</v>
      </c>
      <c r="B597">
        <f>COUNT(A597:$A$1158)/(48*252)</f>
        <v>4.6461640211640211E-2</v>
      </c>
      <c r="C597">
        <v>2.2759999999999998</v>
      </c>
      <c r="D597">
        <v>0.104</v>
      </c>
      <c r="E597">
        <f t="shared" si="108"/>
        <v>0.39600081511311264</v>
      </c>
      <c r="F597">
        <f t="shared" si="109"/>
        <v>0.65394778654886021</v>
      </c>
      <c r="G597">
        <f t="shared" si="112"/>
        <v>-1.000000000000334E-3</v>
      </c>
      <c r="H597">
        <f>IF(MOD(COUNTA($C$7:C597)-1,$J$2),H596,ROUND(F597*P597,-2))</f>
        <v>6600</v>
      </c>
      <c r="I597">
        <f t="shared" si="113"/>
        <v>0</v>
      </c>
      <c r="J597">
        <f t="shared" si="114"/>
        <v>0</v>
      </c>
      <c r="K597">
        <f t="shared" si="115"/>
        <v>-13552.607633458068</v>
      </c>
      <c r="L597">
        <f t="shared" si="116"/>
        <v>1468.9923665419301</v>
      </c>
      <c r="M597">
        <f t="shared" si="117"/>
        <v>-6.6000000000021828</v>
      </c>
      <c r="N597">
        <f t="shared" si="119"/>
        <v>1468.9923665419301</v>
      </c>
      <c r="O597" s="5">
        <f t="shared" si="110"/>
        <v>5.7314512642106519E-2</v>
      </c>
      <c r="P597">
        <f t="shared" si="118"/>
        <v>10000</v>
      </c>
      <c r="Q597">
        <f t="shared" si="111"/>
        <v>573.14512642106524</v>
      </c>
    </row>
    <row r="598" spans="1:17" x14ac:dyDescent="0.15">
      <c r="A598" s="10">
        <v>45890.451388888992</v>
      </c>
      <c r="B598">
        <f>COUNT(A598:$A$1158)/(48*252)</f>
        <v>4.6378968253968256E-2</v>
      </c>
      <c r="C598">
        <v>2.27</v>
      </c>
      <c r="D598">
        <v>0.10100000000000001</v>
      </c>
      <c r="E598">
        <f t="shared" si="108"/>
        <v>0.37047841170380275</v>
      </c>
      <c r="F598">
        <f t="shared" si="109"/>
        <v>0.64448697049630321</v>
      </c>
      <c r="G598">
        <f t="shared" si="112"/>
        <v>-5.9999999999997833E-3</v>
      </c>
      <c r="H598">
        <f>IF(MOD(COUNTA($C$7:C598)-1,$J$2),H597,ROUND(F598*P598,-2))</f>
        <v>6600</v>
      </c>
      <c r="I598">
        <f t="shared" si="113"/>
        <v>0</v>
      </c>
      <c r="J598">
        <f t="shared" si="114"/>
        <v>0</v>
      </c>
      <c r="K598">
        <f t="shared" si="115"/>
        <v>-13552.607633458068</v>
      </c>
      <c r="L598">
        <f t="shared" si="116"/>
        <v>1429.3923665419316</v>
      </c>
      <c r="M598">
        <f t="shared" si="117"/>
        <v>-39.599999999998545</v>
      </c>
      <c r="N598">
        <f t="shared" si="119"/>
        <v>1429.3923665419316</v>
      </c>
      <c r="O598" s="5">
        <f t="shared" si="110"/>
        <v>5.9344344867565457E-2</v>
      </c>
      <c r="P598">
        <f t="shared" si="118"/>
        <v>10000</v>
      </c>
      <c r="Q598">
        <f t="shared" si="111"/>
        <v>593.44344867565462</v>
      </c>
    </row>
    <row r="599" spans="1:17" x14ac:dyDescent="0.15">
      <c r="A599" s="10">
        <v>45890.454861111008</v>
      </c>
      <c r="B599">
        <f>COUNT(A599:$A$1158)/(48*252)</f>
        <v>4.6296296296296294E-2</v>
      </c>
      <c r="C599">
        <v>2.27</v>
      </c>
      <c r="D599">
        <v>0.10100000000000001</v>
      </c>
      <c r="E599">
        <f t="shared" si="108"/>
        <v>0.3706934112448857</v>
      </c>
      <c r="F599">
        <f t="shared" si="109"/>
        <v>0.64456705083783405</v>
      </c>
      <c r="G599">
        <f t="shared" si="112"/>
        <v>0</v>
      </c>
      <c r="H599">
        <f>IF(MOD(COUNTA($C$7:C599)-1,$J$2),H598,ROUND(F599*P599,-2))</f>
        <v>6600</v>
      </c>
      <c r="I599">
        <f t="shared" si="113"/>
        <v>0</v>
      </c>
      <c r="J599">
        <f t="shared" si="114"/>
        <v>0</v>
      </c>
      <c r="K599">
        <f t="shared" si="115"/>
        <v>-13552.607633458068</v>
      </c>
      <c r="L599">
        <f t="shared" si="116"/>
        <v>1429.3923665419316</v>
      </c>
      <c r="M599">
        <f t="shared" si="117"/>
        <v>0</v>
      </c>
      <c r="N599">
        <f t="shared" si="119"/>
        <v>1429.3923665419316</v>
      </c>
      <c r="O599" s="5">
        <f t="shared" si="110"/>
        <v>5.9269238167924621E-2</v>
      </c>
      <c r="P599">
        <f t="shared" si="118"/>
        <v>10000</v>
      </c>
      <c r="Q599">
        <f t="shared" si="111"/>
        <v>592.69238167924618</v>
      </c>
    </row>
    <row r="600" spans="1:17" x14ac:dyDescent="0.15">
      <c r="A600" s="10">
        <v>45890.458333333023</v>
      </c>
      <c r="B600">
        <f>COUNT(A600:$A$1158)/(48*252)</f>
        <v>4.6213624338624339E-2</v>
      </c>
      <c r="C600">
        <v>2.2719999999999998</v>
      </c>
      <c r="D600">
        <v>0.10100000000000001</v>
      </c>
      <c r="E600">
        <f t="shared" si="108"/>
        <v>0.37951856001800394</v>
      </c>
      <c r="F600">
        <f t="shared" si="109"/>
        <v>0.64784858776781018</v>
      </c>
      <c r="G600">
        <f t="shared" si="112"/>
        <v>1.9999999999997797E-3</v>
      </c>
      <c r="H600">
        <f>IF(MOD(COUNTA($C$7:C600)-1,$J$2),H599,ROUND(F600*P600,-2))</f>
        <v>6600</v>
      </c>
      <c r="I600">
        <f t="shared" si="113"/>
        <v>0</v>
      </c>
      <c r="J600">
        <f t="shared" si="114"/>
        <v>0</v>
      </c>
      <c r="K600">
        <f t="shared" si="115"/>
        <v>-13552.607633458068</v>
      </c>
      <c r="L600">
        <f t="shared" si="116"/>
        <v>1442.5923665419305</v>
      </c>
      <c r="M600">
        <f t="shared" si="117"/>
        <v>13.199999999998909</v>
      </c>
      <c r="N600">
        <f t="shared" si="119"/>
        <v>1442.5923665419305</v>
      </c>
      <c r="O600" s="5">
        <f t="shared" si="110"/>
        <v>5.848656615314507E-2</v>
      </c>
      <c r="P600">
        <f t="shared" si="118"/>
        <v>10000</v>
      </c>
      <c r="Q600">
        <f t="shared" si="111"/>
        <v>584.86566153145066</v>
      </c>
    </row>
    <row r="601" spans="1:17" x14ac:dyDescent="0.15">
      <c r="A601" s="10">
        <v>45890.461805555969</v>
      </c>
      <c r="B601">
        <f>COUNT(A601:$A$1158)/(48*252)</f>
        <v>4.6130952380952384E-2</v>
      </c>
      <c r="C601">
        <v>2.2690000000000001</v>
      </c>
      <c r="D601">
        <v>0.1</v>
      </c>
      <c r="E601">
        <f t="shared" si="108"/>
        <v>0.36681401595791935</v>
      </c>
      <c r="F601">
        <f t="shared" si="109"/>
        <v>0.64312112394831522</v>
      </c>
      <c r="G601">
        <f t="shared" si="112"/>
        <v>-2.9999999999996696E-3</v>
      </c>
      <c r="H601">
        <f>IF(MOD(COUNTA($C$7:C601)-1,$J$2),H600,ROUND(F601*P601,-2))</f>
        <v>6400</v>
      </c>
      <c r="I601">
        <f t="shared" si="113"/>
        <v>-200</v>
      </c>
      <c r="J601">
        <f t="shared" si="114"/>
        <v>0</v>
      </c>
      <c r="K601">
        <f t="shared" si="115"/>
        <v>-13098.828054458068</v>
      </c>
      <c r="L601">
        <f t="shared" si="116"/>
        <v>1422.7719455419319</v>
      </c>
      <c r="M601">
        <f t="shared" si="117"/>
        <v>-19.820420999998532</v>
      </c>
      <c r="N601">
        <f t="shared" si="119"/>
        <v>1422.7719455419319</v>
      </c>
      <c r="O601" s="5">
        <f t="shared" si="110"/>
        <v>5.947490938183686E-2</v>
      </c>
      <c r="P601">
        <f t="shared" si="118"/>
        <v>10000</v>
      </c>
      <c r="Q601">
        <f t="shared" si="111"/>
        <v>594.74909381836858</v>
      </c>
    </row>
    <row r="602" spans="1:17" x14ac:dyDescent="0.15">
      <c r="A602" s="10">
        <v>45890.465277777985</v>
      </c>
      <c r="B602">
        <f>COUNT(A602:$A$1158)/(48*252)</f>
        <v>4.6048280423280422E-2</v>
      </c>
      <c r="C602">
        <v>2.274</v>
      </c>
      <c r="D602">
        <v>0.10299999999999999</v>
      </c>
      <c r="E602">
        <f t="shared" si="108"/>
        <v>0.38858473810498589</v>
      </c>
      <c r="F602">
        <f t="shared" si="109"/>
        <v>0.65120832077365387</v>
      </c>
      <c r="G602">
        <f t="shared" si="112"/>
        <v>4.9999999999998934E-3</v>
      </c>
      <c r="H602">
        <f>IF(MOD(COUNTA($C$7:C602)-1,$J$2),H601,ROUND(F602*P602,-2))</f>
        <v>6400</v>
      </c>
      <c r="I602">
        <f t="shared" si="113"/>
        <v>0</v>
      </c>
      <c r="J602">
        <f t="shared" si="114"/>
        <v>0</v>
      </c>
      <c r="K602">
        <f t="shared" si="115"/>
        <v>-13098.828054458068</v>
      </c>
      <c r="L602">
        <f t="shared" si="116"/>
        <v>1454.7719455419319</v>
      </c>
      <c r="M602">
        <f t="shared" si="117"/>
        <v>32</v>
      </c>
      <c r="N602">
        <f t="shared" si="119"/>
        <v>1454.7719455419319</v>
      </c>
      <c r="O602" s="5">
        <f t="shared" si="110"/>
        <v>5.7635588537400806E-2</v>
      </c>
      <c r="P602">
        <f t="shared" si="118"/>
        <v>10000</v>
      </c>
      <c r="Q602">
        <f t="shared" si="111"/>
        <v>576.35588537400804</v>
      </c>
    </row>
    <row r="603" spans="1:17" x14ac:dyDescent="0.15">
      <c r="A603" s="10">
        <v>45890.46875</v>
      </c>
      <c r="B603">
        <f>COUNT(A603:$A$1158)/(48*252)</f>
        <v>4.5965608465608467E-2</v>
      </c>
      <c r="C603">
        <v>2.274</v>
      </c>
      <c r="D603">
        <v>0.10299999999999999</v>
      </c>
      <c r="E603">
        <f t="shared" si="108"/>
        <v>0.38881797539676183</v>
      </c>
      <c r="F603">
        <f t="shared" si="109"/>
        <v>0.65129459867068629</v>
      </c>
      <c r="G603">
        <f t="shared" si="112"/>
        <v>0</v>
      </c>
      <c r="H603">
        <f>IF(MOD(COUNTA($C$7:C603)-1,$J$2),H602,ROUND(F603*P603,-2))</f>
        <v>6400</v>
      </c>
      <c r="I603">
        <f t="shared" si="113"/>
        <v>0</v>
      </c>
      <c r="J603">
        <f t="shared" si="114"/>
        <v>0</v>
      </c>
      <c r="K603">
        <f t="shared" si="115"/>
        <v>-13098.828054458068</v>
      </c>
      <c r="L603">
        <f t="shared" si="116"/>
        <v>1454.7719455419319</v>
      </c>
      <c r="M603">
        <f t="shared" si="117"/>
        <v>0</v>
      </c>
      <c r="N603">
        <f t="shared" si="119"/>
        <v>1454.7719455419319</v>
      </c>
      <c r="O603" s="5">
        <f t="shared" si="110"/>
        <v>5.7560561759429474E-2</v>
      </c>
      <c r="P603">
        <f t="shared" si="118"/>
        <v>10000</v>
      </c>
      <c r="Q603">
        <f t="shared" si="111"/>
        <v>575.6056175942947</v>
      </c>
    </row>
    <row r="604" spans="1:17" x14ac:dyDescent="0.15">
      <c r="A604" s="10">
        <v>45890.472222222015</v>
      </c>
      <c r="B604">
        <f>COUNT(A604:$A$1158)/(48*252)</f>
        <v>4.5882936507936505E-2</v>
      </c>
      <c r="C604">
        <v>2.274</v>
      </c>
      <c r="D604">
        <v>0.10299999999999999</v>
      </c>
      <c r="E604">
        <f t="shared" si="108"/>
        <v>0.38905194728071502</v>
      </c>
      <c r="F604">
        <f t="shared" si="109"/>
        <v>0.65138114044322359</v>
      </c>
      <c r="G604">
        <f t="shared" si="112"/>
        <v>0</v>
      </c>
      <c r="H604">
        <f>IF(MOD(COUNTA($C$7:C604)-1,$J$2),H603,ROUND(F604*P604,-2))</f>
        <v>6400</v>
      </c>
      <c r="I604">
        <f t="shared" si="113"/>
        <v>0</v>
      </c>
      <c r="J604">
        <f t="shared" si="114"/>
        <v>0</v>
      </c>
      <c r="K604">
        <f t="shared" si="115"/>
        <v>-13098.828054458068</v>
      </c>
      <c r="L604">
        <f t="shared" si="116"/>
        <v>1454.7719455419319</v>
      </c>
      <c r="M604">
        <f t="shared" si="117"/>
        <v>0</v>
      </c>
      <c r="N604">
        <f t="shared" si="119"/>
        <v>1454.7719455419319</v>
      </c>
      <c r="O604" s="5">
        <f t="shared" si="110"/>
        <v>5.7485471921598696E-2</v>
      </c>
      <c r="P604">
        <f t="shared" si="118"/>
        <v>10000</v>
      </c>
      <c r="Q604">
        <f t="shared" si="111"/>
        <v>574.85471921598696</v>
      </c>
    </row>
    <row r="605" spans="1:17" x14ac:dyDescent="0.15">
      <c r="A605" s="10">
        <v>45890.475694444962</v>
      </c>
      <c r="B605">
        <f>COUNT(A605:$A$1158)/(48*252)</f>
        <v>4.5800264550264549E-2</v>
      </c>
      <c r="C605">
        <v>2.2789999999999999</v>
      </c>
      <c r="D605">
        <v>0.105</v>
      </c>
      <c r="E605">
        <f t="shared" si="108"/>
        <v>0.41085501261315743</v>
      </c>
      <c r="F605">
        <f t="shared" si="109"/>
        <v>0.65941057417599147</v>
      </c>
      <c r="G605">
        <f t="shared" si="112"/>
        <v>4.9999999999998934E-3</v>
      </c>
      <c r="H605">
        <f>IF(MOD(COUNTA($C$7:C605)-1,$J$2),H604,ROUND(F605*P605,-2))</f>
        <v>6400</v>
      </c>
      <c r="I605">
        <f t="shared" si="113"/>
        <v>0</v>
      </c>
      <c r="J605">
        <f t="shared" si="114"/>
        <v>0</v>
      </c>
      <c r="K605">
        <f t="shared" si="115"/>
        <v>-13098.828054458068</v>
      </c>
      <c r="L605">
        <f t="shared" si="116"/>
        <v>1486.7719455419301</v>
      </c>
      <c r="M605">
        <f t="shared" si="117"/>
        <v>31.999999999998181</v>
      </c>
      <c r="N605">
        <f t="shared" si="119"/>
        <v>1486.7719455419301</v>
      </c>
      <c r="O605" s="5">
        <f t="shared" si="110"/>
        <v>5.5687551001459723E-2</v>
      </c>
      <c r="P605">
        <f t="shared" si="118"/>
        <v>10000</v>
      </c>
      <c r="Q605">
        <f t="shared" si="111"/>
        <v>556.87551001459724</v>
      </c>
    </row>
    <row r="606" spans="1:17" x14ac:dyDescent="0.15">
      <c r="A606" s="10">
        <v>45890.479166666977</v>
      </c>
      <c r="B606">
        <f>COUNT(A606:$A$1158)/(48*252)</f>
        <v>4.5717592592592594E-2</v>
      </c>
      <c r="C606">
        <v>2.2789999999999999</v>
      </c>
      <c r="D606">
        <v>0.105</v>
      </c>
      <c r="E606">
        <f t="shared" si="108"/>
        <v>0.41110995634386338</v>
      </c>
      <c r="F606">
        <f t="shared" si="109"/>
        <v>0.65950404515658911</v>
      </c>
      <c r="G606">
        <f t="shared" si="112"/>
        <v>0</v>
      </c>
      <c r="H606">
        <f>IF(MOD(COUNTA($C$7:C606)-1,$J$2),H605,ROUND(F606*P606,-2))</f>
        <v>6400</v>
      </c>
      <c r="I606">
        <f t="shared" si="113"/>
        <v>0</v>
      </c>
      <c r="J606">
        <f t="shared" si="114"/>
        <v>0</v>
      </c>
      <c r="K606">
        <f t="shared" si="115"/>
        <v>-13098.828054458068</v>
      </c>
      <c r="L606">
        <f t="shared" si="116"/>
        <v>1486.7719455419301</v>
      </c>
      <c r="M606">
        <f t="shared" si="117"/>
        <v>0</v>
      </c>
      <c r="N606">
        <f t="shared" si="119"/>
        <v>1486.7719455419301</v>
      </c>
      <c r="O606" s="5">
        <f t="shared" si="110"/>
        <v>5.5612786022856242E-2</v>
      </c>
      <c r="P606">
        <f t="shared" si="118"/>
        <v>10000</v>
      </c>
      <c r="Q606">
        <f t="shared" si="111"/>
        <v>556.12786022856244</v>
      </c>
    </row>
    <row r="607" spans="1:17" x14ac:dyDescent="0.15">
      <c r="A607" s="10">
        <v>45890.545138888992</v>
      </c>
      <c r="B607">
        <f>COUNT(A607:$A$1158)/(48*252)</f>
        <v>4.5634920634920632E-2</v>
      </c>
      <c r="C607">
        <v>2.2770000000000001</v>
      </c>
      <c r="D607">
        <v>0.105</v>
      </c>
      <c r="E607">
        <f t="shared" si="108"/>
        <v>0.40272843467463632</v>
      </c>
      <c r="F607">
        <f t="shared" si="109"/>
        <v>0.65642599327772544</v>
      </c>
      <c r="G607">
        <f t="shared" si="112"/>
        <v>-1.9999999999997797E-3</v>
      </c>
      <c r="H607">
        <f>IF(MOD(COUNTA($C$7:C607)-1,$J$2),H606,ROUND(F607*P607,-2))</f>
        <v>6600</v>
      </c>
      <c r="I607">
        <f t="shared" si="113"/>
        <v>200</v>
      </c>
      <c r="J607">
        <f t="shared" si="114"/>
        <v>0</v>
      </c>
      <c r="K607">
        <f t="shared" si="115"/>
        <v>-13554.248547458068</v>
      </c>
      <c r="L607">
        <f t="shared" si="116"/>
        <v>1473.9514525419327</v>
      </c>
      <c r="M607">
        <f t="shared" si="117"/>
        <v>-12.820492999997441</v>
      </c>
      <c r="N607">
        <f t="shared" si="119"/>
        <v>1473.9514525419327</v>
      </c>
      <c r="O607" s="5">
        <f t="shared" si="110"/>
        <v>5.6221932790597728E-2</v>
      </c>
      <c r="P607">
        <f t="shared" si="118"/>
        <v>10000</v>
      </c>
      <c r="Q607">
        <f t="shared" si="111"/>
        <v>562.21932790597725</v>
      </c>
    </row>
    <row r="608" spans="1:17" x14ac:dyDescent="0.15">
      <c r="A608" s="10">
        <v>45890.548611111008</v>
      </c>
      <c r="B608">
        <f>COUNT(A608:$A$1158)/(48*252)</f>
        <v>4.5552248677248677E-2</v>
      </c>
      <c r="C608">
        <v>2.2799999999999998</v>
      </c>
      <c r="D608">
        <v>0.106</v>
      </c>
      <c r="E608">
        <f t="shared" si="108"/>
        <v>0.41594194512143007</v>
      </c>
      <c r="F608">
        <f t="shared" si="109"/>
        <v>0.66127375737068128</v>
      </c>
      <c r="G608">
        <f t="shared" si="112"/>
        <v>2.9999999999996696E-3</v>
      </c>
      <c r="H608">
        <f>IF(MOD(COUNTA($C$7:C608)-1,$J$2),H607,ROUND(F608*P608,-2))</f>
        <v>6600</v>
      </c>
      <c r="I608">
        <f t="shared" si="113"/>
        <v>0</v>
      </c>
      <c r="J608">
        <f t="shared" si="114"/>
        <v>0</v>
      </c>
      <c r="K608">
        <f t="shared" si="115"/>
        <v>-13554.248547458068</v>
      </c>
      <c r="L608">
        <f t="shared" si="116"/>
        <v>1493.7514525419301</v>
      </c>
      <c r="M608">
        <f t="shared" si="117"/>
        <v>19.799999999997453</v>
      </c>
      <c r="N608">
        <f t="shared" si="119"/>
        <v>1493.7514525419301</v>
      </c>
      <c r="O608" s="5">
        <f t="shared" si="110"/>
        <v>5.51235525927255E-2</v>
      </c>
      <c r="P608">
        <f t="shared" si="118"/>
        <v>10000</v>
      </c>
      <c r="Q608">
        <f t="shared" si="111"/>
        <v>551.23552592725503</v>
      </c>
    </row>
    <row r="609" spans="1:17" x14ac:dyDescent="0.15">
      <c r="A609" s="10">
        <v>45890.552083333023</v>
      </c>
      <c r="B609">
        <f>COUNT(A609:$A$1158)/(48*252)</f>
        <v>4.5469576719576722E-2</v>
      </c>
      <c r="C609">
        <v>2.282</v>
      </c>
      <c r="D609">
        <v>0.108</v>
      </c>
      <c r="E609">
        <f t="shared" si="108"/>
        <v>0.42484479132975017</v>
      </c>
      <c r="F609">
        <f t="shared" si="109"/>
        <v>0.66452508846574909</v>
      </c>
      <c r="G609">
        <f t="shared" si="112"/>
        <v>2.0000000000002238E-3</v>
      </c>
      <c r="H609">
        <f>IF(MOD(COUNTA($C$7:C609)-1,$J$2),H608,ROUND(F609*P609,-2))</f>
        <v>6600</v>
      </c>
      <c r="I609">
        <f t="shared" si="113"/>
        <v>0</v>
      </c>
      <c r="J609">
        <f t="shared" si="114"/>
        <v>0</v>
      </c>
      <c r="K609">
        <f t="shared" si="115"/>
        <v>-13554.248547458068</v>
      </c>
      <c r="L609">
        <f t="shared" si="116"/>
        <v>1506.9514525419327</v>
      </c>
      <c r="M609">
        <f t="shared" si="117"/>
        <v>13.200000000002547</v>
      </c>
      <c r="N609">
        <f t="shared" si="119"/>
        <v>1506.9514525419327</v>
      </c>
      <c r="O609" s="5">
        <f t="shared" si="110"/>
        <v>5.4374592522911436E-2</v>
      </c>
      <c r="P609">
        <f t="shared" si="118"/>
        <v>10000</v>
      </c>
      <c r="Q609">
        <f t="shared" si="111"/>
        <v>543.74592522911439</v>
      </c>
    </row>
    <row r="610" spans="1:17" x14ac:dyDescent="0.15">
      <c r="A610" s="10">
        <v>45890.555555555969</v>
      </c>
      <c r="B610">
        <f>COUNT(A610:$A$1158)/(48*252)</f>
        <v>4.538690476190476E-2</v>
      </c>
      <c r="C610">
        <v>2.2799999999999998</v>
      </c>
      <c r="D610">
        <v>0.106</v>
      </c>
      <c r="E610">
        <f t="shared" si="108"/>
        <v>0.41646531206618986</v>
      </c>
      <c r="F610">
        <f t="shared" si="109"/>
        <v>0.66146522745148439</v>
      </c>
      <c r="G610">
        <f t="shared" si="112"/>
        <v>-2.0000000000002238E-3</v>
      </c>
      <c r="H610">
        <f>IF(MOD(COUNTA($C$7:C610)-1,$J$2),H609,ROUND(F610*P610,-2))</f>
        <v>6600</v>
      </c>
      <c r="I610">
        <f t="shared" si="113"/>
        <v>0</v>
      </c>
      <c r="J610">
        <f t="shared" si="114"/>
        <v>0</v>
      </c>
      <c r="K610">
        <f t="shared" si="115"/>
        <v>-13554.248547458068</v>
      </c>
      <c r="L610">
        <f t="shared" si="116"/>
        <v>1493.7514525419301</v>
      </c>
      <c r="M610">
        <f t="shared" si="117"/>
        <v>-13.200000000002547</v>
      </c>
      <c r="N610">
        <f t="shared" si="119"/>
        <v>1493.7514525419301</v>
      </c>
      <c r="O610" s="5">
        <f t="shared" si="110"/>
        <v>5.4973776543527197E-2</v>
      </c>
      <c r="P610">
        <f t="shared" si="118"/>
        <v>10000</v>
      </c>
      <c r="Q610">
        <f t="shared" si="111"/>
        <v>549.73776543527197</v>
      </c>
    </row>
    <row r="611" spans="1:17" x14ac:dyDescent="0.15">
      <c r="A611" s="10">
        <v>45890.559027777985</v>
      </c>
      <c r="B611">
        <f>COUNT(A611:$A$1158)/(48*252)</f>
        <v>4.5304232804232805E-2</v>
      </c>
      <c r="C611">
        <v>2.2789999999999999</v>
      </c>
      <c r="D611">
        <v>0.105</v>
      </c>
      <c r="E611">
        <f t="shared" si="108"/>
        <v>0.41239671701646885</v>
      </c>
      <c r="F611">
        <f t="shared" si="109"/>
        <v>0.65997566546810171</v>
      </c>
      <c r="G611">
        <f t="shared" si="112"/>
        <v>-9.9999999999988987E-4</v>
      </c>
      <c r="H611">
        <f>IF(MOD(COUNTA($C$7:C611)-1,$J$2),H610,ROUND(F611*P611,-2))</f>
        <v>6600</v>
      </c>
      <c r="I611">
        <f t="shared" si="113"/>
        <v>0</v>
      </c>
      <c r="J611">
        <f t="shared" si="114"/>
        <v>0</v>
      </c>
      <c r="K611">
        <f t="shared" si="115"/>
        <v>-13554.248547458068</v>
      </c>
      <c r="L611">
        <f t="shared" si="116"/>
        <v>1487.1514525419316</v>
      </c>
      <c r="M611">
        <f t="shared" si="117"/>
        <v>-6.5999999999985448</v>
      </c>
      <c r="N611">
        <f t="shared" si="119"/>
        <v>1487.1514525419316</v>
      </c>
      <c r="O611" s="5">
        <f t="shared" si="110"/>
        <v>5.5238026106439575E-2</v>
      </c>
      <c r="P611">
        <f t="shared" si="118"/>
        <v>10000</v>
      </c>
      <c r="Q611">
        <f t="shared" si="111"/>
        <v>552.38026106439577</v>
      </c>
    </row>
    <row r="612" spans="1:17" x14ac:dyDescent="0.15">
      <c r="A612" s="10">
        <v>45890.5625</v>
      </c>
      <c r="B612">
        <f>COUNT(A612:$A$1158)/(48*252)</f>
        <v>4.5221560846560843E-2</v>
      </c>
      <c r="C612">
        <v>2.2759999999999998</v>
      </c>
      <c r="D612">
        <v>0.105</v>
      </c>
      <c r="E612">
        <f t="shared" si="108"/>
        <v>0.39963867199599135</v>
      </c>
      <c r="F612">
        <f t="shared" si="109"/>
        <v>0.65528866568190769</v>
      </c>
      <c r="G612">
        <f t="shared" si="112"/>
        <v>-3.0000000000001137E-3</v>
      </c>
      <c r="H612">
        <f>IF(MOD(COUNTA($C$7:C612)-1,$J$2),H611,ROUND(F612*P612,-2))</f>
        <v>6600</v>
      </c>
      <c r="I612">
        <f t="shared" si="113"/>
        <v>0</v>
      </c>
      <c r="J612">
        <f t="shared" si="114"/>
        <v>0</v>
      </c>
      <c r="K612">
        <f t="shared" si="115"/>
        <v>-13554.248547458068</v>
      </c>
      <c r="L612">
        <f t="shared" si="116"/>
        <v>1467.3514525419305</v>
      </c>
      <c r="M612">
        <f t="shared" si="117"/>
        <v>-19.800000000001091</v>
      </c>
      <c r="N612">
        <f t="shared" si="119"/>
        <v>1467.3514525419305</v>
      </c>
      <c r="O612" s="5">
        <f t="shared" si="110"/>
        <v>5.6189838912784618E-2</v>
      </c>
      <c r="P612">
        <f t="shared" si="118"/>
        <v>10000</v>
      </c>
      <c r="Q612">
        <f t="shared" si="111"/>
        <v>561.89838912784614</v>
      </c>
    </row>
    <row r="613" spans="1:17" x14ac:dyDescent="0.15">
      <c r="A613" s="10">
        <v>45890.565972222015</v>
      </c>
      <c r="B613">
        <f>COUNT(A613:$A$1158)/(48*252)</f>
        <v>4.5138888888888888E-2</v>
      </c>
      <c r="C613">
        <v>2.2749999999999999</v>
      </c>
      <c r="D613">
        <v>0.104</v>
      </c>
      <c r="E613">
        <f t="shared" si="108"/>
        <v>0.39554029768022647</v>
      </c>
      <c r="F613">
        <f t="shared" si="109"/>
        <v>0.65377790609041264</v>
      </c>
      <c r="G613">
        <f t="shared" si="112"/>
        <v>-9.9999999999988987E-4</v>
      </c>
      <c r="H613">
        <f>IF(MOD(COUNTA($C$7:C613)-1,$J$2),H612,ROUND(F613*P613,-2))</f>
        <v>6500</v>
      </c>
      <c r="I613">
        <f t="shared" si="113"/>
        <v>-100</v>
      </c>
      <c r="J613">
        <f t="shared" si="114"/>
        <v>0</v>
      </c>
      <c r="K613">
        <f t="shared" si="115"/>
        <v>-13326.758784958069</v>
      </c>
      <c r="L613">
        <f t="shared" si="116"/>
        <v>1460.7412150419314</v>
      </c>
      <c r="M613">
        <f t="shared" si="117"/>
        <v>-6.6102374999991298</v>
      </c>
      <c r="N613">
        <f t="shared" si="119"/>
        <v>1460.7412150419314</v>
      </c>
      <c r="O613" s="5">
        <f t="shared" si="110"/>
        <v>5.645977586880635E-2</v>
      </c>
      <c r="P613">
        <f t="shared" si="118"/>
        <v>10000</v>
      </c>
      <c r="Q613">
        <f t="shared" si="111"/>
        <v>564.59775868806355</v>
      </c>
    </row>
    <row r="614" spans="1:17" x14ac:dyDescent="0.15">
      <c r="A614" s="10">
        <v>45890.569444444962</v>
      </c>
      <c r="B614">
        <f>COUNT(A614:$A$1158)/(48*252)</f>
        <v>4.5056216931216933E-2</v>
      </c>
      <c r="C614">
        <v>2.2770000000000001</v>
      </c>
      <c r="D614">
        <v>0.105</v>
      </c>
      <c r="E614">
        <f t="shared" si="108"/>
        <v>0.4044859879917006</v>
      </c>
      <c r="F614">
        <f t="shared" si="109"/>
        <v>0.65707231016988077</v>
      </c>
      <c r="G614">
        <f t="shared" si="112"/>
        <v>2.0000000000002238E-3</v>
      </c>
      <c r="H614">
        <f>IF(MOD(COUNTA($C$7:C614)-1,$J$2),H613,ROUND(F614*P614,-2))</f>
        <v>6500</v>
      </c>
      <c r="I614">
        <f t="shared" si="113"/>
        <v>0</v>
      </c>
      <c r="J614">
        <f t="shared" si="114"/>
        <v>0</v>
      </c>
      <c r="K614">
        <f t="shared" si="115"/>
        <v>-13326.758784958069</v>
      </c>
      <c r="L614">
        <f t="shared" si="116"/>
        <v>1473.7412150419314</v>
      </c>
      <c r="M614">
        <f t="shared" si="117"/>
        <v>13</v>
      </c>
      <c r="N614">
        <f t="shared" si="119"/>
        <v>1473.7412150419314</v>
      </c>
      <c r="O614" s="5">
        <f t="shared" si="110"/>
        <v>5.5695080047408863E-2</v>
      </c>
      <c r="P614">
        <f t="shared" si="118"/>
        <v>10000</v>
      </c>
      <c r="Q614">
        <f t="shared" si="111"/>
        <v>556.95080047408862</v>
      </c>
    </row>
    <row r="615" spans="1:17" x14ac:dyDescent="0.15">
      <c r="A615" s="10">
        <v>45890.572916666977</v>
      </c>
      <c r="B615">
        <f>COUNT(A615:$A$1158)/(48*252)</f>
        <v>4.4973544973544971E-2</v>
      </c>
      <c r="C615">
        <v>2.2789999999999999</v>
      </c>
      <c r="D615">
        <v>0.106</v>
      </c>
      <c r="E615">
        <f t="shared" si="108"/>
        <v>0.41344080279386419</v>
      </c>
      <c r="F615">
        <f t="shared" si="109"/>
        <v>0.66035815734084125</v>
      </c>
      <c r="G615">
        <f t="shared" si="112"/>
        <v>1.9999999999997797E-3</v>
      </c>
      <c r="H615">
        <f>IF(MOD(COUNTA($C$7:C615)-1,$J$2),H614,ROUND(F615*P615,-2))</f>
        <v>6500</v>
      </c>
      <c r="I615">
        <f t="shared" si="113"/>
        <v>0</v>
      </c>
      <c r="J615">
        <f t="shared" si="114"/>
        <v>0</v>
      </c>
      <c r="K615">
        <f t="shared" si="115"/>
        <v>-13326.758784958069</v>
      </c>
      <c r="L615">
        <f t="shared" si="116"/>
        <v>1486.7412150419314</v>
      </c>
      <c r="M615">
        <f t="shared" si="117"/>
        <v>13</v>
      </c>
      <c r="N615">
        <f t="shared" si="119"/>
        <v>1486.7412150419314</v>
      </c>
      <c r="O615" s="5">
        <f t="shared" si="110"/>
        <v>5.4937087256468398E-2</v>
      </c>
      <c r="P615">
        <f t="shared" si="118"/>
        <v>10000</v>
      </c>
      <c r="Q615">
        <f t="shared" si="111"/>
        <v>549.37087256468396</v>
      </c>
    </row>
    <row r="616" spans="1:17" x14ac:dyDescent="0.15">
      <c r="A616" s="10">
        <v>45890.576388888992</v>
      </c>
      <c r="B616">
        <f>COUNT(A616:$A$1158)/(48*252)</f>
        <v>4.4890873015873016E-2</v>
      </c>
      <c r="C616">
        <v>2.2789999999999999</v>
      </c>
      <c r="D616">
        <v>0.106</v>
      </c>
      <c r="E616">
        <f t="shared" si="108"/>
        <v>0.41370389480980269</v>
      </c>
      <c r="F616">
        <f t="shared" si="109"/>
        <v>0.66045451282014922</v>
      </c>
      <c r="G616">
        <f t="shared" si="112"/>
        <v>0</v>
      </c>
      <c r="H616">
        <f>IF(MOD(COUNTA($C$7:C616)-1,$J$2),H615,ROUND(F616*P616,-2))</f>
        <v>6500</v>
      </c>
      <c r="I616">
        <f t="shared" si="113"/>
        <v>0</v>
      </c>
      <c r="J616">
        <f t="shared" si="114"/>
        <v>0</v>
      </c>
      <c r="K616">
        <f t="shared" si="115"/>
        <v>-13326.758784958069</v>
      </c>
      <c r="L616">
        <f t="shared" si="116"/>
        <v>1486.7412150419314</v>
      </c>
      <c r="M616">
        <f t="shared" si="117"/>
        <v>0</v>
      </c>
      <c r="N616">
        <f t="shared" si="119"/>
        <v>1486.7412150419314</v>
      </c>
      <c r="O616" s="5">
        <f t="shared" si="110"/>
        <v>5.4861694224347057E-2</v>
      </c>
      <c r="P616">
        <f t="shared" si="118"/>
        <v>10000</v>
      </c>
      <c r="Q616">
        <f t="shared" si="111"/>
        <v>548.61694224347059</v>
      </c>
    </row>
    <row r="617" spans="1:17" x14ac:dyDescent="0.15">
      <c r="A617" s="10">
        <v>45890.579861111008</v>
      </c>
      <c r="B617">
        <f>COUNT(A617:$A$1158)/(48*252)</f>
        <v>4.4808201058201061E-2</v>
      </c>
      <c r="C617">
        <v>2.282</v>
      </c>
      <c r="D617">
        <v>0.109</v>
      </c>
      <c r="E617">
        <f t="shared" si="108"/>
        <v>0.42702835850082188</v>
      </c>
      <c r="F617">
        <f t="shared" si="109"/>
        <v>0.66532066373072896</v>
      </c>
      <c r="G617">
        <f t="shared" si="112"/>
        <v>3.0000000000001137E-3</v>
      </c>
      <c r="H617">
        <f>IF(MOD(COUNTA($C$7:C617)-1,$J$2),H616,ROUND(F617*P617,-2))</f>
        <v>6500</v>
      </c>
      <c r="I617">
        <f t="shared" si="113"/>
        <v>0</v>
      </c>
      <c r="J617">
        <f t="shared" si="114"/>
        <v>0</v>
      </c>
      <c r="K617">
        <f t="shared" si="115"/>
        <v>-13326.758784958069</v>
      </c>
      <c r="L617">
        <f t="shared" si="116"/>
        <v>1506.2412150419314</v>
      </c>
      <c r="M617">
        <f t="shared" si="117"/>
        <v>19.5</v>
      </c>
      <c r="N617">
        <f t="shared" si="119"/>
        <v>1506.2412150419314</v>
      </c>
      <c r="O617" s="5">
        <f t="shared" si="110"/>
        <v>5.377505342017519E-2</v>
      </c>
      <c r="P617">
        <f t="shared" si="118"/>
        <v>10000</v>
      </c>
      <c r="Q617">
        <f t="shared" si="111"/>
        <v>537.75053420175186</v>
      </c>
    </row>
    <row r="618" spans="1:17" x14ac:dyDescent="0.15">
      <c r="A618" s="10">
        <v>45890.583333333023</v>
      </c>
      <c r="B618">
        <f>COUNT(A618:$A$1158)/(48*252)</f>
        <v>4.4725529100529099E-2</v>
      </c>
      <c r="C618">
        <v>2.2789999999999999</v>
      </c>
      <c r="D618">
        <v>0.106</v>
      </c>
      <c r="E618">
        <f t="shared" si="108"/>
        <v>0.41423259099105608</v>
      </c>
      <c r="F618">
        <f t="shared" si="109"/>
        <v>0.66064811211729602</v>
      </c>
      <c r="G618">
        <f t="shared" si="112"/>
        <v>-3.0000000000001137E-3</v>
      </c>
      <c r="H618">
        <f>IF(MOD(COUNTA($C$7:C618)-1,$J$2),H617,ROUND(F618*P618,-2))</f>
        <v>6500</v>
      </c>
      <c r="I618">
        <f t="shared" si="113"/>
        <v>0</v>
      </c>
      <c r="J618">
        <f t="shared" si="114"/>
        <v>0</v>
      </c>
      <c r="K618">
        <f t="shared" si="115"/>
        <v>-13326.758784958069</v>
      </c>
      <c r="L618">
        <f t="shared" si="116"/>
        <v>1486.7412150419314</v>
      </c>
      <c r="M618">
        <f t="shared" si="117"/>
        <v>-19.5</v>
      </c>
      <c r="N618">
        <f t="shared" si="119"/>
        <v>1486.7412150419314</v>
      </c>
      <c r="O618" s="5">
        <f t="shared" si="110"/>
        <v>5.4710717116006502E-2</v>
      </c>
      <c r="P618">
        <f t="shared" si="118"/>
        <v>10000</v>
      </c>
      <c r="Q618">
        <f t="shared" si="111"/>
        <v>547.10717116006504</v>
      </c>
    </row>
    <row r="619" spans="1:17" x14ac:dyDescent="0.15">
      <c r="A619" s="10">
        <v>45890.586805555969</v>
      </c>
      <c r="B619">
        <f>COUNT(A619:$A$1158)/(48*252)</f>
        <v>4.4642857142857144E-2</v>
      </c>
      <c r="C619">
        <v>2.278</v>
      </c>
      <c r="D619">
        <v>0.105</v>
      </c>
      <c r="E619">
        <f t="shared" si="108"/>
        <v>0.41013280873227514</v>
      </c>
      <c r="F619">
        <f t="shared" si="109"/>
        <v>0.65914573670895094</v>
      </c>
      <c r="G619">
        <f t="shared" si="112"/>
        <v>-9.9999999999988987E-4</v>
      </c>
      <c r="H619">
        <f>IF(MOD(COUNTA($C$7:C619)-1,$J$2),H618,ROUND(F619*P619,-2))</f>
        <v>6600</v>
      </c>
      <c r="I619">
        <f t="shared" si="113"/>
        <v>100</v>
      </c>
      <c r="J619">
        <f t="shared" si="114"/>
        <v>0</v>
      </c>
      <c r="K619">
        <f t="shared" si="115"/>
        <v>-13554.569035958068</v>
      </c>
      <c r="L619">
        <f t="shared" si="116"/>
        <v>1480.2309640419317</v>
      </c>
      <c r="M619">
        <f t="shared" si="117"/>
        <v>-6.5102509999996983</v>
      </c>
      <c r="N619">
        <f t="shared" si="119"/>
        <v>1480.2309640419317</v>
      </c>
      <c r="O619" s="5">
        <f t="shared" si="110"/>
        <v>5.4975186888280514E-2</v>
      </c>
      <c r="P619">
        <f t="shared" si="118"/>
        <v>10000</v>
      </c>
      <c r="Q619">
        <f t="shared" si="111"/>
        <v>549.75186888280518</v>
      </c>
    </row>
    <row r="620" spans="1:17" x14ac:dyDescent="0.15">
      <c r="A620" s="10">
        <v>45890.590277777985</v>
      </c>
      <c r="B620">
        <f>COUNT(A620:$A$1158)/(48*252)</f>
        <v>4.4560185185185182E-2</v>
      </c>
      <c r="C620">
        <v>2.2789999999999999</v>
      </c>
      <c r="D620">
        <v>0.105</v>
      </c>
      <c r="E620">
        <f t="shared" si="108"/>
        <v>0.41476466324644079</v>
      </c>
      <c r="F620">
        <f t="shared" si="109"/>
        <v>0.66084290487250463</v>
      </c>
      <c r="G620">
        <f t="shared" si="112"/>
        <v>9.9999999999988987E-4</v>
      </c>
      <c r="H620">
        <f>IF(MOD(COUNTA($C$7:C620)-1,$J$2),H619,ROUND(F620*P620,-2))</f>
        <v>6600</v>
      </c>
      <c r="I620">
        <f t="shared" si="113"/>
        <v>0</v>
      </c>
      <c r="J620">
        <f t="shared" si="114"/>
        <v>0</v>
      </c>
      <c r="K620">
        <f t="shared" si="115"/>
        <v>-13554.569035958068</v>
      </c>
      <c r="L620">
        <f t="shared" si="116"/>
        <v>1486.830964041932</v>
      </c>
      <c r="M620">
        <f t="shared" si="117"/>
        <v>6.6000000000003638</v>
      </c>
      <c r="N620">
        <f t="shared" si="119"/>
        <v>1486.830964041932</v>
      </c>
      <c r="O620" s="5">
        <f t="shared" si="110"/>
        <v>5.4559484263201674E-2</v>
      </c>
      <c r="P620">
        <f t="shared" si="118"/>
        <v>10000</v>
      </c>
      <c r="Q620">
        <f t="shared" si="111"/>
        <v>545.59484263201671</v>
      </c>
    </row>
    <row r="621" spans="1:17" x14ac:dyDescent="0.15">
      <c r="A621" s="10">
        <v>45890.59375</v>
      </c>
      <c r="B621">
        <f>COUNT(A621:$A$1158)/(48*252)</f>
        <v>4.4477513227513227E-2</v>
      </c>
      <c r="C621">
        <v>2.2770000000000001</v>
      </c>
      <c r="D621">
        <v>0.104</v>
      </c>
      <c r="E621">
        <f t="shared" si="108"/>
        <v>0.4062830532203775</v>
      </c>
      <c r="F621">
        <f t="shared" si="109"/>
        <v>0.65773268211820701</v>
      </c>
      <c r="G621">
        <f t="shared" si="112"/>
        <v>-1.9999999999997797E-3</v>
      </c>
      <c r="H621">
        <f>IF(MOD(COUNTA($C$7:C621)-1,$J$2),H620,ROUND(F621*P621,-2))</f>
        <v>6600</v>
      </c>
      <c r="I621">
        <f t="shared" si="113"/>
        <v>0</v>
      </c>
      <c r="J621">
        <f t="shared" si="114"/>
        <v>0</v>
      </c>
      <c r="K621">
        <f t="shared" si="115"/>
        <v>-13554.569035958068</v>
      </c>
      <c r="L621">
        <f t="shared" si="116"/>
        <v>1473.6309640419331</v>
      </c>
      <c r="M621">
        <f t="shared" si="117"/>
        <v>-13.199999999998909</v>
      </c>
      <c r="N621">
        <f t="shared" si="119"/>
        <v>1473.6309640419331</v>
      </c>
      <c r="O621" s="5">
        <f t="shared" si="110"/>
        <v>5.516509572349082E-2</v>
      </c>
      <c r="P621">
        <f t="shared" si="118"/>
        <v>10000</v>
      </c>
      <c r="Q621">
        <f t="shared" si="111"/>
        <v>551.65095723490822</v>
      </c>
    </row>
    <row r="622" spans="1:17" x14ac:dyDescent="0.15">
      <c r="A622" s="10">
        <v>45890.597222222015</v>
      </c>
      <c r="B622">
        <f>COUNT(A622:$A$1158)/(48*252)</f>
        <v>4.4394841269841272E-2</v>
      </c>
      <c r="C622">
        <v>2.2770000000000001</v>
      </c>
      <c r="D622">
        <v>0.104</v>
      </c>
      <c r="E622">
        <f t="shared" si="108"/>
        <v>0.40654307923882926</v>
      </c>
      <c r="F622">
        <f t="shared" si="109"/>
        <v>0.65782819464134445</v>
      </c>
      <c r="G622">
        <f t="shared" si="112"/>
        <v>0</v>
      </c>
      <c r="H622">
        <f>IF(MOD(COUNTA($C$7:C622)-1,$J$2),H621,ROUND(F622*P622,-2))</f>
        <v>6600</v>
      </c>
      <c r="I622">
        <f t="shared" si="113"/>
        <v>0</v>
      </c>
      <c r="J622">
        <f t="shared" si="114"/>
        <v>0</v>
      </c>
      <c r="K622">
        <f t="shared" si="115"/>
        <v>-13554.569035958068</v>
      </c>
      <c r="L622">
        <f t="shared" si="116"/>
        <v>1473.6309640419331</v>
      </c>
      <c r="M622">
        <f t="shared" si="117"/>
        <v>0</v>
      </c>
      <c r="N622">
        <f t="shared" si="119"/>
        <v>1473.6309640419331</v>
      </c>
      <c r="O622" s="5">
        <f t="shared" si="110"/>
        <v>5.5089124942604761E-2</v>
      </c>
      <c r="P622">
        <f t="shared" si="118"/>
        <v>10000</v>
      </c>
      <c r="Q622">
        <f t="shared" si="111"/>
        <v>550.89124942604758</v>
      </c>
    </row>
    <row r="623" spans="1:17" x14ac:dyDescent="0.15">
      <c r="A623" s="10">
        <v>45890.600694444962</v>
      </c>
      <c r="B623">
        <f>COUNT(A623:$A$1158)/(48*252)</f>
        <v>4.431216931216931E-2</v>
      </c>
      <c r="C623">
        <v>2.278</v>
      </c>
      <c r="D623">
        <v>0.10299999999999999</v>
      </c>
      <c r="E623">
        <f t="shared" si="108"/>
        <v>0.4111875194771944</v>
      </c>
      <c r="F623">
        <f t="shared" si="109"/>
        <v>0.65953248047710589</v>
      </c>
      <c r="G623">
        <f t="shared" si="112"/>
        <v>9.9999999999988987E-4</v>
      </c>
      <c r="H623">
        <f>IF(MOD(COUNTA($C$7:C623)-1,$J$2),H622,ROUND(F623*P623,-2))</f>
        <v>6600</v>
      </c>
      <c r="I623">
        <f t="shared" si="113"/>
        <v>0</v>
      </c>
      <c r="J623">
        <f t="shared" si="114"/>
        <v>0</v>
      </c>
      <c r="K623">
        <f t="shared" si="115"/>
        <v>-13554.569035958068</v>
      </c>
      <c r="L623">
        <f t="shared" si="116"/>
        <v>1480.2309640419317</v>
      </c>
      <c r="M623">
        <f t="shared" si="117"/>
        <v>6.5999999999985448</v>
      </c>
      <c r="N623">
        <f t="shared" si="119"/>
        <v>1480.2309640419317</v>
      </c>
      <c r="O623" s="5">
        <f t="shared" si="110"/>
        <v>5.4671817548060386E-2</v>
      </c>
      <c r="P623">
        <f t="shared" si="118"/>
        <v>10000</v>
      </c>
      <c r="Q623">
        <f t="shared" si="111"/>
        <v>546.71817548060392</v>
      </c>
    </row>
    <row r="624" spans="1:17" x14ac:dyDescent="0.15">
      <c r="A624" s="10">
        <v>45890.604166666977</v>
      </c>
      <c r="B624">
        <f>COUNT(A624:$A$1158)/(48*252)</f>
        <v>4.4229497354497355E-2</v>
      </c>
      <c r="C624">
        <v>2.2799999999999998</v>
      </c>
      <c r="D624">
        <v>0.106</v>
      </c>
      <c r="E624">
        <f t="shared" si="108"/>
        <v>0.42022288725066836</v>
      </c>
      <c r="F624">
        <f t="shared" si="109"/>
        <v>0.66283868173345317</v>
      </c>
      <c r="G624">
        <f t="shared" si="112"/>
        <v>1.9999999999997797E-3</v>
      </c>
      <c r="H624">
        <f>IF(MOD(COUNTA($C$7:C624)-1,$J$2),H623,ROUND(F624*P624,-2))</f>
        <v>6600</v>
      </c>
      <c r="I624">
        <f t="shared" si="113"/>
        <v>0</v>
      </c>
      <c r="J624">
        <f t="shared" si="114"/>
        <v>0</v>
      </c>
      <c r="K624">
        <f t="shared" si="115"/>
        <v>-13554.569035958068</v>
      </c>
      <c r="L624">
        <f t="shared" si="116"/>
        <v>1493.4309640419306</v>
      </c>
      <c r="M624">
        <f t="shared" si="117"/>
        <v>13.199999999998909</v>
      </c>
      <c r="N624">
        <f t="shared" si="119"/>
        <v>1493.4309640419306</v>
      </c>
      <c r="O624" s="5">
        <f t="shared" si="110"/>
        <v>5.3918284090884949E-2</v>
      </c>
      <c r="P624">
        <f t="shared" si="118"/>
        <v>10000</v>
      </c>
      <c r="Q624">
        <f t="shared" si="111"/>
        <v>539.18284090884947</v>
      </c>
    </row>
    <row r="625" spans="1:17" x14ac:dyDescent="0.15">
      <c r="A625" s="10">
        <v>45890.607638888992</v>
      </c>
      <c r="B625">
        <f>COUNT(A625:$A$1158)/(48*252)</f>
        <v>4.41468253968254E-2</v>
      </c>
      <c r="C625">
        <v>2.2810000000000001</v>
      </c>
      <c r="D625">
        <v>0.106</v>
      </c>
      <c r="E625">
        <f t="shared" si="108"/>
        <v>0.42488375209581564</v>
      </c>
      <c r="F625">
        <f t="shared" si="109"/>
        <v>0.66453929016727942</v>
      </c>
      <c r="G625">
        <f t="shared" si="112"/>
        <v>1.000000000000334E-3</v>
      </c>
      <c r="H625">
        <f>IF(MOD(COUNTA($C$7:C625)-1,$J$2),H624,ROUND(F625*P625,-2))</f>
        <v>6600</v>
      </c>
      <c r="I625">
        <f t="shared" si="113"/>
        <v>0</v>
      </c>
      <c r="J625">
        <f t="shared" si="114"/>
        <v>0</v>
      </c>
      <c r="K625">
        <f t="shared" si="115"/>
        <v>-13554.569035958068</v>
      </c>
      <c r="L625">
        <f t="shared" si="116"/>
        <v>1500.0309640419327</v>
      </c>
      <c r="M625">
        <f t="shared" si="117"/>
        <v>6.6000000000021828</v>
      </c>
      <c r="N625">
        <f t="shared" si="119"/>
        <v>1500.0309640419327</v>
      </c>
      <c r="O625" s="5">
        <f t="shared" si="110"/>
        <v>5.3506152053960809E-2</v>
      </c>
      <c r="P625">
        <f t="shared" si="118"/>
        <v>10000</v>
      </c>
      <c r="Q625">
        <f t="shared" si="111"/>
        <v>535.06152053960807</v>
      </c>
    </row>
    <row r="626" spans="1:17" x14ac:dyDescent="0.15">
      <c r="A626" s="10">
        <v>45890.611111111008</v>
      </c>
      <c r="B626">
        <f>COUNT(A626:$A$1158)/(48*252)</f>
        <v>4.4064153439153438E-2</v>
      </c>
      <c r="C626">
        <v>2.2810000000000001</v>
      </c>
      <c r="D626">
        <v>0.105</v>
      </c>
      <c r="E626">
        <f t="shared" si="108"/>
        <v>0.42516361301798283</v>
      </c>
      <c r="F626">
        <f t="shared" si="109"/>
        <v>0.66464129617104284</v>
      </c>
      <c r="G626">
        <f t="shared" si="112"/>
        <v>0</v>
      </c>
      <c r="H626">
        <f>IF(MOD(COUNTA($C$7:C626)-1,$J$2),H625,ROUND(F626*P626,-2))</f>
        <v>6600</v>
      </c>
      <c r="I626">
        <f t="shared" si="113"/>
        <v>0</v>
      </c>
      <c r="J626">
        <f t="shared" si="114"/>
        <v>0</v>
      </c>
      <c r="K626">
        <f t="shared" si="115"/>
        <v>-13554.569035958068</v>
      </c>
      <c r="L626">
        <f t="shared" si="116"/>
        <v>1500.0309640419327</v>
      </c>
      <c r="M626">
        <f t="shared" si="117"/>
        <v>0</v>
      </c>
      <c r="N626">
        <f t="shared" si="119"/>
        <v>1500.0309640419327</v>
      </c>
      <c r="O626" s="5">
        <f t="shared" si="110"/>
        <v>5.3430317170288899E-2</v>
      </c>
      <c r="P626">
        <f t="shared" si="118"/>
        <v>10000</v>
      </c>
      <c r="Q626">
        <f t="shared" si="111"/>
        <v>534.30317170288902</v>
      </c>
    </row>
    <row r="627" spans="1:17" x14ac:dyDescent="0.15">
      <c r="A627" s="10">
        <v>45890.614583333023</v>
      </c>
      <c r="B627">
        <f>COUNT(A627:$A$1158)/(48*252)</f>
        <v>4.3981481481481483E-2</v>
      </c>
      <c r="C627">
        <v>2.2749999999999999</v>
      </c>
      <c r="D627">
        <v>0.10299999999999999</v>
      </c>
      <c r="E627">
        <f t="shared" si="108"/>
        <v>0.39905000063386442</v>
      </c>
      <c r="F627">
        <f t="shared" si="109"/>
        <v>0.65507181878201626</v>
      </c>
      <c r="G627">
        <f t="shared" si="112"/>
        <v>-6.0000000000002274E-3</v>
      </c>
      <c r="H627">
        <f>IF(MOD(COUNTA($C$7:C627)-1,$J$2),H626,ROUND(F627*P627,-2))</f>
        <v>6600</v>
      </c>
      <c r="I627">
        <f t="shared" si="113"/>
        <v>0</v>
      </c>
      <c r="J627">
        <f t="shared" si="114"/>
        <v>0</v>
      </c>
      <c r="K627">
        <f t="shared" si="115"/>
        <v>-13554.569035958068</v>
      </c>
      <c r="L627">
        <f t="shared" si="116"/>
        <v>1460.4309640419324</v>
      </c>
      <c r="M627">
        <f t="shared" si="117"/>
        <v>-39.600000000000364</v>
      </c>
      <c r="N627">
        <f t="shared" si="119"/>
        <v>1460.4309640419324</v>
      </c>
      <c r="O627" s="5">
        <f t="shared" si="110"/>
        <v>5.5394906064090366E-2</v>
      </c>
      <c r="P627">
        <f t="shared" si="118"/>
        <v>10000</v>
      </c>
      <c r="Q627">
        <f t="shared" si="111"/>
        <v>553.94906064090367</v>
      </c>
    </row>
    <row r="628" spans="1:17" x14ac:dyDescent="0.15">
      <c r="A628" s="10">
        <v>45890.618055555969</v>
      </c>
      <c r="B628">
        <f>COUNT(A628:$A$1158)/(48*252)</f>
        <v>4.3898809523809521E-2</v>
      </c>
      <c r="C628">
        <v>2.2789999999999999</v>
      </c>
      <c r="D628">
        <v>0.104</v>
      </c>
      <c r="E628">
        <f t="shared" si="108"/>
        <v>0.41692736377490003</v>
      </c>
      <c r="F628">
        <f t="shared" si="109"/>
        <v>0.66163423110765929</v>
      </c>
      <c r="G628">
        <f t="shared" si="112"/>
        <v>4.0000000000000036E-3</v>
      </c>
      <c r="H628">
        <f>IF(MOD(COUNTA($C$7:C628)-1,$J$2),H627,ROUND(F628*P628,-2))</f>
        <v>6600</v>
      </c>
      <c r="I628">
        <f t="shared" si="113"/>
        <v>0</v>
      </c>
      <c r="J628">
        <f t="shared" si="114"/>
        <v>0</v>
      </c>
      <c r="K628">
        <f t="shared" si="115"/>
        <v>-13554.569035958068</v>
      </c>
      <c r="L628">
        <f t="shared" si="116"/>
        <v>1486.830964041932</v>
      </c>
      <c r="M628">
        <f t="shared" si="117"/>
        <v>26.399999999999636</v>
      </c>
      <c r="N628">
        <f t="shared" si="119"/>
        <v>1486.830964041932</v>
      </c>
      <c r="O628" s="5">
        <f t="shared" si="110"/>
        <v>5.3951970635041646E-2</v>
      </c>
      <c r="P628">
        <f t="shared" si="118"/>
        <v>10000</v>
      </c>
      <c r="Q628">
        <f t="shared" si="111"/>
        <v>539.51970635041641</v>
      </c>
    </row>
    <row r="629" spans="1:17" x14ac:dyDescent="0.15">
      <c r="A629" s="10">
        <v>45890.621527777985</v>
      </c>
      <c r="B629">
        <f>COUNT(A629:$A$1158)/(48*252)</f>
        <v>4.3816137566137565E-2</v>
      </c>
      <c r="C629">
        <v>2.2789999999999999</v>
      </c>
      <c r="D629">
        <v>0.104</v>
      </c>
      <c r="E629">
        <f t="shared" si="108"/>
        <v>0.41720164119926173</v>
      </c>
      <c r="F629">
        <f t="shared" si="109"/>
        <v>0.6617345375733511</v>
      </c>
      <c r="G629">
        <f t="shared" si="112"/>
        <v>0</v>
      </c>
      <c r="H629">
        <f>IF(MOD(COUNTA($C$7:C629)-1,$J$2),H628,ROUND(F629*P629,-2))</f>
        <v>6600</v>
      </c>
      <c r="I629">
        <f t="shared" si="113"/>
        <v>0</v>
      </c>
      <c r="J629">
        <f t="shared" si="114"/>
        <v>0</v>
      </c>
      <c r="K629">
        <f t="shared" si="115"/>
        <v>-13554.569035958068</v>
      </c>
      <c r="L629">
        <f t="shared" si="116"/>
        <v>1486.830964041932</v>
      </c>
      <c r="M629">
        <f t="shared" si="117"/>
        <v>0</v>
      </c>
      <c r="N629">
        <f t="shared" si="119"/>
        <v>1486.830964041932</v>
      </c>
      <c r="O629" s="5">
        <f t="shared" si="110"/>
        <v>5.3875738344354995E-2</v>
      </c>
      <c r="P629">
        <f t="shared" si="118"/>
        <v>10000</v>
      </c>
      <c r="Q629">
        <f t="shared" si="111"/>
        <v>538.75738344355</v>
      </c>
    </row>
    <row r="630" spans="1:17" x14ac:dyDescent="0.15">
      <c r="A630" s="10">
        <v>45890.625</v>
      </c>
      <c r="B630">
        <f>COUNT(A630:$A$1158)/(48*252)</f>
        <v>4.373346560846561E-2</v>
      </c>
      <c r="C630">
        <v>2.2789999999999999</v>
      </c>
      <c r="D630">
        <v>0.104</v>
      </c>
      <c r="E630">
        <f t="shared" si="108"/>
        <v>0.41747680827650807</v>
      </c>
      <c r="F630">
        <f t="shared" si="109"/>
        <v>0.66183515786229974</v>
      </c>
      <c r="G630">
        <f t="shared" si="112"/>
        <v>0</v>
      </c>
      <c r="H630">
        <f>IF(MOD(COUNTA($C$7:C630)-1,$J$2),H629,ROUND(F630*P630,-2))</f>
        <v>6600</v>
      </c>
      <c r="I630">
        <f t="shared" si="113"/>
        <v>0</v>
      </c>
      <c r="J630">
        <f t="shared" si="114"/>
        <v>0</v>
      </c>
      <c r="K630">
        <f t="shared" si="115"/>
        <v>-13554.569035958068</v>
      </c>
      <c r="L630">
        <f t="shared" si="116"/>
        <v>1486.830964041932</v>
      </c>
      <c r="M630">
        <f t="shared" si="117"/>
        <v>0</v>
      </c>
      <c r="N630">
        <f t="shared" si="119"/>
        <v>1486.830964041932</v>
      </c>
      <c r="O630" s="5">
        <f t="shared" si="110"/>
        <v>5.37994403941362E-2</v>
      </c>
      <c r="P630">
        <f t="shared" si="118"/>
        <v>10000</v>
      </c>
      <c r="Q630">
        <f t="shared" si="111"/>
        <v>537.99440394136195</v>
      </c>
    </row>
    <row r="631" spans="1:17" x14ac:dyDescent="0.15">
      <c r="A631" s="10">
        <v>45891.399305555969</v>
      </c>
      <c r="B631">
        <f>COUNT(A631:$A$1158)/(48*252)</f>
        <v>4.3650793650793648E-2</v>
      </c>
      <c r="C631">
        <v>2.274</v>
      </c>
      <c r="D631">
        <v>0.1</v>
      </c>
      <c r="E631">
        <f t="shared" si="108"/>
        <v>0.3956598560627777</v>
      </c>
      <c r="F631">
        <f t="shared" si="109"/>
        <v>0.65382201300505893</v>
      </c>
      <c r="G631">
        <f t="shared" si="112"/>
        <v>-4.9999999999998934E-3</v>
      </c>
      <c r="H631">
        <f>IF(MOD(COUNTA($C$7:C631)-1,$J$2),H630,ROUND(F631*P631,-2))</f>
        <v>6500</v>
      </c>
      <c r="I631">
        <f t="shared" si="113"/>
        <v>-100</v>
      </c>
      <c r="J631">
        <f t="shared" si="114"/>
        <v>0</v>
      </c>
      <c r="K631">
        <f t="shared" si="115"/>
        <v>-13327.179268958069</v>
      </c>
      <c r="L631">
        <f t="shared" si="116"/>
        <v>1453.8207310419311</v>
      </c>
      <c r="M631">
        <f t="shared" si="117"/>
        <v>-33.010233000000881</v>
      </c>
      <c r="N631">
        <f t="shared" si="119"/>
        <v>1453.8207310419311</v>
      </c>
      <c r="O631" s="5">
        <f t="shared" si="110"/>
        <v>5.5433643554391065E-2</v>
      </c>
      <c r="P631">
        <f t="shared" si="118"/>
        <v>10000</v>
      </c>
      <c r="Q631">
        <f t="shared" si="111"/>
        <v>554.33643554391062</v>
      </c>
    </row>
    <row r="632" spans="1:17" x14ac:dyDescent="0.15">
      <c r="A632" s="10">
        <v>45891.402777777985</v>
      </c>
      <c r="B632">
        <f>COUNT(A632:$A$1158)/(48*252)</f>
        <v>4.3568121693121693E-2</v>
      </c>
      <c r="C632">
        <v>2.2789999999999999</v>
      </c>
      <c r="D632">
        <v>0.10299999999999999</v>
      </c>
      <c r="E632">
        <f t="shared" si="108"/>
        <v>0.41802982868529442</v>
      </c>
      <c r="F632">
        <f t="shared" si="109"/>
        <v>0.66203734575867923</v>
      </c>
      <c r="G632">
        <f t="shared" si="112"/>
        <v>4.9999999999998934E-3</v>
      </c>
      <c r="H632">
        <f>IF(MOD(COUNTA($C$7:C632)-1,$J$2),H631,ROUND(F632*P632,-2))</f>
        <v>6500</v>
      </c>
      <c r="I632">
        <f t="shared" si="113"/>
        <v>0</v>
      </c>
      <c r="J632">
        <f t="shared" si="114"/>
        <v>0</v>
      </c>
      <c r="K632">
        <f t="shared" si="115"/>
        <v>-13327.179268958069</v>
      </c>
      <c r="L632">
        <f t="shared" si="116"/>
        <v>1486.3207310419311</v>
      </c>
      <c r="M632">
        <f t="shared" si="117"/>
        <v>32.5</v>
      </c>
      <c r="N632">
        <f t="shared" si="119"/>
        <v>1486.3207310419311</v>
      </c>
      <c r="O632" s="5">
        <f t="shared" si="110"/>
        <v>5.3646646872602233E-2</v>
      </c>
      <c r="P632">
        <f t="shared" si="118"/>
        <v>10000</v>
      </c>
      <c r="Q632">
        <f t="shared" si="111"/>
        <v>536.4664687260223</v>
      </c>
    </row>
    <row r="633" spans="1:17" x14ac:dyDescent="0.15">
      <c r="A633" s="10">
        <v>45891.40625</v>
      </c>
      <c r="B633">
        <f>COUNT(A633:$A$1158)/(48*252)</f>
        <v>4.3485449735449738E-2</v>
      </c>
      <c r="C633">
        <v>2.2799999999999998</v>
      </c>
      <c r="D633">
        <v>0.10299999999999999</v>
      </c>
      <c r="E633">
        <f t="shared" si="108"/>
        <v>0.42272885782706371</v>
      </c>
      <c r="F633">
        <f t="shared" si="109"/>
        <v>0.66375345083937209</v>
      </c>
      <c r="G633">
        <f t="shared" si="112"/>
        <v>9.9999999999988987E-4</v>
      </c>
      <c r="H633">
        <f>IF(MOD(COUNTA($C$7:C633)-1,$J$2),H632,ROUND(F633*P633,-2))</f>
        <v>6500</v>
      </c>
      <c r="I633">
        <f t="shared" si="113"/>
        <v>0</v>
      </c>
      <c r="J633">
        <f t="shared" si="114"/>
        <v>0</v>
      </c>
      <c r="K633">
        <f t="shared" si="115"/>
        <v>-13327.179268958069</v>
      </c>
      <c r="L633">
        <f t="shared" si="116"/>
        <v>1492.8207310419293</v>
      </c>
      <c r="M633">
        <f t="shared" si="117"/>
        <v>6.499999999998181</v>
      </c>
      <c r="N633">
        <f t="shared" si="119"/>
        <v>1492.8207310419293</v>
      </c>
      <c r="O633" s="5">
        <f t="shared" si="110"/>
        <v>5.3233097471165225E-2</v>
      </c>
      <c r="P633">
        <f t="shared" si="118"/>
        <v>10000</v>
      </c>
      <c r="Q633">
        <f t="shared" si="111"/>
        <v>532.33097471165229</v>
      </c>
    </row>
    <row r="634" spans="1:17" x14ac:dyDescent="0.15">
      <c r="A634" s="10">
        <v>45891.409722222015</v>
      </c>
      <c r="B634">
        <f>COUNT(A634:$A$1158)/(48*252)</f>
        <v>4.3402777777777776E-2</v>
      </c>
      <c r="C634">
        <v>2.2810000000000001</v>
      </c>
      <c r="D634">
        <v>0.104</v>
      </c>
      <c r="E634">
        <f t="shared" si="108"/>
        <v>0.4274352707987093</v>
      </c>
      <c r="F634">
        <f t="shared" si="109"/>
        <v>0.66546883897072417</v>
      </c>
      <c r="G634">
        <f t="shared" si="112"/>
        <v>1.000000000000334E-3</v>
      </c>
      <c r="H634">
        <f>IF(MOD(COUNTA($C$7:C634)-1,$J$2),H633,ROUND(F634*P634,-2))</f>
        <v>6500</v>
      </c>
      <c r="I634">
        <f t="shared" si="113"/>
        <v>0</v>
      </c>
      <c r="J634">
        <f t="shared" si="114"/>
        <v>0</v>
      </c>
      <c r="K634">
        <f t="shared" si="115"/>
        <v>-13327.179268958069</v>
      </c>
      <c r="L634">
        <f t="shared" si="116"/>
        <v>1499.3207310419311</v>
      </c>
      <c r="M634">
        <f t="shared" si="117"/>
        <v>6.500000000001819</v>
      </c>
      <c r="N634">
        <f t="shared" si="119"/>
        <v>1499.3207310419311</v>
      </c>
      <c r="O634" s="5">
        <f t="shared" si="110"/>
        <v>5.2821300910293023E-2</v>
      </c>
      <c r="P634">
        <f t="shared" si="118"/>
        <v>10000</v>
      </c>
      <c r="Q634">
        <f t="shared" si="111"/>
        <v>528.21300910293019</v>
      </c>
    </row>
    <row r="635" spans="1:17" x14ac:dyDescent="0.15">
      <c r="A635" s="10">
        <v>45891.413194444962</v>
      </c>
      <c r="B635">
        <f>COUNT(A635:$A$1158)/(48*252)</f>
        <v>4.3320105820105821E-2</v>
      </c>
      <c r="C635">
        <v>2.2770000000000001</v>
      </c>
      <c r="D635">
        <v>0.1</v>
      </c>
      <c r="E635">
        <f t="shared" si="108"/>
        <v>0.41000111380557935</v>
      </c>
      <c r="F635">
        <f t="shared" si="109"/>
        <v>0.6590974347510461</v>
      </c>
      <c r="G635">
        <f t="shared" si="112"/>
        <v>-4.0000000000000036E-3</v>
      </c>
      <c r="H635">
        <f>IF(MOD(COUNTA($C$7:C635)-1,$J$2),H634,ROUND(F635*P635,-2))</f>
        <v>6500</v>
      </c>
      <c r="I635">
        <f t="shared" si="113"/>
        <v>0</v>
      </c>
      <c r="J635">
        <f t="shared" si="114"/>
        <v>0</v>
      </c>
      <c r="K635">
        <f t="shared" si="115"/>
        <v>-13327.179268958069</v>
      </c>
      <c r="L635">
        <f t="shared" si="116"/>
        <v>1473.3207310419311</v>
      </c>
      <c r="M635">
        <f t="shared" si="117"/>
        <v>-26</v>
      </c>
      <c r="N635">
        <f t="shared" si="119"/>
        <v>1473.3207310419311</v>
      </c>
      <c r="O635" s="5">
        <f t="shared" si="110"/>
        <v>5.4095517196089848E-2</v>
      </c>
      <c r="P635">
        <f t="shared" si="118"/>
        <v>10000</v>
      </c>
      <c r="Q635">
        <f t="shared" si="111"/>
        <v>540.9551719608985</v>
      </c>
    </row>
    <row r="636" spans="1:17" x14ac:dyDescent="0.15">
      <c r="A636" s="10">
        <v>45891.416666666977</v>
      </c>
      <c r="B636">
        <f>COUNT(A636:$A$1158)/(48*252)</f>
        <v>4.3237433862433859E-2</v>
      </c>
      <c r="C636">
        <v>2.2770000000000001</v>
      </c>
      <c r="D636">
        <v>0.10100000000000001</v>
      </c>
      <c r="E636">
        <f t="shared" si="108"/>
        <v>0.41027323935087895</v>
      </c>
      <c r="F636">
        <f t="shared" si="109"/>
        <v>0.65919723979631473</v>
      </c>
      <c r="G636">
        <f t="shared" si="112"/>
        <v>0</v>
      </c>
      <c r="H636">
        <f>IF(MOD(COUNTA($C$7:C636)-1,$J$2),H635,ROUND(F636*P636,-2))</f>
        <v>6500</v>
      </c>
      <c r="I636">
        <f t="shared" si="113"/>
        <v>0</v>
      </c>
      <c r="J636">
        <f t="shared" si="114"/>
        <v>0</v>
      </c>
      <c r="K636">
        <f t="shared" si="115"/>
        <v>-13327.179268958069</v>
      </c>
      <c r="L636">
        <f t="shared" si="116"/>
        <v>1473.3207310419311</v>
      </c>
      <c r="M636">
        <f t="shared" si="117"/>
        <v>0</v>
      </c>
      <c r="N636">
        <f t="shared" si="119"/>
        <v>1473.3207310419311</v>
      </c>
      <c r="O636" s="5">
        <f t="shared" si="110"/>
        <v>5.4018619551696179E-2</v>
      </c>
      <c r="P636">
        <f t="shared" si="118"/>
        <v>10000</v>
      </c>
      <c r="Q636">
        <f t="shared" si="111"/>
        <v>540.18619551696179</v>
      </c>
    </row>
    <row r="637" spans="1:17" x14ac:dyDescent="0.15">
      <c r="A637" s="10">
        <v>45891.420138888992</v>
      </c>
      <c r="B637">
        <f>COUNT(A637:$A$1158)/(48*252)</f>
        <v>4.3154761904761904E-2</v>
      </c>
      <c r="C637">
        <v>2.2709999999999999</v>
      </c>
      <c r="D637">
        <v>9.7000000000000003E-2</v>
      </c>
      <c r="E637">
        <f t="shared" si="108"/>
        <v>0.38385339662388779</v>
      </c>
      <c r="F637">
        <f t="shared" si="109"/>
        <v>0.64945644538862923</v>
      </c>
      <c r="G637">
        <f t="shared" si="112"/>
        <v>-6.0000000000002274E-3</v>
      </c>
      <c r="H637">
        <f>IF(MOD(COUNTA($C$7:C637)-1,$J$2),H636,ROUND(F637*P637,-2))</f>
        <v>6500</v>
      </c>
      <c r="I637">
        <f t="shared" si="113"/>
        <v>0</v>
      </c>
      <c r="J637">
        <f t="shared" si="114"/>
        <v>0</v>
      </c>
      <c r="K637">
        <f t="shared" si="115"/>
        <v>-13327.179268958069</v>
      </c>
      <c r="L637">
        <f t="shared" si="116"/>
        <v>1434.3207310419311</v>
      </c>
      <c r="M637">
        <f t="shared" si="117"/>
        <v>-39</v>
      </c>
      <c r="N637">
        <f t="shared" si="119"/>
        <v>1434.3207310419311</v>
      </c>
      <c r="O637" s="5">
        <f t="shared" si="110"/>
        <v>5.6015327895791112E-2</v>
      </c>
      <c r="P637">
        <f t="shared" si="118"/>
        <v>10000</v>
      </c>
      <c r="Q637">
        <f t="shared" si="111"/>
        <v>560.15327895791108</v>
      </c>
    </row>
    <row r="638" spans="1:17" x14ac:dyDescent="0.15">
      <c r="A638" s="10">
        <v>45891.423611111008</v>
      </c>
      <c r="B638">
        <f>COUNT(A638:$A$1158)/(48*252)</f>
        <v>4.3072089947089949E-2</v>
      </c>
      <c r="C638">
        <v>2.2709999999999999</v>
      </c>
      <c r="D638">
        <v>9.7000000000000003E-2</v>
      </c>
      <c r="E638">
        <f t="shared" si="108"/>
        <v>0.38410171421685185</v>
      </c>
      <c r="F638">
        <f t="shared" si="109"/>
        <v>0.64954846950035972</v>
      </c>
      <c r="G638">
        <f t="shared" si="112"/>
        <v>0</v>
      </c>
      <c r="H638">
        <f>IF(MOD(COUNTA($C$7:C638)-1,$J$2),H637,ROUND(F638*P638,-2))</f>
        <v>6500</v>
      </c>
      <c r="I638">
        <f t="shared" si="113"/>
        <v>0</v>
      </c>
      <c r="J638">
        <f t="shared" si="114"/>
        <v>0</v>
      </c>
      <c r="K638">
        <f t="shared" si="115"/>
        <v>-13327.179268958069</v>
      </c>
      <c r="L638">
        <f t="shared" si="116"/>
        <v>1434.3207310419311</v>
      </c>
      <c r="M638">
        <f t="shared" si="117"/>
        <v>0</v>
      </c>
      <c r="N638">
        <f t="shared" si="119"/>
        <v>1434.3207310419311</v>
      </c>
      <c r="O638" s="5">
        <f t="shared" si="110"/>
        <v>5.593771766996114E-2</v>
      </c>
      <c r="P638">
        <f t="shared" si="118"/>
        <v>10000</v>
      </c>
      <c r="Q638">
        <f t="shared" si="111"/>
        <v>559.37717669961137</v>
      </c>
    </row>
    <row r="639" spans="1:17" x14ac:dyDescent="0.15">
      <c r="A639" s="10">
        <v>45891.427083333023</v>
      </c>
      <c r="B639">
        <f>COUNT(A639:$A$1158)/(48*252)</f>
        <v>4.2989417989417987E-2</v>
      </c>
      <c r="C639">
        <v>2.278</v>
      </c>
      <c r="D639">
        <v>0.10100000000000001</v>
      </c>
      <c r="E639">
        <f t="shared" si="108"/>
        <v>0.41554551605968537</v>
      </c>
      <c r="F639">
        <f t="shared" si="109"/>
        <v>0.66112869886469894</v>
      </c>
      <c r="G639">
        <f t="shared" si="112"/>
        <v>7.0000000000001172E-3</v>
      </c>
      <c r="H639">
        <f>IF(MOD(COUNTA($C$7:C639)-1,$J$2),H638,ROUND(F639*P639,-2))</f>
        <v>6500</v>
      </c>
      <c r="I639">
        <f t="shared" si="113"/>
        <v>0</v>
      </c>
      <c r="J639">
        <f t="shared" si="114"/>
        <v>0</v>
      </c>
      <c r="K639">
        <f t="shared" si="115"/>
        <v>-13327.179268958069</v>
      </c>
      <c r="L639">
        <f t="shared" si="116"/>
        <v>1479.8207310419311</v>
      </c>
      <c r="M639">
        <f t="shared" si="117"/>
        <v>45.5</v>
      </c>
      <c r="N639">
        <f t="shared" si="119"/>
        <v>1479.8207310419311</v>
      </c>
      <c r="O639" s="5">
        <f t="shared" si="110"/>
        <v>5.3447835258305432E-2</v>
      </c>
      <c r="P639">
        <f t="shared" si="118"/>
        <v>10000</v>
      </c>
      <c r="Q639">
        <f t="shared" si="111"/>
        <v>534.47835258305429</v>
      </c>
    </row>
    <row r="640" spans="1:17" x14ac:dyDescent="0.15">
      <c r="A640" s="10">
        <v>45891.430555555969</v>
      </c>
      <c r="B640">
        <f>COUNT(A640:$A$1158)/(48*252)</f>
        <v>4.2906746031746032E-2</v>
      </c>
      <c r="C640">
        <v>2.2730000000000001</v>
      </c>
      <c r="D640">
        <v>9.9000000000000005E-2</v>
      </c>
      <c r="E640">
        <f t="shared" si="108"/>
        <v>0.3935319975521685</v>
      </c>
      <c r="F640">
        <f t="shared" si="109"/>
        <v>0.65303670210244258</v>
      </c>
      <c r="G640">
        <f t="shared" si="112"/>
        <v>-4.9999999999998934E-3</v>
      </c>
      <c r="H640">
        <f>IF(MOD(COUNTA($C$7:C640)-1,$J$2),H639,ROUND(F640*P640,-2))</f>
        <v>6500</v>
      </c>
      <c r="I640">
        <f t="shared" si="113"/>
        <v>0</v>
      </c>
      <c r="J640">
        <f t="shared" si="114"/>
        <v>0</v>
      </c>
      <c r="K640">
        <f t="shared" si="115"/>
        <v>-13327.179268958069</v>
      </c>
      <c r="L640">
        <f t="shared" si="116"/>
        <v>1447.3207310419311</v>
      </c>
      <c r="M640">
        <f t="shared" si="117"/>
        <v>-32.5</v>
      </c>
      <c r="N640">
        <f t="shared" si="119"/>
        <v>1447.3207310419311</v>
      </c>
      <c r="O640" s="5">
        <f t="shared" si="110"/>
        <v>5.5085060652412809E-2</v>
      </c>
      <c r="P640">
        <f t="shared" si="118"/>
        <v>10000</v>
      </c>
      <c r="Q640">
        <f t="shared" si="111"/>
        <v>550.85060652412812</v>
      </c>
    </row>
    <row r="641" spans="1:17" x14ac:dyDescent="0.15">
      <c r="A641" s="10">
        <v>45891.434027777985</v>
      </c>
      <c r="B641">
        <f>COUNT(A641:$A$1158)/(48*252)</f>
        <v>4.2824074074074077E-2</v>
      </c>
      <c r="C641">
        <v>2.2709999999999999</v>
      </c>
      <c r="D641">
        <v>9.6000000000000002E-2</v>
      </c>
      <c r="E641">
        <f t="shared" si="108"/>
        <v>0.38485167054077335</v>
      </c>
      <c r="F641">
        <f t="shared" si="109"/>
        <v>0.64982634280007889</v>
      </c>
      <c r="G641">
        <f t="shared" si="112"/>
        <v>-2.0000000000002238E-3</v>
      </c>
      <c r="H641">
        <f>IF(MOD(COUNTA($C$7:C641)-1,$J$2),H640,ROUND(F641*P641,-2))</f>
        <v>6500</v>
      </c>
      <c r="I641">
        <f t="shared" si="113"/>
        <v>0</v>
      </c>
      <c r="J641">
        <f t="shared" si="114"/>
        <v>0</v>
      </c>
      <c r="K641">
        <f t="shared" si="115"/>
        <v>-13327.179268958069</v>
      </c>
      <c r="L641">
        <f t="shared" si="116"/>
        <v>1434.3207310419311</v>
      </c>
      <c r="M641">
        <f t="shared" si="117"/>
        <v>-13</v>
      </c>
      <c r="N641">
        <f t="shared" si="119"/>
        <v>1434.3207310419311</v>
      </c>
      <c r="O641" s="5">
        <f t="shared" si="110"/>
        <v>5.5704468470207158E-2</v>
      </c>
      <c r="P641">
        <f t="shared" si="118"/>
        <v>10000</v>
      </c>
      <c r="Q641">
        <f t="shared" si="111"/>
        <v>557.04468470207155</v>
      </c>
    </row>
    <row r="642" spans="1:17" x14ac:dyDescent="0.15">
      <c r="A642" s="10">
        <v>45891.4375</v>
      </c>
      <c r="B642">
        <f>COUNT(A642:$A$1158)/(48*252)</f>
        <v>4.2741402116402115E-2</v>
      </c>
      <c r="C642">
        <v>2.274</v>
      </c>
      <c r="D642">
        <v>9.9000000000000005E-2</v>
      </c>
      <c r="E642">
        <f t="shared" si="108"/>
        <v>0.39852299861813123</v>
      </c>
      <c r="F642">
        <f t="shared" si="109"/>
        <v>0.65487764559170514</v>
      </c>
      <c r="G642">
        <f t="shared" si="112"/>
        <v>3.0000000000001137E-3</v>
      </c>
      <c r="H642">
        <f>IF(MOD(COUNTA($C$7:C642)-1,$J$2),H641,ROUND(F642*P642,-2))</f>
        <v>6500</v>
      </c>
      <c r="I642">
        <f t="shared" si="113"/>
        <v>0</v>
      </c>
      <c r="J642">
        <f t="shared" si="114"/>
        <v>0</v>
      </c>
      <c r="K642">
        <f t="shared" si="115"/>
        <v>-13327.179268958069</v>
      </c>
      <c r="L642">
        <f t="shared" si="116"/>
        <v>1453.8207310419311</v>
      </c>
      <c r="M642">
        <f t="shared" si="117"/>
        <v>19.5</v>
      </c>
      <c r="N642">
        <f t="shared" si="119"/>
        <v>1453.8207310419311</v>
      </c>
      <c r="O642" s="5">
        <f t="shared" si="110"/>
        <v>5.4583782613234155E-2</v>
      </c>
      <c r="P642">
        <f t="shared" si="118"/>
        <v>10000</v>
      </c>
      <c r="Q642">
        <f t="shared" si="111"/>
        <v>545.83782613234155</v>
      </c>
    </row>
    <row r="643" spans="1:17" x14ac:dyDescent="0.15">
      <c r="A643" s="10">
        <v>45891.440972222015</v>
      </c>
      <c r="B643">
        <f>COUNT(A643:$A$1158)/(48*252)</f>
        <v>4.265873015873016E-2</v>
      </c>
      <c r="C643">
        <v>2.2759999999999998</v>
      </c>
      <c r="D643">
        <v>9.8000000000000004E-2</v>
      </c>
      <c r="E643">
        <f t="shared" si="108"/>
        <v>0.40773377475631573</v>
      </c>
      <c r="F643">
        <f t="shared" si="109"/>
        <v>0.65826543079739486</v>
      </c>
      <c r="G643">
        <f t="shared" si="112"/>
        <v>1.9999999999997797E-3</v>
      </c>
      <c r="H643">
        <f>IF(MOD(COUNTA($C$7:C643)-1,$J$2),H642,ROUND(F643*P643,-2))</f>
        <v>6600</v>
      </c>
      <c r="I643">
        <f t="shared" si="113"/>
        <v>100</v>
      </c>
      <c r="J643">
        <f t="shared" si="114"/>
        <v>0</v>
      </c>
      <c r="K643">
        <f t="shared" si="115"/>
        <v>-13554.78951095807</v>
      </c>
      <c r="L643">
        <f t="shared" si="116"/>
        <v>1466.810489041929</v>
      </c>
      <c r="M643">
        <f t="shared" si="117"/>
        <v>12.989757999997892</v>
      </c>
      <c r="N643">
        <f t="shared" si="119"/>
        <v>1466.810489041929</v>
      </c>
      <c r="O643" s="5">
        <f t="shared" si="110"/>
        <v>5.3819352860797642E-2</v>
      </c>
      <c r="P643">
        <f t="shared" si="118"/>
        <v>10000</v>
      </c>
      <c r="Q643">
        <f t="shared" si="111"/>
        <v>538.19352860797642</v>
      </c>
    </row>
    <row r="644" spans="1:17" x14ac:dyDescent="0.15">
      <c r="A644" s="10">
        <v>45891.444444444962</v>
      </c>
      <c r="B644">
        <f>COUNT(A644:$A$1158)/(48*252)</f>
        <v>4.2576058201058198E-2</v>
      </c>
      <c r="C644">
        <v>2.2789999999999999</v>
      </c>
      <c r="D644">
        <v>0.10100000000000001</v>
      </c>
      <c r="E644">
        <f t="shared" si="108"/>
        <v>0.42142503205811405</v>
      </c>
      <c r="F644">
        <f t="shared" si="109"/>
        <v>0.6632776282584254</v>
      </c>
      <c r="G644">
        <f t="shared" si="112"/>
        <v>3.0000000000001137E-3</v>
      </c>
      <c r="H644">
        <f>IF(MOD(COUNTA($C$7:C644)-1,$J$2),H643,ROUND(F644*P644,-2))</f>
        <v>6600</v>
      </c>
      <c r="I644">
        <f t="shared" si="113"/>
        <v>0</v>
      </c>
      <c r="J644">
        <f t="shared" si="114"/>
        <v>0</v>
      </c>
      <c r="K644">
        <f t="shared" si="115"/>
        <v>-13554.78951095807</v>
      </c>
      <c r="L644">
        <f t="shared" si="116"/>
        <v>1486.6104890419301</v>
      </c>
      <c r="M644">
        <f t="shared" si="117"/>
        <v>19.800000000001091</v>
      </c>
      <c r="N644">
        <f t="shared" si="119"/>
        <v>1486.6104890419301</v>
      </c>
      <c r="O644" s="5">
        <f t="shared" si="110"/>
        <v>5.272428379188443E-2</v>
      </c>
      <c r="P644">
        <f t="shared" si="118"/>
        <v>10000</v>
      </c>
      <c r="Q644">
        <f t="shared" si="111"/>
        <v>527.24283791884432</v>
      </c>
    </row>
    <row r="645" spans="1:17" x14ac:dyDescent="0.15">
      <c r="A645" s="10">
        <v>45891.447916666977</v>
      </c>
      <c r="B645">
        <f>COUNT(A645:$A$1158)/(48*252)</f>
        <v>4.2493386243386243E-2</v>
      </c>
      <c r="C645">
        <v>2.2799999999999998</v>
      </c>
      <c r="D645">
        <v>0.10100000000000001</v>
      </c>
      <c r="E645">
        <f t="shared" si="108"/>
        <v>0.42618655690048191</v>
      </c>
      <c r="F645">
        <f t="shared" si="109"/>
        <v>0.66501404384028273</v>
      </c>
      <c r="G645">
        <f t="shared" si="112"/>
        <v>9.9999999999988987E-4</v>
      </c>
      <c r="H645">
        <f>IF(MOD(COUNTA($C$7:C645)-1,$J$2),H644,ROUND(F645*P645,-2))</f>
        <v>6600</v>
      </c>
      <c r="I645">
        <f t="shared" si="113"/>
        <v>0</v>
      </c>
      <c r="J645">
        <f t="shared" si="114"/>
        <v>0</v>
      </c>
      <c r="K645">
        <f t="shared" si="115"/>
        <v>-13554.78951095807</v>
      </c>
      <c r="L645">
        <f t="shared" si="116"/>
        <v>1493.2104890419287</v>
      </c>
      <c r="M645">
        <f t="shared" si="117"/>
        <v>6.5999999999985448</v>
      </c>
      <c r="N645">
        <f t="shared" si="119"/>
        <v>1493.2104890419287</v>
      </c>
      <c r="O645" s="5">
        <f t="shared" si="110"/>
        <v>5.2311180233060028E-2</v>
      </c>
      <c r="P645">
        <f t="shared" si="118"/>
        <v>10000</v>
      </c>
      <c r="Q645">
        <f t="shared" si="111"/>
        <v>523.11180233060031</v>
      </c>
    </row>
    <row r="646" spans="1:17" x14ac:dyDescent="0.15">
      <c r="A646" s="10">
        <v>45891.451388888992</v>
      </c>
      <c r="B646">
        <f>COUNT(A646:$A$1158)/(48*252)</f>
        <v>4.2410714285714288E-2</v>
      </c>
      <c r="C646">
        <v>2.278</v>
      </c>
      <c r="D646">
        <v>0.1</v>
      </c>
      <c r="E646">
        <f t="shared" si="108"/>
        <v>0.41752528737567285</v>
      </c>
      <c r="F646">
        <f t="shared" si="109"/>
        <v>0.66185288400722686</v>
      </c>
      <c r="G646">
        <f t="shared" si="112"/>
        <v>-1.9999999999997797E-3</v>
      </c>
      <c r="H646">
        <f>IF(MOD(COUNTA($C$7:C646)-1,$J$2),H645,ROUND(F646*P646,-2))</f>
        <v>6600</v>
      </c>
      <c r="I646">
        <f t="shared" si="113"/>
        <v>0</v>
      </c>
      <c r="J646">
        <f t="shared" si="114"/>
        <v>0</v>
      </c>
      <c r="K646">
        <f t="shared" si="115"/>
        <v>-13554.78951095807</v>
      </c>
      <c r="L646">
        <f t="shared" si="116"/>
        <v>1480.0104890419298</v>
      </c>
      <c r="M646">
        <f t="shared" si="117"/>
        <v>-13.199999999998909</v>
      </c>
      <c r="N646">
        <f t="shared" si="119"/>
        <v>1480.0104890419298</v>
      </c>
      <c r="O646" s="5">
        <f t="shared" si="110"/>
        <v>5.2906939303288603E-2</v>
      </c>
      <c r="P646">
        <f t="shared" si="118"/>
        <v>10000</v>
      </c>
      <c r="Q646">
        <f t="shared" si="111"/>
        <v>529.06939303288607</v>
      </c>
    </row>
    <row r="647" spans="1:17" x14ac:dyDescent="0.15">
      <c r="A647" s="10">
        <v>45891.454861111008</v>
      </c>
      <c r="B647">
        <f>COUNT(A647:$A$1158)/(48*252)</f>
        <v>4.2328042328042326E-2</v>
      </c>
      <c r="C647">
        <v>2.2810000000000001</v>
      </c>
      <c r="D647">
        <v>0.10100000000000001</v>
      </c>
      <c r="E647">
        <f t="shared" si="108"/>
        <v>0.43125550870347984</v>
      </c>
      <c r="F647">
        <f t="shared" si="109"/>
        <v>0.6668587016333043</v>
      </c>
      <c r="G647">
        <f t="shared" si="112"/>
        <v>3.0000000000001137E-3</v>
      </c>
      <c r="H647">
        <f>IF(MOD(COUNTA($C$7:C647)-1,$J$2),H646,ROUND(F647*P647,-2))</f>
        <v>6600</v>
      </c>
      <c r="I647">
        <f t="shared" si="113"/>
        <v>0</v>
      </c>
      <c r="J647">
        <f t="shared" si="114"/>
        <v>0</v>
      </c>
      <c r="K647">
        <f t="shared" si="115"/>
        <v>-13554.78951095807</v>
      </c>
      <c r="L647">
        <f t="shared" si="116"/>
        <v>1499.8104890419309</v>
      </c>
      <c r="M647">
        <f t="shared" si="117"/>
        <v>19.800000000001091</v>
      </c>
      <c r="N647">
        <f t="shared" si="119"/>
        <v>1499.8104890419309</v>
      </c>
      <c r="O647" s="5">
        <f t="shared" si="110"/>
        <v>5.1822627731155868E-2</v>
      </c>
      <c r="P647">
        <f t="shared" si="118"/>
        <v>10000</v>
      </c>
      <c r="Q647">
        <f t="shared" si="111"/>
        <v>518.22627731155865</v>
      </c>
    </row>
    <row r="648" spans="1:17" x14ac:dyDescent="0.15">
      <c r="A648" s="10">
        <v>45891.458333333023</v>
      </c>
      <c r="B648">
        <f>COUNT(A648:$A$1158)/(48*252)</f>
        <v>4.2245370370370371E-2</v>
      </c>
      <c r="C648">
        <v>2.282</v>
      </c>
      <c r="D648">
        <v>0.10199999999999999</v>
      </c>
      <c r="E648">
        <f t="shared" ref="E648:E711" si="120">(LN(C648/$B$2)+($B$1+0.5*$D$1*$D$1)*B648)/($D$1*SQRT(B648))</f>
        <v>0.43603787555731427</v>
      </c>
      <c r="F648">
        <f t="shared" ref="F648:F711" si="121">NORMSDIST(E648)</f>
        <v>0.66859537521331369</v>
      </c>
      <c r="G648">
        <f t="shared" si="112"/>
        <v>9.9999999999988987E-4</v>
      </c>
      <c r="H648">
        <f>IF(MOD(COUNTA($C$7:C648)-1,$J$2),H647,ROUND(F648*P648,-2))</f>
        <v>6600</v>
      </c>
      <c r="I648">
        <f t="shared" si="113"/>
        <v>0</v>
      </c>
      <c r="J648">
        <f t="shared" si="114"/>
        <v>0</v>
      </c>
      <c r="K648">
        <f t="shared" si="115"/>
        <v>-13554.78951095807</v>
      </c>
      <c r="L648">
        <f t="shared" si="116"/>
        <v>1506.4104890419312</v>
      </c>
      <c r="M648">
        <f t="shared" si="117"/>
        <v>6.6000000000003638</v>
      </c>
      <c r="N648">
        <f t="shared" si="119"/>
        <v>1506.4104890419312</v>
      </c>
      <c r="O648" s="5">
        <f t="shared" ref="O648:O711" si="122">put_bs($B$1,$J$1,C648,$B$2,B648)</f>
        <v>5.1413117686756715E-2</v>
      </c>
      <c r="P648">
        <f t="shared" si="118"/>
        <v>10000</v>
      </c>
      <c r="Q648">
        <f t="shared" ref="Q648:Q711" si="123">P648*O648</f>
        <v>514.13117686756721</v>
      </c>
    </row>
    <row r="649" spans="1:17" x14ac:dyDescent="0.15">
      <c r="A649" s="10">
        <v>45891.461805555969</v>
      </c>
      <c r="B649">
        <f>COUNT(A649:$A$1158)/(48*252)</f>
        <v>4.2162698412698416E-2</v>
      </c>
      <c r="C649">
        <v>2.286</v>
      </c>
      <c r="D649">
        <v>0.104</v>
      </c>
      <c r="E649">
        <f t="shared" si="120"/>
        <v>0.45426853292620595</v>
      </c>
      <c r="F649">
        <f t="shared" si="121"/>
        <v>0.67518221919090471</v>
      </c>
      <c r="G649">
        <f t="shared" ref="G649:G712" si="124">C649-C648</f>
        <v>4.0000000000000036E-3</v>
      </c>
      <c r="H649">
        <f>IF(MOD(COUNTA($C$7:C649)-1,$J$2),H648,ROUND(F649*P649,-2))</f>
        <v>6800</v>
      </c>
      <c r="I649">
        <f t="shared" ref="I649:I712" si="125">H649-H648</f>
        <v>200</v>
      </c>
      <c r="J649">
        <f t="shared" ref="J649:J712" si="126">J648</f>
        <v>0</v>
      </c>
      <c r="K649">
        <f t="shared" ref="K649:K712" si="127">K648-I649*C649-ABS(I649*C649*$F$2)</f>
        <v>-14012.01008495807</v>
      </c>
      <c r="L649">
        <f t="shared" ref="L649:L712" si="128">K649+H649*C649</f>
        <v>1532.7899150419307</v>
      </c>
      <c r="M649">
        <f t="shared" ref="M649:M712" si="129">L649-L648</f>
        <v>26.379425999999512</v>
      </c>
      <c r="N649">
        <f t="shared" si="119"/>
        <v>1532.7899150419307</v>
      </c>
      <c r="O649" s="5">
        <f t="shared" si="122"/>
        <v>5.0023666118447108E-2</v>
      </c>
      <c r="P649">
        <f t="shared" ref="P649:P712" si="130">P648</f>
        <v>10000</v>
      </c>
      <c r="Q649">
        <f t="shared" si="123"/>
        <v>500.23666118447107</v>
      </c>
    </row>
    <row r="650" spans="1:17" x14ac:dyDescent="0.15">
      <c r="A650" s="10">
        <v>45891.465277777985</v>
      </c>
      <c r="B650">
        <f>COUNT(A650:$A$1158)/(48*252)</f>
        <v>4.2080026455026454E-2</v>
      </c>
      <c r="C650">
        <v>2.2839999999999998</v>
      </c>
      <c r="D650">
        <v>0.10199999999999999</v>
      </c>
      <c r="E650">
        <f t="shared" si="120"/>
        <v>0.44562611048984008</v>
      </c>
      <c r="F650">
        <f t="shared" si="121"/>
        <v>0.67206632675758105</v>
      </c>
      <c r="G650">
        <f t="shared" si="124"/>
        <v>-2.0000000000002238E-3</v>
      </c>
      <c r="H650">
        <f>IF(MOD(COUNTA($C$7:C650)-1,$J$2),H649,ROUND(F650*P650,-2))</f>
        <v>6800</v>
      </c>
      <c r="I650">
        <f t="shared" si="125"/>
        <v>0</v>
      </c>
      <c r="J650">
        <f t="shared" si="126"/>
        <v>0</v>
      </c>
      <c r="K650">
        <f t="shared" si="127"/>
        <v>-14012.01008495807</v>
      </c>
      <c r="L650">
        <f t="shared" si="128"/>
        <v>1519.1899150419285</v>
      </c>
      <c r="M650">
        <f t="shared" si="129"/>
        <v>-13.600000000002183</v>
      </c>
      <c r="N650">
        <f t="shared" ref="N650:N713" si="131">L650-$F$1</f>
        <v>1519.1899150419285</v>
      </c>
      <c r="O650" s="5">
        <f t="shared" si="122"/>
        <v>5.059943680943757E-2</v>
      </c>
      <c r="P650">
        <f t="shared" si="130"/>
        <v>10000</v>
      </c>
      <c r="Q650">
        <f t="shared" si="123"/>
        <v>505.99436809437572</v>
      </c>
    </row>
    <row r="651" spans="1:17" x14ac:dyDescent="0.15">
      <c r="A651" s="10">
        <v>45891.46875</v>
      </c>
      <c r="B651">
        <f>COUNT(A651:$A$1158)/(48*252)</f>
        <v>4.1997354497354498E-2</v>
      </c>
      <c r="C651">
        <v>2.2810000000000001</v>
      </c>
      <c r="D651">
        <v>0.1</v>
      </c>
      <c r="E651">
        <f t="shared" si="120"/>
        <v>0.4324643899420797</v>
      </c>
      <c r="F651">
        <f t="shared" si="121"/>
        <v>0.66729803588820225</v>
      </c>
      <c r="G651">
        <f t="shared" si="124"/>
        <v>-2.9999999999996696E-3</v>
      </c>
      <c r="H651">
        <f>IF(MOD(COUNTA($C$7:C651)-1,$J$2),H650,ROUND(F651*P651,-2))</f>
        <v>6800</v>
      </c>
      <c r="I651">
        <f t="shared" si="125"/>
        <v>0</v>
      </c>
      <c r="J651">
        <f t="shared" si="126"/>
        <v>0</v>
      </c>
      <c r="K651">
        <f t="shared" si="127"/>
        <v>-14012.01008495807</v>
      </c>
      <c r="L651">
        <f t="shared" si="128"/>
        <v>1498.7899150419307</v>
      </c>
      <c r="M651">
        <f t="shared" si="129"/>
        <v>-20.399999999997817</v>
      </c>
      <c r="N651">
        <f t="shared" si="131"/>
        <v>1498.7899150419307</v>
      </c>
      <c r="O651" s="5">
        <f t="shared" si="122"/>
        <v>5.1513050041960939E-2</v>
      </c>
      <c r="P651">
        <f t="shared" si="130"/>
        <v>10000</v>
      </c>
      <c r="Q651">
        <f t="shared" si="123"/>
        <v>515.13050041960935</v>
      </c>
    </row>
    <row r="652" spans="1:17" x14ac:dyDescent="0.15">
      <c r="A652" s="10">
        <v>45891.472222222015</v>
      </c>
      <c r="B652">
        <f>COUNT(A652:$A$1158)/(48*252)</f>
        <v>4.1914682539682536E-2</v>
      </c>
      <c r="C652">
        <v>2.282</v>
      </c>
      <c r="D652">
        <v>0.1</v>
      </c>
      <c r="E652">
        <f t="shared" si="120"/>
        <v>0.43726844208903798</v>
      </c>
      <c r="F652">
        <f t="shared" si="121"/>
        <v>0.66904166048153391</v>
      </c>
      <c r="G652">
        <f t="shared" si="124"/>
        <v>9.9999999999988987E-4</v>
      </c>
      <c r="H652">
        <f>IF(MOD(COUNTA($C$7:C652)-1,$J$2),H651,ROUND(F652*P652,-2))</f>
        <v>6800</v>
      </c>
      <c r="I652">
        <f t="shared" si="125"/>
        <v>0</v>
      </c>
      <c r="J652">
        <f t="shared" si="126"/>
        <v>0</v>
      </c>
      <c r="K652">
        <f t="shared" si="127"/>
        <v>-14012.01008495807</v>
      </c>
      <c r="L652">
        <f t="shared" si="128"/>
        <v>1505.58991504193</v>
      </c>
      <c r="M652">
        <f t="shared" si="129"/>
        <v>6.7999999999992724</v>
      </c>
      <c r="N652">
        <f t="shared" si="131"/>
        <v>1505.58991504193</v>
      </c>
      <c r="O652" s="5">
        <f t="shared" si="122"/>
        <v>5.1103709978422063E-2</v>
      </c>
      <c r="P652">
        <f t="shared" si="130"/>
        <v>10000</v>
      </c>
      <c r="Q652">
        <f t="shared" si="123"/>
        <v>511.03709978422063</v>
      </c>
    </row>
    <row r="653" spans="1:17" x14ac:dyDescent="0.15">
      <c r="A653" s="10">
        <v>45891.475694444962</v>
      </c>
      <c r="B653">
        <f>COUNT(A653:$A$1158)/(48*252)</f>
        <v>4.1832010582010581E-2</v>
      </c>
      <c r="C653">
        <v>2.2829999999999999</v>
      </c>
      <c r="D653">
        <v>0.10100000000000001</v>
      </c>
      <c r="E653">
        <f t="shared" si="120"/>
        <v>0.44208043158228622</v>
      </c>
      <c r="F653">
        <f t="shared" si="121"/>
        <v>0.67078449792198669</v>
      </c>
      <c r="G653">
        <f t="shared" si="124"/>
        <v>9.9999999999988987E-4</v>
      </c>
      <c r="H653">
        <f>IF(MOD(COUNTA($C$7:C653)-1,$J$2),H652,ROUND(F653*P653,-2))</f>
        <v>6800</v>
      </c>
      <c r="I653">
        <f t="shared" si="125"/>
        <v>0</v>
      </c>
      <c r="J653">
        <f t="shared" si="126"/>
        <v>0</v>
      </c>
      <c r="K653">
        <f t="shared" si="127"/>
        <v>-14012.01008495807</v>
      </c>
      <c r="L653">
        <f t="shared" si="128"/>
        <v>1512.3899150419293</v>
      </c>
      <c r="M653">
        <f t="shared" si="129"/>
        <v>6.7999999999992724</v>
      </c>
      <c r="N653">
        <f t="shared" si="131"/>
        <v>1512.3899150419293</v>
      </c>
      <c r="O653" s="5">
        <f t="shared" si="122"/>
        <v>5.0696156983034313E-2</v>
      </c>
      <c r="P653">
        <f t="shared" si="130"/>
        <v>10000</v>
      </c>
      <c r="Q653">
        <f t="shared" si="123"/>
        <v>506.96156983034314</v>
      </c>
    </row>
    <row r="654" spans="1:17" x14ac:dyDescent="0.15">
      <c r="A654" s="10">
        <v>45891.479166666977</v>
      </c>
      <c r="B654">
        <f>COUNT(A654:$A$1158)/(48*252)</f>
        <v>4.1749338624338626E-2</v>
      </c>
      <c r="C654">
        <v>2.2810000000000001</v>
      </c>
      <c r="D654">
        <v>9.9000000000000005E-2</v>
      </c>
      <c r="E654">
        <f t="shared" si="120"/>
        <v>0.43338172078994103</v>
      </c>
      <c r="F654">
        <f t="shared" si="121"/>
        <v>0.66763126106008264</v>
      </c>
      <c r="G654">
        <f t="shared" si="124"/>
        <v>-1.9999999999997797E-3</v>
      </c>
      <c r="H654">
        <f>IF(MOD(COUNTA($C$7:C654)-1,$J$2),H653,ROUND(F654*P654,-2))</f>
        <v>6800</v>
      </c>
      <c r="I654">
        <f t="shared" si="125"/>
        <v>0</v>
      </c>
      <c r="J654">
        <f t="shared" si="126"/>
        <v>0</v>
      </c>
      <c r="K654">
        <f t="shared" si="127"/>
        <v>-14012.01008495807</v>
      </c>
      <c r="L654">
        <f t="shared" si="128"/>
        <v>1498.7899150419307</v>
      </c>
      <c r="M654">
        <f t="shared" si="129"/>
        <v>-13.599999999998545</v>
      </c>
      <c r="N654">
        <f t="shared" si="131"/>
        <v>1498.7899150419307</v>
      </c>
      <c r="O654" s="5">
        <f t="shared" si="122"/>
        <v>5.1280146641367708E-2</v>
      </c>
      <c r="P654">
        <f t="shared" si="130"/>
        <v>10000</v>
      </c>
      <c r="Q654">
        <f t="shared" si="123"/>
        <v>512.80146641367708</v>
      </c>
    </row>
    <row r="655" spans="1:17" x14ac:dyDescent="0.15">
      <c r="A655" s="10">
        <v>45891.545138888992</v>
      </c>
      <c r="B655">
        <f>COUNT(A655:$A$1158)/(48*252)</f>
        <v>4.1666666666666664E-2</v>
      </c>
      <c r="C655">
        <v>2.2799999999999998</v>
      </c>
      <c r="D655">
        <v>9.7000000000000003E-2</v>
      </c>
      <c r="E655">
        <f t="shared" si="120"/>
        <v>0.42917490795317254</v>
      </c>
      <c r="F655">
        <f t="shared" si="121"/>
        <v>0.66610202899763393</v>
      </c>
      <c r="G655">
        <f t="shared" si="124"/>
        <v>-1.000000000000334E-3</v>
      </c>
      <c r="H655">
        <f>IF(MOD(COUNTA($C$7:C655)-1,$J$2),H654,ROUND(F655*P655,-2))</f>
        <v>6700</v>
      </c>
      <c r="I655">
        <f t="shared" si="125"/>
        <v>-100</v>
      </c>
      <c r="J655">
        <f t="shared" si="126"/>
        <v>0</v>
      </c>
      <c r="K655">
        <f t="shared" si="127"/>
        <v>-13784.020344958069</v>
      </c>
      <c r="L655">
        <f t="shared" si="128"/>
        <v>1491.9796550419287</v>
      </c>
      <c r="M655">
        <f t="shared" si="129"/>
        <v>-6.8102600000020175</v>
      </c>
      <c r="N655">
        <f t="shared" si="131"/>
        <v>1491.9796550419287</v>
      </c>
      <c r="O655" s="5">
        <f t="shared" si="122"/>
        <v>5.1535451219186901E-2</v>
      </c>
      <c r="P655">
        <f t="shared" si="130"/>
        <v>10000</v>
      </c>
      <c r="Q655">
        <f t="shared" si="123"/>
        <v>515.35451219186905</v>
      </c>
    </row>
    <row r="656" spans="1:17" x14ac:dyDescent="0.15">
      <c r="A656" s="10">
        <v>45891.548611111008</v>
      </c>
      <c r="B656">
        <f>COUNT(A656:$A$1158)/(48*252)</f>
        <v>4.1583994708994709E-2</v>
      </c>
      <c r="C656">
        <v>2.2799999999999998</v>
      </c>
      <c r="D656">
        <v>9.8000000000000004E-2</v>
      </c>
      <c r="E656">
        <f t="shared" si="120"/>
        <v>0.42947929791230383</v>
      </c>
      <c r="F656">
        <f t="shared" si="121"/>
        <v>0.6662127717784907</v>
      </c>
      <c r="G656">
        <f t="shared" si="124"/>
        <v>0</v>
      </c>
      <c r="H656">
        <f>IF(MOD(COUNTA($C$7:C656)-1,$J$2),H655,ROUND(F656*P656,-2))</f>
        <v>6700</v>
      </c>
      <c r="I656">
        <f t="shared" si="125"/>
        <v>0</v>
      </c>
      <c r="J656">
        <f t="shared" si="126"/>
        <v>0</v>
      </c>
      <c r="K656">
        <f t="shared" si="127"/>
        <v>-13784.020344958069</v>
      </c>
      <c r="L656">
        <f t="shared" si="128"/>
        <v>1491.9796550419287</v>
      </c>
      <c r="M656">
        <f t="shared" si="129"/>
        <v>0</v>
      </c>
      <c r="N656">
        <f t="shared" si="131"/>
        <v>1491.9796550419287</v>
      </c>
      <c r="O656" s="5">
        <f t="shared" si="122"/>
        <v>5.1457497881781444E-2</v>
      </c>
      <c r="P656">
        <f t="shared" si="130"/>
        <v>10000</v>
      </c>
      <c r="Q656">
        <f t="shared" si="123"/>
        <v>514.57497881781444</v>
      </c>
    </row>
    <row r="657" spans="1:17" x14ac:dyDescent="0.15">
      <c r="A657" s="10">
        <v>45891.552083333023</v>
      </c>
      <c r="B657">
        <f>COUNT(A657:$A$1158)/(48*252)</f>
        <v>4.1501322751322754E-2</v>
      </c>
      <c r="C657">
        <v>2.2759999999999998</v>
      </c>
      <c r="D657">
        <v>9.5000000000000001E-2</v>
      </c>
      <c r="E657">
        <f t="shared" si="120"/>
        <v>0.4116703200333881</v>
      </c>
      <c r="F657">
        <f t="shared" si="121"/>
        <v>0.65970945897103395</v>
      </c>
      <c r="G657">
        <f t="shared" si="124"/>
        <v>-4.0000000000000036E-3</v>
      </c>
      <c r="H657">
        <f>IF(MOD(COUNTA($C$7:C657)-1,$J$2),H656,ROUND(F657*P657,-2))</f>
        <v>6700</v>
      </c>
      <c r="I657">
        <f t="shared" si="125"/>
        <v>0</v>
      </c>
      <c r="J657">
        <f t="shared" si="126"/>
        <v>0</v>
      </c>
      <c r="K657">
        <f t="shared" si="127"/>
        <v>-13784.020344958069</v>
      </c>
      <c r="L657">
        <f t="shared" si="128"/>
        <v>1465.1796550419294</v>
      </c>
      <c r="M657">
        <f t="shared" si="129"/>
        <v>-26.799999999999272</v>
      </c>
      <c r="N657">
        <f t="shared" si="131"/>
        <v>1465.1796550419294</v>
      </c>
      <c r="O657" s="5">
        <f t="shared" si="122"/>
        <v>5.2727387331465314E-2</v>
      </c>
      <c r="P657">
        <f t="shared" si="130"/>
        <v>10000</v>
      </c>
      <c r="Q657">
        <f t="shared" si="123"/>
        <v>527.27387331465309</v>
      </c>
    </row>
    <row r="658" spans="1:17" x14ac:dyDescent="0.15">
      <c r="A658" s="10">
        <v>45891.555555555969</v>
      </c>
      <c r="B658">
        <f>COUNT(A658:$A$1158)/(48*252)</f>
        <v>4.1418650793650792E-2</v>
      </c>
      <c r="C658">
        <v>2.2770000000000001</v>
      </c>
      <c r="D658">
        <v>9.5000000000000001E-2</v>
      </c>
      <c r="E658">
        <f t="shared" si="120"/>
        <v>0.41649480982627612</v>
      </c>
      <c r="F658">
        <f t="shared" si="121"/>
        <v>0.66147601775574616</v>
      </c>
      <c r="G658">
        <f t="shared" si="124"/>
        <v>1.000000000000334E-3</v>
      </c>
      <c r="H658">
        <f>IF(MOD(COUNTA($C$7:C658)-1,$J$2),H657,ROUND(F658*P658,-2))</f>
        <v>6700</v>
      </c>
      <c r="I658">
        <f t="shared" si="125"/>
        <v>0</v>
      </c>
      <c r="J658">
        <f t="shared" si="126"/>
        <v>0</v>
      </c>
      <c r="K658">
        <f t="shared" si="127"/>
        <v>-13784.020344958069</v>
      </c>
      <c r="L658">
        <f t="shared" si="128"/>
        <v>1471.879655041932</v>
      </c>
      <c r="M658">
        <f t="shared" si="129"/>
        <v>6.7000000000025466</v>
      </c>
      <c r="N658">
        <f t="shared" si="131"/>
        <v>1471.879655041932</v>
      </c>
      <c r="O658" s="5">
        <f t="shared" si="122"/>
        <v>5.2309505613202023E-2</v>
      </c>
      <c r="P658">
        <f t="shared" si="130"/>
        <v>10000</v>
      </c>
      <c r="Q658">
        <f t="shared" si="123"/>
        <v>523.0950561320202</v>
      </c>
    </row>
    <row r="659" spans="1:17" x14ac:dyDescent="0.15">
      <c r="A659" s="10">
        <v>45891.559027777985</v>
      </c>
      <c r="B659">
        <f>COUNT(A659:$A$1158)/(48*252)</f>
        <v>4.1335978835978837E-2</v>
      </c>
      <c r="C659">
        <v>2.2799999999999998</v>
      </c>
      <c r="D659">
        <v>9.7000000000000003E-2</v>
      </c>
      <c r="E659">
        <f t="shared" si="120"/>
        <v>0.43039867214897815</v>
      </c>
      <c r="F659">
        <f t="shared" si="121"/>
        <v>0.66654716945526848</v>
      </c>
      <c r="G659">
        <f t="shared" si="124"/>
        <v>2.9999999999996696E-3</v>
      </c>
      <c r="H659">
        <f>IF(MOD(COUNTA($C$7:C659)-1,$J$2),H658,ROUND(F659*P659,-2))</f>
        <v>6700</v>
      </c>
      <c r="I659">
        <f t="shared" si="125"/>
        <v>0</v>
      </c>
      <c r="J659">
        <f t="shared" si="126"/>
        <v>0</v>
      </c>
      <c r="K659">
        <f t="shared" si="127"/>
        <v>-13784.020344958069</v>
      </c>
      <c r="L659">
        <f t="shared" si="128"/>
        <v>1491.9796550419287</v>
      </c>
      <c r="M659">
        <f t="shared" si="129"/>
        <v>20.099999999996726</v>
      </c>
      <c r="N659">
        <f t="shared" si="131"/>
        <v>1491.9796550419287</v>
      </c>
      <c r="O659" s="5">
        <f t="shared" si="122"/>
        <v>5.122321793625928E-2</v>
      </c>
      <c r="P659">
        <f t="shared" si="130"/>
        <v>10000</v>
      </c>
      <c r="Q659">
        <f t="shared" si="123"/>
        <v>512.23217936259277</v>
      </c>
    </row>
    <row r="660" spans="1:17" x14ac:dyDescent="0.15">
      <c r="A660" s="10">
        <v>45891.5625</v>
      </c>
      <c r="B660">
        <f>COUNT(A660:$A$1158)/(48*252)</f>
        <v>4.1253306878306875E-2</v>
      </c>
      <c r="C660">
        <v>2.278</v>
      </c>
      <c r="D660">
        <v>9.6000000000000002E-2</v>
      </c>
      <c r="E660">
        <f t="shared" si="120"/>
        <v>0.42162681944300678</v>
      </c>
      <c r="F660">
        <f t="shared" si="121"/>
        <v>0.66335128635024276</v>
      </c>
      <c r="G660">
        <f t="shared" si="124"/>
        <v>-1.9999999999997797E-3</v>
      </c>
      <c r="H660">
        <f>IF(MOD(COUNTA($C$7:C660)-1,$J$2),H659,ROUND(F660*P660,-2))</f>
        <v>6700</v>
      </c>
      <c r="I660">
        <f t="shared" si="125"/>
        <v>0</v>
      </c>
      <c r="J660">
        <f t="shared" si="126"/>
        <v>0</v>
      </c>
      <c r="K660">
        <f t="shared" si="127"/>
        <v>-13784.020344958069</v>
      </c>
      <c r="L660">
        <f t="shared" si="128"/>
        <v>1478.5796550419309</v>
      </c>
      <c r="M660">
        <f t="shared" si="129"/>
        <v>-13.399999999997817</v>
      </c>
      <c r="N660">
        <f t="shared" si="131"/>
        <v>1478.5796550419309</v>
      </c>
      <c r="O660" s="5">
        <f t="shared" si="122"/>
        <v>5.1814970781284053E-2</v>
      </c>
      <c r="P660">
        <f t="shared" si="130"/>
        <v>10000</v>
      </c>
      <c r="Q660">
        <f t="shared" si="123"/>
        <v>518.14970781284057</v>
      </c>
    </row>
    <row r="661" spans="1:17" x14ac:dyDescent="0.15">
      <c r="A661" s="10">
        <v>45891.565972222015</v>
      </c>
      <c r="B661">
        <f>COUNT(A661:$A$1158)/(48*252)</f>
        <v>4.117063492063492E-2</v>
      </c>
      <c r="C661">
        <v>2.2770000000000001</v>
      </c>
      <c r="D661">
        <v>9.5000000000000001E-2</v>
      </c>
      <c r="E661">
        <f t="shared" si="120"/>
        <v>0.41737955536368576</v>
      </c>
      <c r="F661">
        <f t="shared" si="121"/>
        <v>0.6617995967298278</v>
      </c>
      <c r="G661">
        <f t="shared" si="124"/>
        <v>-9.9999999999988987E-4</v>
      </c>
      <c r="H661">
        <f>IF(MOD(COUNTA($C$7:C661)-1,$J$2),H660,ROUND(F661*P661,-2))</f>
        <v>6600</v>
      </c>
      <c r="I661">
        <f t="shared" si="125"/>
        <v>-100</v>
      </c>
      <c r="J661">
        <f t="shared" si="126"/>
        <v>0</v>
      </c>
      <c r="K661">
        <f t="shared" si="127"/>
        <v>-13556.330591458069</v>
      </c>
      <c r="L661">
        <f t="shared" si="128"/>
        <v>1471.869408541932</v>
      </c>
      <c r="M661">
        <f t="shared" si="129"/>
        <v>-6.7102464999989024</v>
      </c>
      <c r="N661">
        <f t="shared" si="131"/>
        <v>1471.869408541932</v>
      </c>
      <c r="O661" s="5">
        <f t="shared" si="122"/>
        <v>5.2073813464949104E-2</v>
      </c>
      <c r="P661">
        <f t="shared" si="130"/>
        <v>10000</v>
      </c>
      <c r="Q661">
        <f t="shared" si="123"/>
        <v>520.73813464949103</v>
      </c>
    </row>
    <row r="662" spans="1:17" x14ac:dyDescent="0.15">
      <c r="A662" s="10">
        <v>45891.569444444962</v>
      </c>
      <c r="B662">
        <f>COUNT(A662:$A$1158)/(48*252)</f>
        <v>4.1087962962962965E-2</v>
      </c>
      <c r="C662">
        <v>2.2749999999999999</v>
      </c>
      <c r="D662">
        <v>9.2999999999999999E-2</v>
      </c>
      <c r="E662">
        <f t="shared" si="120"/>
        <v>0.40856585400006667</v>
      </c>
      <c r="F662">
        <f t="shared" si="121"/>
        <v>0.65857085327433595</v>
      </c>
      <c r="G662">
        <f t="shared" si="124"/>
        <v>-2.0000000000002238E-3</v>
      </c>
      <c r="H662">
        <f>IF(MOD(COUNTA($C$7:C662)-1,$J$2),H661,ROUND(F662*P662,-2))</f>
        <v>6600</v>
      </c>
      <c r="I662">
        <f t="shared" si="125"/>
        <v>0</v>
      </c>
      <c r="J662">
        <f t="shared" si="126"/>
        <v>0</v>
      </c>
      <c r="K662">
        <f t="shared" si="127"/>
        <v>-13556.330591458069</v>
      </c>
      <c r="L662">
        <f t="shared" si="128"/>
        <v>1458.6694085419313</v>
      </c>
      <c r="M662">
        <f t="shared" si="129"/>
        <v>-13.200000000000728</v>
      </c>
      <c r="N662">
        <f t="shared" si="131"/>
        <v>1458.6694085419313</v>
      </c>
      <c r="O662" s="5">
        <f t="shared" si="122"/>
        <v>5.2674624344723031E-2</v>
      </c>
      <c r="P662">
        <f t="shared" si="130"/>
        <v>10000</v>
      </c>
      <c r="Q662">
        <f t="shared" si="123"/>
        <v>526.74624344723031</v>
      </c>
    </row>
    <row r="663" spans="1:17" x14ac:dyDescent="0.15">
      <c r="A663" s="10">
        <v>45891.572916666977</v>
      </c>
      <c r="B663">
        <f>COUNT(A663:$A$1158)/(48*252)</f>
        <v>4.1005291005291003E-2</v>
      </c>
      <c r="C663">
        <v>2.274</v>
      </c>
      <c r="D663">
        <v>9.4E-2</v>
      </c>
      <c r="E663">
        <f t="shared" si="120"/>
        <v>0.40429171844688738</v>
      </c>
      <c r="F663">
        <f t="shared" si="121"/>
        <v>0.65700089267296546</v>
      </c>
      <c r="G663">
        <f t="shared" si="124"/>
        <v>-9.9999999999988987E-4</v>
      </c>
      <c r="H663">
        <f>IF(MOD(COUNTA($C$7:C663)-1,$J$2),H662,ROUND(F663*P663,-2))</f>
        <v>6600</v>
      </c>
      <c r="I663">
        <f t="shared" si="125"/>
        <v>0</v>
      </c>
      <c r="J663">
        <f t="shared" si="126"/>
        <v>0</v>
      </c>
      <c r="K663">
        <f t="shared" si="127"/>
        <v>-13556.330591458069</v>
      </c>
      <c r="L663">
        <f t="shared" si="128"/>
        <v>1452.0694085419309</v>
      </c>
      <c r="M663">
        <f t="shared" si="129"/>
        <v>-6.6000000000003638</v>
      </c>
      <c r="N663">
        <f t="shared" si="131"/>
        <v>1452.0694085419309</v>
      </c>
      <c r="O663" s="5">
        <f t="shared" si="122"/>
        <v>5.2937790690976261E-2</v>
      </c>
      <c r="P663">
        <f t="shared" si="130"/>
        <v>10000</v>
      </c>
      <c r="Q663">
        <f t="shared" si="123"/>
        <v>529.3779069097626</v>
      </c>
    </row>
    <row r="664" spans="1:17" x14ac:dyDescent="0.15">
      <c r="A664" s="10">
        <v>45891.576388888992</v>
      </c>
      <c r="B664">
        <f>COUNT(A664:$A$1158)/(48*252)</f>
        <v>4.0922619047619048E-2</v>
      </c>
      <c r="C664">
        <v>2.2730000000000001</v>
      </c>
      <c r="D664">
        <v>9.2999999999999999E-2</v>
      </c>
      <c r="E664">
        <f t="shared" si="120"/>
        <v>0.40000735920719804</v>
      </c>
      <c r="F664">
        <f t="shared" si="121"/>
        <v>0.65542445178260256</v>
      </c>
      <c r="G664">
        <f t="shared" si="124"/>
        <v>-9.9999999999988987E-4</v>
      </c>
      <c r="H664">
        <f>IF(MOD(COUNTA($C$7:C664)-1,$J$2),H663,ROUND(F664*P664,-2))</f>
        <v>6600</v>
      </c>
      <c r="I664">
        <f t="shared" si="125"/>
        <v>0</v>
      </c>
      <c r="J664">
        <f t="shared" si="126"/>
        <v>0</v>
      </c>
      <c r="K664">
        <f t="shared" si="127"/>
        <v>-13556.330591458069</v>
      </c>
      <c r="L664">
        <f t="shared" si="128"/>
        <v>1445.4694085419324</v>
      </c>
      <c r="M664">
        <f t="shared" si="129"/>
        <v>-6.5999999999985448</v>
      </c>
      <c r="N664">
        <f t="shared" si="131"/>
        <v>1445.4694085419324</v>
      </c>
      <c r="O664" s="5">
        <f t="shared" si="122"/>
        <v>5.3202352281976784E-2</v>
      </c>
      <c r="P664">
        <f t="shared" si="130"/>
        <v>10000</v>
      </c>
      <c r="Q664">
        <f t="shared" si="123"/>
        <v>532.02352281976789</v>
      </c>
    </row>
    <row r="665" spans="1:17" x14ac:dyDescent="0.15">
      <c r="A665" s="10">
        <v>45891.579861111008</v>
      </c>
      <c r="B665">
        <f>COUNT(A665:$A$1158)/(48*252)</f>
        <v>4.0839947089947093E-2</v>
      </c>
      <c r="C665">
        <v>2.2749999999999999</v>
      </c>
      <c r="D665">
        <v>9.4E-2</v>
      </c>
      <c r="E665">
        <f t="shared" si="120"/>
        <v>0.40943520117288629</v>
      </c>
      <c r="F665">
        <f t="shared" si="121"/>
        <v>0.65888984439857512</v>
      </c>
      <c r="G665">
        <f t="shared" si="124"/>
        <v>1.9999999999997797E-3</v>
      </c>
      <c r="H665">
        <f>IF(MOD(COUNTA($C$7:C665)-1,$J$2),H664,ROUND(F665*P665,-2))</f>
        <v>6600</v>
      </c>
      <c r="I665">
        <f t="shared" si="125"/>
        <v>0</v>
      </c>
      <c r="J665">
        <f t="shared" si="126"/>
        <v>0</v>
      </c>
      <c r="K665">
        <f t="shared" si="127"/>
        <v>-13556.330591458069</v>
      </c>
      <c r="L665">
        <f t="shared" si="128"/>
        <v>1458.6694085419313</v>
      </c>
      <c r="M665">
        <f t="shared" si="129"/>
        <v>13.199999999998909</v>
      </c>
      <c r="N665">
        <f t="shared" si="131"/>
        <v>1458.6694085419313</v>
      </c>
      <c r="O665" s="5">
        <f t="shared" si="122"/>
        <v>5.243742189888756E-2</v>
      </c>
      <c r="P665">
        <f t="shared" si="130"/>
        <v>10000</v>
      </c>
      <c r="Q665">
        <f t="shared" si="123"/>
        <v>524.37421898887555</v>
      </c>
    </row>
    <row r="666" spans="1:17" x14ac:dyDescent="0.15">
      <c r="A666" s="10">
        <v>45891.583333333023</v>
      </c>
      <c r="B666">
        <f>COUNT(A666:$A$1158)/(48*252)</f>
        <v>4.0757275132275131E-2</v>
      </c>
      <c r="C666">
        <v>2.274</v>
      </c>
      <c r="D666">
        <v>9.5000000000000001E-2</v>
      </c>
      <c r="E666">
        <f t="shared" si="120"/>
        <v>0.40515021524467321</v>
      </c>
      <c r="F666">
        <f t="shared" si="121"/>
        <v>0.65731645141789352</v>
      </c>
      <c r="G666">
        <f t="shared" si="124"/>
        <v>-9.9999999999988987E-4</v>
      </c>
      <c r="H666">
        <f>IF(MOD(COUNTA($C$7:C666)-1,$J$2),H665,ROUND(F666*P666,-2))</f>
        <v>6600</v>
      </c>
      <c r="I666">
        <f t="shared" si="125"/>
        <v>0</v>
      </c>
      <c r="J666">
        <f t="shared" si="126"/>
        <v>0</v>
      </c>
      <c r="K666">
        <f t="shared" si="127"/>
        <v>-13556.330591458069</v>
      </c>
      <c r="L666">
        <f t="shared" si="128"/>
        <v>1452.0694085419309</v>
      </c>
      <c r="M666">
        <f t="shared" si="129"/>
        <v>-6.6000000000003638</v>
      </c>
      <c r="N666">
        <f t="shared" si="131"/>
        <v>1452.0694085419309</v>
      </c>
      <c r="O666" s="5">
        <f t="shared" si="122"/>
        <v>5.2700051021444483E-2</v>
      </c>
      <c r="P666">
        <f t="shared" si="130"/>
        <v>10000</v>
      </c>
      <c r="Q666">
        <f t="shared" si="123"/>
        <v>527.00051021444483</v>
      </c>
    </row>
    <row r="667" spans="1:17" x14ac:dyDescent="0.15">
      <c r="A667" s="10">
        <v>45891.586805555969</v>
      </c>
      <c r="B667">
        <f>COUNT(A667:$A$1158)/(48*252)</f>
        <v>4.0674603174603176E-2</v>
      </c>
      <c r="C667">
        <v>2.2719999999999998</v>
      </c>
      <c r="D667">
        <v>9.4E-2</v>
      </c>
      <c r="E667">
        <f t="shared" si="120"/>
        <v>0.39626947037518162</v>
      </c>
      <c r="F667">
        <f t="shared" si="121"/>
        <v>0.65404687658994232</v>
      </c>
      <c r="G667">
        <f t="shared" si="124"/>
        <v>-2.0000000000002238E-3</v>
      </c>
      <c r="H667">
        <f>IF(MOD(COUNTA($C$7:C667)-1,$J$2),H666,ROUND(F667*P667,-2))</f>
        <v>6500</v>
      </c>
      <c r="I667">
        <f t="shared" si="125"/>
        <v>-100</v>
      </c>
      <c r="J667">
        <f t="shared" si="126"/>
        <v>0</v>
      </c>
      <c r="K667">
        <f t="shared" si="127"/>
        <v>-13329.140815458068</v>
      </c>
      <c r="L667">
        <f t="shared" si="128"/>
        <v>1438.8591845419305</v>
      </c>
      <c r="M667">
        <f t="shared" si="129"/>
        <v>-13.21022400000038</v>
      </c>
      <c r="N667">
        <f t="shared" si="131"/>
        <v>1438.8591845419305</v>
      </c>
      <c r="O667" s="5">
        <f t="shared" si="122"/>
        <v>5.3309185178610718E-2</v>
      </c>
      <c r="P667">
        <f t="shared" si="130"/>
        <v>10000</v>
      </c>
      <c r="Q667">
        <f t="shared" si="123"/>
        <v>533.09185178610721</v>
      </c>
    </row>
    <row r="668" spans="1:17" x14ac:dyDescent="0.15">
      <c r="A668" s="10">
        <v>45891.590277777985</v>
      </c>
      <c r="B668">
        <f>COUNT(A668:$A$1158)/(48*252)</f>
        <v>4.0591931216931214E-2</v>
      </c>
      <c r="C668">
        <v>2.2770000000000001</v>
      </c>
      <c r="D668">
        <v>9.6000000000000002E-2</v>
      </c>
      <c r="E668">
        <f t="shared" si="120"/>
        <v>0.41947976883416893</v>
      </c>
      <c r="F668">
        <f t="shared" si="121"/>
        <v>0.66256723137327778</v>
      </c>
      <c r="G668">
        <f t="shared" si="124"/>
        <v>5.0000000000003375E-3</v>
      </c>
      <c r="H668">
        <f>IF(MOD(COUNTA($C$7:C668)-1,$J$2),H667,ROUND(F668*P668,-2))</f>
        <v>6500</v>
      </c>
      <c r="I668">
        <f t="shared" si="125"/>
        <v>0</v>
      </c>
      <c r="J668">
        <f t="shared" si="126"/>
        <v>0</v>
      </c>
      <c r="K668">
        <f t="shared" si="127"/>
        <v>-13329.140815458068</v>
      </c>
      <c r="L668">
        <f t="shared" si="128"/>
        <v>1471.3591845419323</v>
      </c>
      <c r="M668">
        <f t="shared" si="129"/>
        <v>32.500000000001819</v>
      </c>
      <c r="N668">
        <f t="shared" si="131"/>
        <v>1471.3591845419323</v>
      </c>
      <c r="O668" s="5">
        <f t="shared" si="122"/>
        <v>5.152134138084663E-2</v>
      </c>
      <c r="P668">
        <f t="shared" si="130"/>
        <v>10000</v>
      </c>
      <c r="Q668">
        <f t="shared" si="123"/>
        <v>515.21341380846627</v>
      </c>
    </row>
    <row r="669" spans="1:17" x14ac:dyDescent="0.15">
      <c r="A669" s="10">
        <v>45891.59375</v>
      </c>
      <c r="B669">
        <f>COUNT(A669:$A$1158)/(48*252)</f>
        <v>4.0509259259259259E-2</v>
      </c>
      <c r="C669">
        <v>2.2719999999999998</v>
      </c>
      <c r="D669">
        <v>9.4E-2</v>
      </c>
      <c r="E669">
        <f t="shared" si="120"/>
        <v>0.39683011727629203</v>
      </c>
      <c r="F669">
        <f t="shared" si="121"/>
        <v>0.65425363001167036</v>
      </c>
      <c r="G669">
        <f t="shared" si="124"/>
        <v>-5.0000000000003375E-3</v>
      </c>
      <c r="H669">
        <f>IF(MOD(COUNTA($C$7:C669)-1,$J$2),H668,ROUND(F669*P669,-2))</f>
        <v>6500</v>
      </c>
      <c r="I669">
        <f t="shared" si="125"/>
        <v>0</v>
      </c>
      <c r="J669">
        <f t="shared" si="126"/>
        <v>0</v>
      </c>
      <c r="K669">
        <f t="shared" si="127"/>
        <v>-13329.140815458068</v>
      </c>
      <c r="L669">
        <f t="shared" si="128"/>
        <v>1438.8591845419305</v>
      </c>
      <c r="M669">
        <f t="shared" si="129"/>
        <v>-32.500000000001819</v>
      </c>
      <c r="N669">
        <f t="shared" si="131"/>
        <v>1438.8591845419305</v>
      </c>
      <c r="O669" s="5">
        <f t="shared" si="122"/>
        <v>5.3149755009749944E-2</v>
      </c>
      <c r="P669">
        <f t="shared" si="130"/>
        <v>10000</v>
      </c>
      <c r="Q669">
        <f t="shared" si="123"/>
        <v>531.49755009749947</v>
      </c>
    </row>
    <row r="670" spans="1:17" x14ac:dyDescent="0.15">
      <c r="A670" s="10">
        <v>45891.597222222015</v>
      </c>
      <c r="B670">
        <f>COUNT(A670:$A$1158)/(48*252)</f>
        <v>4.0426587301587304E-2</v>
      </c>
      <c r="C670">
        <v>2.2719999999999998</v>
      </c>
      <c r="D670">
        <v>9.2999999999999999E-2</v>
      </c>
      <c r="E670">
        <f t="shared" si="120"/>
        <v>0.39711191909146898</v>
      </c>
      <c r="F670">
        <f t="shared" si="121"/>
        <v>0.65435753454306367</v>
      </c>
      <c r="G670">
        <f t="shared" si="124"/>
        <v>0</v>
      </c>
      <c r="H670">
        <f>IF(MOD(COUNTA($C$7:C670)-1,$J$2),H669,ROUND(F670*P670,-2))</f>
        <v>6500</v>
      </c>
      <c r="I670">
        <f t="shared" si="125"/>
        <v>0</v>
      </c>
      <c r="J670">
        <f t="shared" si="126"/>
        <v>0</v>
      </c>
      <c r="K670">
        <f t="shared" si="127"/>
        <v>-13329.140815458068</v>
      </c>
      <c r="L670">
        <f t="shared" si="128"/>
        <v>1438.8591845419305</v>
      </c>
      <c r="M670">
        <f t="shared" si="129"/>
        <v>0</v>
      </c>
      <c r="N670">
        <f t="shared" si="131"/>
        <v>1438.8591845419305</v>
      </c>
      <c r="O670" s="5">
        <f t="shared" si="122"/>
        <v>5.3069927249625004E-2</v>
      </c>
      <c r="P670">
        <f t="shared" si="130"/>
        <v>10000</v>
      </c>
      <c r="Q670">
        <f t="shared" si="123"/>
        <v>530.69927249625005</v>
      </c>
    </row>
    <row r="671" spans="1:17" x14ac:dyDescent="0.15">
      <c r="A671" s="10">
        <v>45891.600694444962</v>
      </c>
      <c r="B671">
        <f>COUNT(A671:$A$1158)/(48*252)</f>
        <v>4.0343915343915342E-2</v>
      </c>
      <c r="C671">
        <v>2.2709999999999999</v>
      </c>
      <c r="D671">
        <v>9.2999999999999999E-2</v>
      </c>
      <c r="E671">
        <f t="shared" si="120"/>
        <v>0.39278847144557649</v>
      </c>
      <c r="F671">
        <f t="shared" si="121"/>
        <v>0.65276213989925103</v>
      </c>
      <c r="G671">
        <f t="shared" si="124"/>
        <v>-9.9999999999988987E-4</v>
      </c>
      <c r="H671">
        <f>IF(MOD(COUNTA($C$7:C671)-1,$J$2),H670,ROUND(F671*P671,-2))</f>
        <v>6500</v>
      </c>
      <c r="I671">
        <f t="shared" si="125"/>
        <v>0</v>
      </c>
      <c r="J671">
        <f t="shared" si="126"/>
        <v>0</v>
      </c>
      <c r="K671">
        <f t="shared" si="127"/>
        <v>-13329.140815458068</v>
      </c>
      <c r="L671">
        <f t="shared" si="128"/>
        <v>1432.3591845419323</v>
      </c>
      <c r="M671">
        <f t="shared" si="129"/>
        <v>-6.499999999998181</v>
      </c>
      <c r="N671">
        <f t="shared" si="131"/>
        <v>1432.3591845419323</v>
      </c>
      <c r="O671" s="5">
        <f t="shared" si="122"/>
        <v>5.3336411816373053E-2</v>
      </c>
      <c r="P671">
        <f t="shared" si="130"/>
        <v>10000</v>
      </c>
      <c r="Q671">
        <f t="shared" si="123"/>
        <v>533.3641181637305</v>
      </c>
    </row>
    <row r="672" spans="1:17" x14ac:dyDescent="0.15">
      <c r="A672" s="10">
        <v>45891.604166666977</v>
      </c>
      <c r="B672">
        <f>COUNT(A672:$A$1158)/(48*252)</f>
        <v>4.0261243386243387E-2</v>
      </c>
      <c r="C672">
        <v>2.2669999999999999</v>
      </c>
      <c r="D672">
        <v>9.1999999999999998E-2</v>
      </c>
      <c r="E672">
        <f t="shared" si="120"/>
        <v>0.37460333573195509</v>
      </c>
      <c r="F672">
        <f t="shared" si="121"/>
        <v>0.64602225407705238</v>
      </c>
      <c r="G672">
        <f t="shared" si="124"/>
        <v>-4.0000000000000036E-3</v>
      </c>
      <c r="H672">
        <f>IF(MOD(COUNTA($C$7:C672)-1,$J$2),H671,ROUND(F672*P672,-2))</f>
        <v>6500</v>
      </c>
      <c r="I672">
        <f t="shared" si="125"/>
        <v>0</v>
      </c>
      <c r="J672">
        <f t="shared" si="126"/>
        <v>0</v>
      </c>
      <c r="K672">
        <f t="shared" si="127"/>
        <v>-13329.140815458068</v>
      </c>
      <c r="L672">
        <f t="shared" si="128"/>
        <v>1406.3591845419323</v>
      </c>
      <c r="M672">
        <f t="shared" si="129"/>
        <v>-26</v>
      </c>
      <c r="N672">
        <f t="shared" si="131"/>
        <v>1406.3591845419323</v>
      </c>
      <c r="O672" s="5">
        <f t="shared" si="122"/>
        <v>5.4658534147676852E-2</v>
      </c>
      <c r="P672">
        <f t="shared" si="130"/>
        <v>10000</v>
      </c>
      <c r="Q672">
        <f t="shared" si="123"/>
        <v>546.58534147676846</v>
      </c>
    </row>
    <row r="673" spans="1:17" x14ac:dyDescent="0.15">
      <c r="A673" s="10">
        <v>45891.607638888992</v>
      </c>
      <c r="B673">
        <f>COUNT(A673:$A$1158)/(48*252)</f>
        <v>4.0178571428571432E-2</v>
      </c>
      <c r="C673">
        <v>2.2599999999999998</v>
      </c>
      <c r="D673">
        <v>8.6999999999999994E-2</v>
      </c>
      <c r="E673">
        <f t="shared" si="120"/>
        <v>0.34244021245273332</v>
      </c>
      <c r="F673">
        <f t="shared" si="121"/>
        <v>0.63399018473717883</v>
      </c>
      <c r="G673">
        <f t="shared" si="124"/>
        <v>-7.0000000000001172E-3</v>
      </c>
      <c r="H673">
        <f>IF(MOD(COUNTA($C$7:C673)-1,$J$2),H672,ROUND(F673*P673,-2))</f>
        <v>6300</v>
      </c>
      <c r="I673">
        <f t="shared" si="125"/>
        <v>-200</v>
      </c>
      <c r="J673">
        <f t="shared" si="126"/>
        <v>0</v>
      </c>
      <c r="K673">
        <f t="shared" si="127"/>
        <v>-12877.161155458067</v>
      </c>
      <c r="L673">
        <f t="shared" si="128"/>
        <v>1360.8388445419314</v>
      </c>
      <c r="M673">
        <f t="shared" si="129"/>
        <v>-45.520340000000942</v>
      </c>
      <c r="N673">
        <f t="shared" si="131"/>
        <v>1360.8388445419314</v>
      </c>
      <c r="O673" s="5">
        <f t="shared" si="122"/>
        <v>5.7097486868427305E-2</v>
      </c>
      <c r="P673">
        <f t="shared" si="130"/>
        <v>10000</v>
      </c>
      <c r="Q673">
        <f t="shared" si="123"/>
        <v>570.97486868427302</v>
      </c>
    </row>
    <row r="674" spans="1:17" x14ac:dyDescent="0.15">
      <c r="A674" s="10">
        <v>45891.611111111008</v>
      </c>
      <c r="B674">
        <f>COUNT(A674:$A$1158)/(48*252)</f>
        <v>4.009589947089947E-2</v>
      </c>
      <c r="C674">
        <v>2.262</v>
      </c>
      <c r="D674">
        <v>8.6999999999999994E-2</v>
      </c>
      <c r="E674">
        <f t="shared" si="120"/>
        <v>0.35195265201011328</v>
      </c>
      <c r="F674">
        <f t="shared" si="121"/>
        <v>0.6375631142063044</v>
      </c>
      <c r="G674">
        <f t="shared" si="124"/>
        <v>2.0000000000002238E-3</v>
      </c>
      <c r="H674">
        <f>IF(MOD(COUNTA($C$7:C674)-1,$J$2),H673,ROUND(F674*P674,-2))</f>
        <v>6300</v>
      </c>
      <c r="I674">
        <f t="shared" si="125"/>
        <v>0</v>
      </c>
      <c r="J674">
        <f t="shared" si="126"/>
        <v>0</v>
      </c>
      <c r="K674">
        <f t="shared" si="127"/>
        <v>-12877.161155458067</v>
      </c>
      <c r="L674">
        <f t="shared" si="128"/>
        <v>1373.4388445419336</v>
      </c>
      <c r="M674">
        <f t="shared" si="129"/>
        <v>12.600000000002183</v>
      </c>
      <c r="N674">
        <f t="shared" si="131"/>
        <v>1373.4388445419336</v>
      </c>
      <c r="O674" s="5">
        <f t="shared" si="122"/>
        <v>5.6287848806874208E-2</v>
      </c>
      <c r="P674">
        <f t="shared" si="130"/>
        <v>10000</v>
      </c>
      <c r="Q674">
        <f t="shared" si="123"/>
        <v>562.87848806874206</v>
      </c>
    </row>
    <row r="675" spans="1:17" x14ac:dyDescent="0.15">
      <c r="A675" s="10">
        <v>45891.614583333023</v>
      </c>
      <c r="B675">
        <f>COUNT(A675:$A$1158)/(48*252)</f>
        <v>4.0013227513227514E-2</v>
      </c>
      <c r="C675">
        <v>2.2629999999999999</v>
      </c>
      <c r="D675">
        <v>8.6999999999999994E-2</v>
      </c>
      <c r="E675">
        <f t="shared" si="120"/>
        <v>0.356835302143097</v>
      </c>
      <c r="F675">
        <f t="shared" si="121"/>
        <v>0.63939244677764662</v>
      </c>
      <c r="G675">
        <f t="shared" si="124"/>
        <v>9.9999999999988987E-4</v>
      </c>
      <c r="H675">
        <f>IF(MOD(COUNTA($C$7:C675)-1,$J$2),H674,ROUND(F675*P675,-2))</f>
        <v>6300</v>
      </c>
      <c r="I675">
        <f t="shared" si="125"/>
        <v>0</v>
      </c>
      <c r="J675">
        <f t="shared" si="126"/>
        <v>0</v>
      </c>
      <c r="K675">
        <f t="shared" si="127"/>
        <v>-12877.161155458067</v>
      </c>
      <c r="L675">
        <f t="shared" si="128"/>
        <v>1379.7388445419328</v>
      </c>
      <c r="M675">
        <f t="shared" si="129"/>
        <v>6.2999999999992724</v>
      </c>
      <c r="N675">
        <f t="shared" si="131"/>
        <v>1379.7388445419328</v>
      </c>
      <c r="O675" s="5">
        <f t="shared" si="122"/>
        <v>5.5845187662847406E-2</v>
      </c>
      <c r="P675">
        <f t="shared" si="130"/>
        <v>10000</v>
      </c>
      <c r="Q675">
        <f t="shared" si="123"/>
        <v>558.45187662847411</v>
      </c>
    </row>
    <row r="676" spans="1:17" x14ac:dyDescent="0.15">
      <c r="A676" s="10">
        <v>45891.618055555969</v>
      </c>
      <c r="B676">
        <f>COUNT(A676:$A$1158)/(48*252)</f>
        <v>3.9930555555555552E-2</v>
      </c>
      <c r="C676">
        <v>2.2629999999999999</v>
      </c>
      <c r="D676">
        <v>8.7999999999999995E-2</v>
      </c>
      <c r="E676">
        <f t="shared" si="120"/>
        <v>0.35707999189762663</v>
      </c>
      <c r="F676">
        <f t="shared" si="121"/>
        <v>0.63948403870915138</v>
      </c>
      <c r="G676">
        <f t="shared" si="124"/>
        <v>0</v>
      </c>
      <c r="H676">
        <f>IF(MOD(COUNTA($C$7:C676)-1,$J$2),H675,ROUND(F676*P676,-2))</f>
        <v>6300</v>
      </c>
      <c r="I676">
        <f t="shared" si="125"/>
        <v>0</v>
      </c>
      <c r="J676">
        <f t="shared" si="126"/>
        <v>0</v>
      </c>
      <c r="K676">
        <f t="shared" si="127"/>
        <v>-12877.161155458067</v>
      </c>
      <c r="L676">
        <f t="shared" si="128"/>
        <v>1379.7388445419328</v>
      </c>
      <c r="M676">
        <f t="shared" si="129"/>
        <v>0</v>
      </c>
      <c r="N676">
        <f t="shared" si="131"/>
        <v>1379.7388445419328</v>
      </c>
      <c r="O676" s="5">
        <f t="shared" si="122"/>
        <v>5.5764014566395126E-2</v>
      </c>
      <c r="P676">
        <f t="shared" si="130"/>
        <v>10000</v>
      </c>
      <c r="Q676">
        <f t="shared" si="123"/>
        <v>557.64014566395122</v>
      </c>
    </row>
    <row r="677" spans="1:17" x14ac:dyDescent="0.15">
      <c r="A677" s="10">
        <v>45891.621527777985</v>
      </c>
      <c r="B677">
        <f>COUNT(A677:$A$1158)/(48*252)</f>
        <v>3.9847883597883597E-2</v>
      </c>
      <c r="C677">
        <v>2.2599999999999998</v>
      </c>
      <c r="D677">
        <v>8.5999999999999993E-2</v>
      </c>
      <c r="E677">
        <f t="shared" si="120"/>
        <v>0.34335961815380389</v>
      </c>
      <c r="F677">
        <f t="shared" si="121"/>
        <v>0.63433603251991533</v>
      </c>
      <c r="G677">
        <f t="shared" si="124"/>
        <v>-3.0000000000001137E-3</v>
      </c>
      <c r="H677">
        <f>IF(MOD(COUNTA($C$7:C677)-1,$J$2),H676,ROUND(F677*P677,-2))</f>
        <v>6300</v>
      </c>
      <c r="I677">
        <f t="shared" si="125"/>
        <v>0</v>
      </c>
      <c r="J677">
        <f t="shared" si="126"/>
        <v>0</v>
      </c>
      <c r="K677">
        <f t="shared" si="127"/>
        <v>-12877.161155458067</v>
      </c>
      <c r="L677">
        <f t="shared" si="128"/>
        <v>1360.8388445419314</v>
      </c>
      <c r="M677">
        <f t="shared" si="129"/>
        <v>-18.900000000001455</v>
      </c>
      <c r="N677">
        <f t="shared" si="131"/>
        <v>1360.8388445419314</v>
      </c>
      <c r="O677" s="5">
        <f t="shared" si="122"/>
        <v>5.6771885612500239E-2</v>
      </c>
      <c r="P677">
        <f t="shared" si="130"/>
        <v>10000</v>
      </c>
      <c r="Q677">
        <f t="shared" si="123"/>
        <v>567.71885612500239</v>
      </c>
    </row>
    <row r="678" spans="1:17" x14ac:dyDescent="0.15">
      <c r="A678" s="10">
        <v>45891.625</v>
      </c>
      <c r="B678">
        <f>COUNT(A678:$A$1158)/(48*252)</f>
        <v>3.9765211640211642E-2</v>
      </c>
      <c r="C678">
        <v>2.258</v>
      </c>
      <c r="D678">
        <v>8.5000000000000006E-2</v>
      </c>
      <c r="E678">
        <f t="shared" si="120"/>
        <v>0.33426095989040183</v>
      </c>
      <c r="F678">
        <f t="shared" si="121"/>
        <v>0.63090867635534043</v>
      </c>
      <c r="G678">
        <f t="shared" si="124"/>
        <v>-1.9999999999997797E-3</v>
      </c>
      <c r="H678">
        <f>IF(MOD(COUNTA($C$7:C678)-1,$J$2),H677,ROUND(F678*P678,-2))</f>
        <v>6300</v>
      </c>
      <c r="I678">
        <f t="shared" si="125"/>
        <v>0</v>
      </c>
      <c r="J678">
        <f t="shared" si="126"/>
        <v>0</v>
      </c>
      <c r="K678">
        <f t="shared" si="127"/>
        <v>-12877.161155458067</v>
      </c>
      <c r="L678">
        <f t="shared" si="128"/>
        <v>1348.2388445419328</v>
      </c>
      <c r="M678">
        <f t="shared" si="129"/>
        <v>-12.599999999998545</v>
      </c>
      <c r="N678">
        <f t="shared" si="131"/>
        <v>1348.2388445419328</v>
      </c>
      <c r="O678" s="5">
        <f t="shared" si="122"/>
        <v>5.7424949272230186E-2</v>
      </c>
      <c r="P678">
        <f t="shared" si="130"/>
        <v>10000</v>
      </c>
      <c r="Q678">
        <f t="shared" si="123"/>
        <v>574.24949272230185</v>
      </c>
    </row>
    <row r="679" spans="1:17" x14ac:dyDescent="0.15">
      <c r="A679" s="10">
        <v>45892.399305555969</v>
      </c>
      <c r="B679">
        <f>COUNT(A679:$A$1158)/(48*252)</f>
        <v>3.968253968253968E-2</v>
      </c>
      <c r="C679">
        <v>2.2559999999999998</v>
      </c>
      <c r="D679">
        <v>8.5999999999999993E-2</v>
      </c>
      <c r="E679">
        <f t="shared" si="120"/>
        <v>0.32513545058636895</v>
      </c>
      <c r="F679">
        <f t="shared" si="121"/>
        <v>0.62746072021306531</v>
      </c>
      <c r="G679">
        <f t="shared" si="124"/>
        <v>-2.0000000000002238E-3</v>
      </c>
      <c r="H679">
        <f>IF(MOD(COUNTA($C$7:C679)-1,$J$2),H678,ROUND(F679*P679,-2))</f>
        <v>6300</v>
      </c>
      <c r="I679">
        <f t="shared" si="125"/>
        <v>0</v>
      </c>
      <c r="J679">
        <f t="shared" si="126"/>
        <v>0</v>
      </c>
      <c r="K679">
        <f t="shared" si="127"/>
        <v>-12877.161155458067</v>
      </c>
      <c r="L679">
        <f t="shared" si="128"/>
        <v>1335.6388445419325</v>
      </c>
      <c r="M679">
        <f t="shared" si="129"/>
        <v>-12.600000000000364</v>
      </c>
      <c r="N679">
        <f t="shared" si="131"/>
        <v>1335.6388445419325</v>
      </c>
      <c r="O679" s="5">
        <f t="shared" si="122"/>
        <v>5.8084638482721274E-2</v>
      </c>
      <c r="P679">
        <f t="shared" si="130"/>
        <v>10000</v>
      </c>
      <c r="Q679">
        <f t="shared" si="123"/>
        <v>580.84638482721277</v>
      </c>
    </row>
    <row r="680" spans="1:17" x14ac:dyDescent="0.15">
      <c r="A680" s="10">
        <v>45892.402777777985</v>
      </c>
      <c r="B680">
        <f>COUNT(A680:$A$1158)/(48*252)</f>
        <v>3.9599867724867725E-2</v>
      </c>
      <c r="C680">
        <v>2.2639999999999998</v>
      </c>
      <c r="D680">
        <v>8.6999999999999994E-2</v>
      </c>
      <c r="E680">
        <f t="shared" si="120"/>
        <v>0.3627334470586065</v>
      </c>
      <c r="F680">
        <f t="shared" si="121"/>
        <v>0.64159799407868889</v>
      </c>
      <c r="G680">
        <f t="shared" si="124"/>
        <v>8.0000000000000071E-3</v>
      </c>
      <c r="H680">
        <f>IF(MOD(COUNTA($C$7:C680)-1,$J$2),H679,ROUND(F680*P680,-2))</f>
        <v>6300</v>
      </c>
      <c r="I680">
        <f t="shared" si="125"/>
        <v>0</v>
      </c>
      <c r="J680">
        <f t="shared" si="126"/>
        <v>0</v>
      </c>
      <c r="K680">
        <f t="shared" si="127"/>
        <v>-12877.161155458067</v>
      </c>
      <c r="L680">
        <f t="shared" si="128"/>
        <v>1386.0388445419321</v>
      </c>
      <c r="M680">
        <f t="shared" si="129"/>
        <v>50.399999999999636</v>
      </c>
      <c r="N680">
        <f t="shared" si="131"/>
        <v>1386.0388445419321</v>
      </c>
      <c r="O680" s="5">
        <f t="shared" si="122"/>
        <v>5.5079248795814162E-2</v>
      </c>
      <c r="P680">
        <f t="shared" si="130"/>
        <v>10000</v>
      </c>
      <c r="Q680">
        <f t="shared" si="123"/>
        <v>550.79248795814158</v>
      </c>
    </row>
    <row r="681" spans="1:17" x14ac:dyDescent="0.15">
      <c r="A681" s="10">
        <v>45892.40625</v>
      </c>
      <c r="B681">
        <f>COUNT(A681:$A$1158)/(48*252)</f>
        <v>3.951719576719577E-2</v>
      </c>
      <c r="C681">
        <v>2.2639999999999998</v>
      </c>
      <c r="D681">
        <v>8.6999999999999994E-2</v>
      </c>
      <c r="E681">
        <f t="shared" si="120"/>
        <v>0.36298751361475767</v>
      </c>
      <c r="F681">
        <f t="shared" si="121"/>
        <v>0.64169289409382868</v>
      </c>
      <c r="G681">
        <f t="shared" si="124"/>
        <v>0</v>
      </c>
      <c r="H681">
        <f>IF(MOD(COUNTA($C$7:C681)-1,$J$2),H680,ROUND(F681*P681,-2))</f>
        <v>6300</v>
      </c>
      <c r="I681">
        <f t="shared" si="125"/>
        <v>0</v>
      </c>
      <c r="J681">
        <f t="shared" si="126"/>
        <v>0</v>
      </c>
      <c r="K681">
        <f t="shared" si="127"/>
        <v>-12877.161155458067</v>
      </c>
      <c r="L681">
        <f t="shared" si="128"/>
        <v>1386.0388445419321</v>
      </c>
      <c r="M681">
        <f t="shared" si="129"/>
        <v>0</v>
      </c>
      <c r="N681">
        <f t="shared" si="131"/>
        <v>1386.0388445419321</v>
      </c>
      <c r="O681" s="5">
        <f t="shared" si="122"/>
        <v>5.4997768872555031E-2</v>
      </c>
      <c r="P681">
        <f t="shared" si="130"/>
        <v>10000</v>
      </c>
      <c r="Q681">
        <f t="shared" si="123"/>
        <v>549.97768872555025</v>
      </c>
    </row>
    <row r="682" spans="1:17" x14ac:dyDescent="0.15">
      <c r="A682" s="10">
        <v>45892.409722222015</v>
      </c>
      <c r="B682">
        <f>COUNT(A682:$A$1158)/(48*252)</f>
        <v>3.9434523809523808E-2</v>
      </c>
      <c r="C682">
        <v>2.2690000000000001</v>
      </c>
      <c r="D682">
        <v>8.8999999999999996E-2</v>
      </c>
      <c r="E682">
        <f t="shared" si="120"/>
        <v>0.38658916440943514</v>
      </c>
      <c r="F682">
        <f t="shared" si="121"/>
        <v>0.65046980950693434</v>
      </c>
      <c r="G682">
        <f t="shared" si="124"/>
        <v>5.0000000000003375E-3</v>
      </c>
      <c r="H682">
        <f>IF(MOD(COUNTA($C$7:C682)-1,$J$2),H681,ROUND(F682*P682,-2))</f>
        <v>6300</v>
      </c>
      <c r="I682">
        <f t="shared" si="125"/>
        <v>0</v>
      </c>
      <c r="J682">
        <f t="shared" si="126"/>
        <v>0</v>
      </c>
      <c r="K682">
        <f t="shared" si="127"/>
        <v>-12877.161155458067</v>
      </c>
      <c r="L682">
        <f t="shared" si="128"/>
        <v>1417.5388445419339</v>
      </c>
      <c r="M682">
        <f t="shared" si="129"/>
        <v>31.500000000001819</v>
      </c>
      <c r="N682">
        <f t="shared" si="131"/>
        <v>1417.5388445419339</v>
      </c>
      <c r="O682" s="5">
        <f t="shared" si="122"/>
        <v>5.3146892921724587E-2</v>
      </c>
      <c r="P682">
        <f t="shared" si="130"/>
        <v>10000</v>
      </c>
      <c r="Q682">
        <f t="shared" si="123"/>
        <v>531.46892921724589</v>
      </c>
    </row>
    <row r="683" spans="1:17" x14ac:dyDescent="0.15">
      <c r="A683" s="10">
        <v>45892.413194444962</v>
      </c>
      <c r="B683">
        <f>COUNT(A683:$A$1158)/(48*252)</f>
        <v>3.9351851851851853E-2</v>
      </c>
      <c r="C683">
        <v>2.266</v>
      </c>
      <c r="D683">
        <v>8.7999999999999995E-2</v>
      </c>
      <c r="E683">
        <f t="shared" si="120"/>
        <v>0.37285309478813994</v>
      </c>
      <c r="F683">
        <f t="shared" si="121"/>
        <v>0.64537110819442378</v>
      </c>
      <c r="G683">
        <f t="shared" si="124"/>
        <v>-3.0000000000001137E-3</v>
      </c>
      <c r="H683">
        <f>IF(MOD(COUNTA($C$7:C683)-1,$J$2),H682,ROUND(F683*P683,-2))</f>
        <v>6300</v>
      </c>
      <c r="I683">
        <f t="shared" si="125"/>
        <v>0</v>
      </c>
      <c r="J683">
        <f t="shared" si="126"/>
        <v>0</v>
      </c>
      <c r="K683">
        <f t="shared" si="127"/>
        <v>-12877.161155458067</v>
      </c>
      <c r="L683">
        <f t="shared" si="128"/>
        <v>1398.6388445419325</v>
      </c>
      <c r="M683">
        <f t="shared" si="129"/>
        <v>-18.900000000001455</v>
      </c>
      <c r="N683">
        <f t="shared" si="131"/>
        <v>1398.6388445419325</v>
      </c>
      <c r="O683" s="5">
        <f t="shared" si="122"/>
        <v>5.4121824556899734E-2</v>
      </c>
      <c r="P683">
        <f t="shared" si="130"/>
        <v>10000</v>
      </c>
      <c r="Q683">
        <f t="shared" si="123"/>
        <v>541.2182455689973</v>
      </c>
    </row>
    <row r="684" spans="1:17" x14ac:dyDescent="0.15">
      <c r="A684" s="10">
        <v>45892.416666666977</v>
      </c>
      <c r="B684">
        <f>COUNT(A684:$A$1158)/(48*252)</f>
        <v>3.9269179894179891E-2</v>
      </c>
      <c r="C684">
        <v>2.2669999999999999</v>
      </c>
      <c r="D684">
        <v>8.5000000000000006E-2</v>
      </c>
      <c r="E684">
        <f t="shared" si="120"/>
        <v>0.37779895618986858</v>
      </c>
      <c r="F684">
        <f t="shared" si="121"/>
        <v>0.6472100254030877</v>
      </c>
      <c r="G684">
        <f t="shared" si="124"/>
        <v>9.9999999999988987E-4</v>
      </c>
      <c r="H684">
        <f>IF(MOD(COUNTA($C$7:C684)-1,$J$2),H683,ROUND(F684*P684,-2))</f>
        <v>6300</v>
      </c>
      <c r="I684">
        <f t="shared" si="125"/>
        <v>0</v>
      </c>
      <c r="J684">
        <f t="shared" si="126"/>
        <v>0</v>
      </c>
      <c r="K684">
        <f t="shared" si="127"/>
        <v>-12877.161155458067</v>
      </c>
      <c r="L684">
        <f t="shared" si="128"/>
        <v>1404.9388445419318</v>
      </c>
      <c r="M684">
        <f t="shared" si="129"/>
        <v>6.2999999999992724</v>
      </c>
      <c r="N684">
        <f t="shared" si="131"/>
        <v>1404.9388445419318</v>
      </c>
      <c r="O684" s="5">
        <f t="shared" si="122"/>
        <v>5.3686638064319947E-2</v>
      </c>
      <c r="P684">
        <f t="shared" si="130"/>
        <v>10000</v>
      </c>
      <c r="Q684">
        <f t="shared" si="123"/>
        <v>536.86638064319948</v>
      </c>
    </row>
    <row r="685" spans="1:17" x14ac:dyDescent="0.15">
      <c r="A685" s="10">
        <v>45892.420138888992</v>
      </c>
      <c r="B685">
        <f>COUNT(A685:$A$1158)/(48*252)</f>
        <v>3.9186507936507936E-2</v>
      </c>
      <c r="C685">
        <v>2.2669999999999999</v>
      </c>
      <c r="D685">
        <v>8.5000000000000006E-2</v>
      </c>
      <c r="E685">
        <f t="shared" si="120"/>
        <v>0.37807157782216849</v>
      </c>
      <c r="F685">
        <f t="shared" si="121"/>
        <v>0.64731128918381731</v>
      </c>
      <c r="G685">
        <f t="shared" si="124"/>
        <v>0</v>
      </c>
      <c r="H685">
        <f>IF(MOD(COUNTA($C$7:C685)-1,$J$2),H684,ROUND(F685*P685,-2))</f>
        <v>6500</v>
      </c>
      <c r="I685">
        <f t="shared" si="125"/>
        <v>200</v>
      </c>
      <c r="J685">
        <f t="shared" si="126"/>
        <v>0</v>
      </c>
      <c r="K685">
        <f t="shared" si="127"/>
        <v>-13330.581558458067</v>
      </c>
      <c r="L685">
        <f t="shared" si="128"/>
        <v>1404.9184415419331</v>
      </c>
      <c r="M685">
        <f t="shared" si="129"/>
        <v>-2.0402999998623272E-2</v>
      </c>
      <c r="N685">
        <f t="shared" si="131"/>
        <v>1404.9184415419331</v>
      </c>
      <c r="O685" s="5">
        <f t="shared" si="122"/>
        <v>5.3605130979771154E-2</v>
      </c>
      <c r="P685">
        <f t="shared" si="130"/>
        <v>10000</v>
      </c>
      <c r="Q685">
        <f t="shared" si="123"/>
        <v>536.0513097977115</v>
      </c>
    </row>
    <row r="686" spans="1:17" x14ac:dyDescent="0.15">
      <c r="A686" s="10">
        <v>45892.423611111008</v>
      </c>
      <c r="B686">
        <f>COUNT(A686:$A$1158)/(48*252)</f>
        <v>3.9103835978835981E-2</v>
      </c>
      <c r="C686">
        <v>2.2669999999999999</v>
      </c>
      <c r="D686">
        <v>8.6999999999999994E-2</v>
      </c>
      <c r="E686">
        <f t="shared" si="120"/>
        <v>0.37834519634394081</v>
      </c>
      <c r="F686">
        <f t="shared" si="121"/>
        <v>0.64741291275947344</v>
      </c>
      <c r="G686">
        <f t="shared" si="124"/>
        <v>0</v>
      </c>
      <c r="H686">
        <f>IF(MOD(COUNTA($C$7:C686)-1,$J$2),H685,ROUND(F686*P686,-2))</f>
        <v>6500</v>
      </c>
      <c r="I686">
        <f t="shared" si="125"/>
        <v>0</v>
      </c>
      <c r="J686">
        <f t="shared" si="126"/>
        <v>0</v>
      </c>
      <c r="K686">
        <f t="shared" si="127"/>
        <v>-13330.581558458067</v>
      </c>
      <c r="L686">
        <f t="shared" si="128"/>
        <v>1404.9184415419331</v>
      </c>
      <c r="M686">
        <f t="shared" si="129"/>
        <v>0</v>
      </c>
      <c r="N686">
        <f t="shared" si="131"/>
        <v>1404.9184415419331</v>
      </c>
      <c r="O686" s="5">
        <f t="shared" si="122"/>
        <v>5.3523543509152449E-2</v>
      </c>
      <c r="P686">
        <f t="shared" si="130"/>
        <v>10000</v>
      </c>
      <c r="Q686">
        <f t="shared" si="123"/>
        <v>535.23543509152444</v>
      </c>
    </row>
    <row r="687" spans="1:17" x14ac:dyDescent="0.15">
      <c r="A687" s="10">
        <v>45892.427083333023</v>
      </c>
      <c r="B687">
        <f>COUNT(A687:$A$1158)/(48*252)</f>
        <v>3.9021164021164019E-2</v>
      </c>
      <c r="C687">
        <v>2.266</v>
      </c>
      <c r="D687">
        <v>8.6999999999999994E-2</v>
      </c>
      <c r="E687">
        <f t="shared" si="120"/>
        <v>0.37392582161224985</v>
      </c>
      <c r="F687">
        <f t="shared" si="121"/>
        <v>0.64577024758322044</v>
      </c>
      <c r="G687">
        <f t="shared" si="124"/>
        <v>-9.9999999999988987E-4</v>
      </c>
      <c r="H687">
        <f>IF(MOD(COUNTA($C$7:C687)-1,$J$2),H686,ROUND(F687*P687,-2))</f>
        <v>6500</v>
      </c>
      <c r="I687">
        <f t="shared" si="125"/>
        <v>0</v>
      </c>
      <c r="J687">
        <f t="shared" si="126"/>
        <v>0</v>
      </c>
      <c r="K687">
        <f t="shared" si="127"/>
        <v>-13330.581558458067</v>
      </c>
      <c r="L687">
        <f t="shared" si="128"/>
        <v>1398.4184415419331</v>
      </c>
      <c r="M687">
        <f t="shared" si="129"/>
        <v>-6.5</v>
      </c>
      <c r="N687">
        <f t="shared" si="131"/>
        <v>1398.4184415419331</v>
      </c>
      <c r="O687" s="5">
        <f t="shared" si="122"/>
        <v>5.3795232531805071E-2</v>
      </c>
      <c r="P687">
        <f t="shared" si="130"/>
        <v>10000</v>
      </c>
      <c r="Q687">
        <f t="shared" si="123"/>
        <v>537.95232531805073</v>
      </c>
    </row>
    <row r="688" spans="1:17" x14ac:dyDescent="0.15">
      <c r="A688" s="10">
        <v>45892.430555555969</v>
      </c>
      <c r="B688">
        <f>COUNT(A688:$A$1158)/(48*252)</f>
        <v>3.8938492063492064E-2</v>
      </c>
      <c r="C688">
        <v>2.2690000000000001</v>
      </c>
      <c r="D688">
        <v>8.8999999999999996E-2</v>
      </c>
      <c r="E688">
        <f t="shared" si="120"/>
        <v>0.38828718250583266</v>
      </c>
      <c r="F688">
        <f t="shared" si="121"/>
        <v>0.65109823923942711</v>
      </c>
      <c r="G688">
        <f t="shared" si="124"/>
        <v>3.0000000000001137E-3</v>
      </c>
      <c r="H688">
        <f>IF(MOD(COUNTA($C$7:C688)-1,$J$2),H687,ROUND(F688*P688,-2))</f>
        <v>6500</v>
      </c>
      <c r="I688">
        <f t="shared" si="125"/>
        <v>0</v>
      </c>
      <c r="J688">
        <f t="shared" si="126"/>
        <v>0</v>
      </c>
      <c r="K688">
        <f t="shared" si="127"/>
        <v>-13330.581558458067</v>
      </c>
      <c r="L688">
        <f t="shared" si="128"/>
        <v>1417.9184415419331</v>
      </c>
      <c r="M688">
        <f t="shared" si="129"/>
        <v>19.5</v>
      </c>
      <c r="N688">
        <f t="shared" si="131"/>
        <v>1417.9184415419331</v>
      </c>
      <c r="O688" s="5">
        <f t="shared" si="122"/>
        <v>5.2658844588761244E-2</v>
      </c>
      <c r="P688">
        <f t="shared" si="130"/>
        <v>10000</v>
      </c>
      <c r="Q688">
        <f t="shared" si="123"/>
        <v>526.58844588761247</v>
      </c>
    </row>
    <row r="689" spans="1:17" x14ac:dyDescent="0.15">
      <c r="A689" s="10">
        <v>45892.434027777985</v>
      </c>
      <c r="B689">
        <f>COUNT(A689:$A$1158)/(48*252)</f>
        <v>3.8855820105820109E-2</v>
      </c>
      <c r="C689">
        <v>2.2669999999999999</v>
      </c>
      <c r="D689">
        <v>8.7999999999999995E-2</v>
      </c>
      <c r="E689">
        <f t="shared" si="120"/>
        <v>0.3791720876293353</v>
      </c>
      <c r="F689">
        <f t="shared" si="121"/>
        <v>0.64771996122943587</v>
      </c>
      <c r="G689">
        <f t="shared" si="124"/>
        <v>-2.0000000000002238E-3</v>
      </c>
      <c r="H689">
        <f>IF(MOD(COUNTA($C$7:C689)-1,$J$2),H688,ROUND(F689*P689,-2))</f>
        <v>6500</v>
      </c>
      <c r="I689">
        <f t="shared" si="125"/>
        <v>0</v>
      </c>
      <c r="J689">
        <f t="shared" si="126"/>
        <v>0</v>
      </c>
      <c r="K689">
        <f t="shared" si="127"/>
        <v>-13330.581558458067</v>
      </c>
      <c r="L689">
        <f t="shared" si="128"/>
        <v>1404.9184415419331</v>
      </c>
      <c r="M689">
        <f t="shared" si="129"/>
        <v>-13</v>
      </c>
      <c r="N689">
        <f t="shared" si="131"/>
        <v>1404.9184415419331</v>
      </c>
      <c r="O689" s="5">
        <f t="shared" si="122"/>
        <v>5.3278296506330869E-2</v>
      </c>
      <c r="P689">
        <f t="shared" si="130"/>
        <v>10000</v>
      </c>
      <c r="Q689">
        <f t="shared" si="123"/>
        <v>532.78296506330867</v>
      </c>
    </row>
    <row r="690" spans="1:17" x14ac:dyDescent="0.15">
      <c r="A690" s="10">
        <v>45892.4375</v>
      </c>
      <c r="B690">
        <f>COUNT(A690:$A$1158)/(48*252)</f>
        <v>3.8773148148148147E-2</v>
      </c>
      <c r="C690">
        <v>2.2669999999999999</v>
      </c>
      <c r="D690">
        <v>8.7999999999999995E-2</v>
      </c>
      <c r="E690">
        <f t="shared" si="120"/>
        <v>0.37944974829724676</v>
      </c>
      <c r="F690">
        <f t="shared" si="121"/>
        <v>0.64782304302728255</v>
      </c>
      <c r="G690">
        <f t="shared" si="124"/>
        <v>0</v>
      </c>
      <c r="H690">
        <f>IF(MOD(COUNTA($C$7:C690)-1,$J$2),H689,ROUND(F690*P690,-2))</f>
        <v>6500</v>
      </c>
      <c r="I690">
        <f t="shared" si="125"/>
        <v>0</v>
      </c>
      <c r="J690">
        <f t="shared" si="126"/>
        <v>0</v>
      </c>
      <c r="K690">
        <f t="shared" si="127"/>
        <v>-13330.581558458067</v>
      </c>
      <c r="L690">
        <f t="shared" si="128"/>
        <v>1404.9184415419331</v>
      </c>
      <c r="M690">
        <f t="shared" si="129"/>
        <v>0</v>
      </c>
      <c r="N690">
        <f t="shared" si="131"/>
        <v>1404.9184415419331</v>
      </c>
      <c r="O690" s="5">
        <f t="shared" si="122"/>
        <v>5.3196385211558006E-2</v>
      </c>
      <c r="P690">
        <f t="shared" si="130"/>
        <v>10000</v>
      </c>
      <c r="Q690">
        <f t="shared" si="123"/>
        <v>531.96385211558004</v>
      </c>
    </row>
    <row r="691" spans="1:17" x14ac:dyDescent="0.15">
      <c r="A691" s="10">
        <v>45892.440972222015</v>
      </c>
      <c r="B691">
        <f>COUNT(A691:$A$1158)/(48*252)</f>
        <v>3.8690476190476192E-2</v>
      </c>
      <c r="C691">
        <v>2.2650000000000001</v>
      </c>
      <c r="D691">
        <v>8.7999999999999995E-2</v>
      </c>
      <c r="E691">
        <f t="shared" si="120"/>
        <v>0.3702983271919546</v>
      </c>
      <c r="F691">
        <f t="shared" si="121"/>
        <v>0.64441988995915556</v>
      </c>
      <c r="G691">
        <f t="shared" si="124"/>
        <v>-1.9999999999997797E-3</v>
      </c>
      <c r="H691">
        <f>IF(MOD(COUNTA($C$7:C691)-1,$J$2),H690,ROUND(F691*P691,-2))</f>
        <v>6400</v>
      </c>
      <c r="I691">
        <f t="shared" si="125"/>
        <v>-100</v>
      </c>
      <c r="J691">
        <f t="shared" si="126"/>
        <v>0</v>
      </c>
      <c r="K691">
        <f t="shared" si="127"/>
        <v>-13104.091750958067</v>
      </c>
      <c r="L691">
        <f t="shared" si="128"/>
        <v>1391.9082490419332</v>
      </c>
      <c r="M691">
        <f t="shared" si="129"/>
        <v>-13.010192499999903</v>
      </c>
      <c r="N691">
        <f t="shared" si="131"/>
        <v>1391.9082490419332</v>
      </c>
      <c r="O691" s="5">
        <f t="shared" si="122"/>
        <v>5.3822043418630283E-2</v>
      </c>
      <c r="P691">
        <f t="shared" si="130"/>
        <v>10000</v>
      </c>
      <c r="Q691">
        <f t="shared" si="123"/>
        <v>538.22043418630278</v>
      </c>
    </row>
    <row r="692" spans="1:17" x14ac:dyDescent="0.15">
      <c r="A692" s="10">
        <v>45892.444444444962</v>
      </c>
      <c r="B692">
        <f>COUNT(A692:$A$1158)/(48*252)</f>
        <v>3.860780423280423E-2</v>
      </c>
      <c r="C692">
        <v>2.2690000000000001</v>
      </c>
      <c r="D692">
        <v>0.09</v>
      </c>
      <c r="E692">
        <f t="shared" si="120"/>
        <v>0.38944002097579999</v>
      </c>
      <c r="F692">
        <f t="shared" si="121"/>
        <v>0.65152466418949673</v>
      </c>
      <c r="G692">
        <f t="shared" si="124"/>
        <v>4.0000000000000036E-3</v>
      </c>
      <c r="H692">
        <f>IF(MOD(COUNTA($C$7:C692)-1,$J$2),H691,ROUND(F692*P692,-2))</f>
        <v>6400</v>
      </c>
      <c r="I692">
        <f t="shared" si="125"/>
        <v>0</v>
      </c>
      <c r="J692">
        <f t="shared" si="126"/>
        <v>0</v>
      </c>
      <c r="K692">
        <f t="shared" si="127"/>
        <v>-13104.091750958067</v>
      </c>
      <c r="L692">
        <f t="shared" si="128"/>
        <v>1417.5082490419336</v>
      </c>
      <c r="M692">
        <f t="shared" si="129"/>
        <v>25.600000000000364</v>
      </c>
      <c r="N692">
        <f t="shared" si="131"/>
        <v>1417.5082490419336</v>
      </c>
      <c r="O692" s="5">
        <f t="shared" si="122"/>
        <v>5.2331875403438866E-2</v>
      </c>
      <c r="P692">
        <f t="shared" si="130"/>
        <v>10000</v>
      </c>
      <c r="Q692">
        <f t="shared" si="123"/>
        <v>523.31875403438869</v>
      </c>
    </row>
    <row r="693" spans="1:17" x14ac:dyDescent="0.15">
      <c r="A693" s="10">
        <v>45892.447916666977</v>
      </c>
      <c r="B693">
        <f>COUNT(A693:$A$1158)/(48*252)</f>
        <v>3.8525132275132275E-2</v>
      </c>
      <c r="C693">
        <v>2.27</v>
      </c>
      <c r="D693">
        <v>0.09</v>
      </c>
      <c r="E693">
        <f t="shared" si="120"/>
        <v>0.39444875940744129</v>
      </c>
      <c r="F693">
        <f t="shared" si="121"/>
        <v>0.65337512455231506</v>
      </c>
      <c r="G693">
        <f t="shared" si="124"/>
        <v>9.9999999999988987E-4</v>
      </c>
      <c r="H693">
        <f>IF(MOD(COUNTA($C$7:C693)-1,$J$2),H692,ROUND(F693*P693,-2))</f>
        <v>6400</v>
      </c>
      <c r="I693">
        <f t="shared" si="125"/>
        <v>0</v>
      </c>
      <c r="J693">
        <f t="shared" si="126"/>
        <v>0</v>
      </c>
      <c r="K693">
        <f t="shared" si="127"/>
        <v>-13104.091750958067</v>
      </c>
      <c r="L693">
        <f t="shared" si="128"/>
        <v>1423.9082490419332</v>
      </c>
      <c r="M693">
        <f t="shared" si="129"/>
        <v>6.3999999999996362</v>
      </c>
      <c r="N693">
        <f t="shared" si="131"/>
        <v>1423.9082490419332</v>
      </c>
      <c r="O693" s="5">
        <f t="shared" si="122"/>
        <v>5.1902434583404378E-2</v>
      </c>
      <c r="P693">
        <f t="shared" si="130"/>
        <v>10000</v>
      </c>
      <c r="Q693">
        <f t="shared" si="123"/>
        <v>519.02434583404374</v>
      </c>
    </row>
    <row r="694" spans="1:17" x14ac:dyDescent="0.15">
      <c r="A694" s="10">
        <v>45892.451388888992</v>
      </c>
      <c r="B694">
        <f>COUNT(A694:$A$1158)/(48*252)</f>
        <v>3.844246031746032E-2</v>
      </c>
      <c r="C694">
        <v>2.2709999999999999</v>
      </c>
      <c r="D694">
        <v>9.0999999999999998E-2</v>
      </c>
      <c r="E694">
        <f t="shared" si="120"/>
        <v>0.39946663222480461</v>
      </c>
      <c r="F694">
        <f t="shared" si="121"/>
        <v>0.65522529723955902</v>
      </c>
      <c r="G694">
        <f t="shared" si="124"/>
        <v>9.9999999999988987E-4</v>
      </c>
      <c r="H694">
        <f>IF(MOD(COUNTA($C$7:C694)-1,$J$2),H693,ROUND(F694*P694,-2))</f>
        <v>6400</v>
      </c>
      <c r="I694">
        <f t="shared" si="125"/>
        <v>0</v>
      </c>
      <c r="J694">
        <f t="shared" si="126"/>
        <v>0</v>
      </c>
      <c r="K694">
        <f t="shared" si="127"/>
        <v>-13104.091750958067</v>
      </c>
      <c r="L694">
        <f t="shared" si="128"/>
        <v>1430.3082490419329</v>
      </c>
      <c r="M694">
        <f t="shared" si="129"/>
        <v>6.3999999999996362</v>
      </c>
      <c r="N694">
        <f t="shared" si="131"/>
        <v>1430.3082490419329</v>
      </c>
      <c r="O694" s="5">
        <f t="shared" si="122"/>
        <v>5.1474872419794093E-2</v>
      </c>
      <c r="P694">
        <f t="shared" si="130"/>
        <v>10000</v>
      </c>
      <c r="Q694">
        <f t="shared" si="123"/>
        <v>514.74872419794099</v>
      </c>
    </row>
    <row r="695" spans="1:17" x14ac:dyDescent="0.15">
      <c r="A695" s="10">
        <v>45892.454861111008</v>
      </c>
      <c r="B695">
        <f>COUNT(A695:$A$1158)/(48*252)</f>
        <v>3.8359788359788358E-2</v>
      </c>
      <c r="C695">
        <v>2.27</v>
      </c>
      <c r="D695">
        <v>8.8999999999999996E-2</v>
      </c>
      <c r="E695">
        <f t="shared" si="120"/>
        <v>0.39504387498499344</v>
      </c>
      <c r="F695">
        <f t="shared" si="121"/>
        <v>0.65359474586594679</v>
      </c>
      <c r="G695">
        <f t="shared" si="124"/>
        <v>-9.9999999999988987E-4</v>
      </c>
      <c r="H695">
        <f>IF(MOD(COUNTA($C$7:C695)-1,$J$2),H694,ROUND(F695*P695,-2))</f>
        <v>6400</v>
      </c>
      <c r="I695">
        <f t="shared" si="125"/>
        <v>0</v>
      </c>
      <c r="J695">
        <f t="shared" si="126"/>
        <v>0</v>
      </c>
      <c r="K695">
        <f t="shared" si="127"/>
        <v>-13104.091750958067</v>
      </c>
      <c r="L695">
        <f t="shared" si="128"/>
        <v>1423.9082490419332</v>
      </c>
      <c r="M695">
        <f t="shared" si="129"/>
        <v>-6.3999999999996362</v>
      </c>
      <c r="N695">
        <f t="shared" si="131"/>
        <v>1423.9082490419332</v>
      </c>
      <c r="O695" s="5">
        <f t="shared" si="122"/>
        <v>5.1738518234449637E-2</v>
      </c>
      <c r="P695">
        <f t="shared" si="130"/>
        <v>10000</v>
      </c>
      <c r="Q695">
        <f t="shared" si="123"/>
        <v>517.38518234449634</v>
      </c>
    </row>
    <row r="696" spans="1:17" x14ac:dyDescent="0.15">
      <c r="A696" s="10">
        <v>45892.458333333023</v>
      </c>
      <c r="B696">
        <f>COUNT(A696:$A$1158)/(48*252)</f>
        <v>3.8277116402116403E-2</v>
      </c>
      <c r="C696">
        <v>2.2709999999999999</v>
      </c>
      <c r="D696">
        <v>0.09</v>
      </c>
      <c r="E696">
        <f t="shared" si="120"/>
        <v>0.40007413176203649</v>
      </c>
      <c r="F696">
        <f t="shared" si="121"/>
        <v>0.65544904171994223</v>
      </c>
      <c r="G696">
        <f t="shared" si="124"/>
        <v>9.9999999999988987E-4</v>
      </c>
      <c r="H696">
        <f>IF(MOD(COUNTA($C$7:C696)-1,$J$2),H695,ROUND(F696*P696,-2))</f>
        <v>6400</v>
      </c>
      <c r="I696">
        <f t="shared" si="125"/>
        <v>0</v>
      </c>
      <c r="J696">
        <f t="shared" si="126"/>
        <v>0</v>
      </c>
      <c r="K696">
        <f t="shared" si="127"/>
        <v>-13104.091750958067</v>
      </c>
      <c r="L696">
        <f t="shared" si="128"/>
        <v>1430.3082490419329</v>
      </c>
      <c r="M696">
        <f t="shared" si="129"/>
        <v>6.3999999999996362</v>
      </c>
      <c r="N696">
        <f t="shared" si="131"/>
        <v>1430.3082490419329</v>
      </c>
      <c r="O696" s="5">
        <f t="shared" si="122"/>
        <v>5.1311015290490758E-2</v>
      </c>
      <c r="P696">
        <f t="shared" si="130"/>
        <v>10000</v>
      </c>
      <c r="Q696">
        <f t="shared" si="123"/>
        <v>513.11015290490764</v>
      </c>
    </row>
    <row r="697" spans="1:17" x14ac:dyDescent="0.15">
      <c r="A697" s="10">
        <v>45892.461805555969</v>
      </c>
      <c r="B697">
        <f>COUNT(A697:$A$1158)/(48*252)</f>
        <v>3.8194444444444448E-2</v>
      </c>
      <c r="C697">
        <v>2.27</v>
      </c>
      <c r="D697">
        <v>0.09</v>
      </c>
      <c r="E697">
        <f t="shared" si="120"/>
        <v>0.39564340013335764</v>
      </c>
      <c r="F697">
        <f t="shared" si="121"/>
        <v>0.65381594228499507</v>
      </c>
      <c r="G697">
        <f t="shared" si="124"/>
        <v>-9.9999999999988987E-4</v>
      </c>
      <c r="H697">
        <f>IF(MOD(COUNTA($C$7:C697)-1,$J$2),H696,ROUND(F697*P697,-2))</f>
        <v>6500</v>
      </c>
      <c r="I697">
        <f t="shared" si="125"/>
        <v>100</v>
      </c>
      <c r="J697">
        <f t="shared" si="126"/>
        <v>0</v>
      </c>
      <c r="K697">
        <f t="shared" si="127"/>
        <v>-13331.101965958067</v>
      </c>
      <c r="L697">
        <f t="shared" si="128"/>
        <v>1423.898034041933</v>
      </c>
      <c r="M697">
        <f t="shared" si="129"/>
        <v>-6.4102149999998801</v>
      </c>
      <c r="N697">
        <f t="shared" si="131"/>
        <v>1423.898034041933</v>
      </c>
      <c r="O697" s="5">
        <f t="shared" si="122"/>
        <v>5.1574275708054063E-2</v>
      </c>
      <c r="P697">
        <f t="shared" si="130"/>
        <v>10000</v>
      </c>
      <c r="Q697">
        <f t="shared" si="123"/>
        <v>515.74275708054063</v>
      </c>
    </row>
    <row r="698" spans="1:17" x14ac:dyDescent="0.15">
      <c r="A698" s="10">
        <v>45892.465277777985</v>
      </c>
      <c r="B698">
        <f>COUNT(A698:$A$1158)/(48*252)</f>
        <v>3.8111772486772486E-2</v>
      </c>
      <c r="C698">
        <v>2.278</v>
      </c>
      <c r="D698">
        <v>9.5000000000000001E-2</v>
      </c>
      <c r="E698">
        <f t="shared" si="120"/>
        <v>0.43381688928700513</v>
      </c>
      <c r="F698">
        <f t="shared" si="121"/>
        <v>0.66778929196069237</v>
      </c>
      <c r="G698">
        <f t="shared" si="124"/>
        <v>8.0000000000000071E-3</v>
      </c>
      <c r="H698">
        <f>IF(MOD(COUNTA($C$7:C698)-1,$J$2),H697,ROUND(F698*P698,-2))</f>
        <v>6500</v>
      </c>
      <c r="I698">
        <f t="shared" si="125"/>
        <v>0</v>
      </c>
      <c r="J698">
        <f t="shared" si="126"/>
        <v>0</v>
      </c>
      <c r="K698">
        <f t="shared" si="127"/>
        <v>-13331.101965958067</v>
      </c>
      <c r="L698">
        <f t="shared" si="128"/>
        <v>1475.898034041933</v>
      </c>
      <c r="M698">
        <f t="shared" si="129"/>
        <v>52</v>
      </c>
      <c r="N698">
        <f t="shared" si="131"/>
        <v>1475.898034041933</v>
      </c>
      <c r="O698" s="5">
        <f t="shared" si="122"/>
        <v>4.877907497190348E-2</v>
      </c>
      <c r="P698">
        <f t="shared" si="130"/>
        <v>10000</v>
      </c>
      <c r="Q698">
        <f t="shared" si="123"/>
        <v>487.79074971903481</v>
      </c>
    </row>
    <row r="699" spans="1:17" x14ac:dyDescent="0.15">
      <c r="A699" s="10">
        <v>45892.46875</v>
      </c>
      <c r="B699">
        <f>COUNT(A699:$A$1158)/(48*252)</f>
        <v>3.802910052910053E-2</v>
      </c>
      <c r="C699">
        <v>2.2770000000000001</v>
      </c>
      <c r="D699">
        <v>9.4E-2</v>
      </c>
      <c r="E699">
        <f t="shared" si="120"/>
        <v>0.42942872226473555</v>
      </c>
      <c r="F699">
        <f t="shared" si="121"/>
        <v>0.6661943724111492</v>
      </c>
      <c r="G699">
        <f t="shared" si="124"/>
        <v>-9.9999999999988987E-4</v>
      </c>
      <c r="H699">
        <f>IF(MOD(COUNTA($C$7:C699)-1,$J$2),H698,ROUND(F699*P699,-2))</f>
        <v>6500</v>
      </c>
      <c r="I699">
        <f t="shared" si="125"/>
        <v>0</v>
      </c>
      <c r="J699">
        <f t="shared" si="126"/>
        <v>0</v>
      </c>
      <c r="K699">
        <f t="shared" si="127"/>
        <v>-13331.101965958067</v>
      </c>
      <c r="L699">
        <f t="shared" si="128"/>
        <v>1469.398034041933</v>
      </c>
      <c r="M699">
        <f t="shared" si="129"/>
        <v>-6.5</v>
      </c>
      <c r="N699">
        <f t="shared" si="131"/>
        <v>1469.398034041933</v>
      </c>
      <c r="O699" s="5">
        <f t="shared" si="122"/>
        <v>4.9030639969595113E-2</v>
      </c>
      <c r="P699">
        <f t="shared" si="130"/>
        <v>10000</v>
      </c>
      <c r="Q699">
        <f t="shared" si="123"/>
        <v>490.30639969595114</v>
      </c>
    </row>
    <row r="700" spans="1:17" x14ac:dyDescent="0.15">
      <c r="A700" s="10">
        <v>45892.472222222015</v>
      </c>
      <c r="B700">
        <f>COUNT(A700:$A$1158)/(48*252)</f>
        <v>3.7946428571428568E-2</v>
      </c>
      <c r="C700">
        <v>2.2770000000000001</v>
      </c>
      <c r="D700">
        <v>9.5000000000000001E-2</v>
      </c>
      <c r="E700">
        <f t="shared" si="120"/>
        <v>0.42976852727516934</v>
      </c>
      <c r="F700">
        <f t="shared" si="121"/>
        <v>0.66631798543717669</v>
      </c>
      <c r="G700">
        <f t="shared" si="124"/>
        <v>0</v>
      </c>
      <c r="H700">
        <f>IF(MOD(COUNTA($C$7:C700)-1,$J$2),H699,ROUND(F700*P700,-2))</f>
        <v>6500</v>
      </c>
      <c r="I700">
        <f t="shared" si="125"/>
        <v>0</v>
      </c>
      <c r="J700">
        <f t="shared" si="126"/>
        <v>0</v>
      </c>
      <c r="K700">
        <f t="shared" si="127"/>
        <v>-13331.101965958067</v>
      </c>
      <c r="L700">
        <f t="shared" si="128"/>
        <v>1469.398034041933</v>
      </c>
      <c r="M700">
        <f t="shared" si="129"/>
        <v>0</v>
      </c>
      <c r="N700">
        <f t="shared" si="131"/>
        <v>1469.398034041933</v>
      </c>
      <c r="O700" s="5">
        <f t="shared" si="122"/>
        <v>4.8949056019456649E-2</v>
      </c>
      <c r="P700">
        <f t="shared" si="130"/>
        <v>10000</v>
      </c>
      <c r="Q700">
        <f t="shared" si="123"/>
        <v>489.49056019456651</v>
      </c>
    </row>
    <row r="701" spans="1:17" x14ac:dyDescent="0.15">
      <c r="A701" s="10">
        <v>45892.475694444962</v>
      </c>
      <c r="B701">
        <f>COUNT(A701:$A$1158)/(48*252)</f>
        <v>3.7863756613756613E-2</v>
      </c>
      <c r="C701">
        <v>2.2799999999999998</v>
      </c>
      <c r="D701">
        <v>9.6000000000000002E-2</v>
      </c>
      <c r="E701">
        <f t="shared" si="120"/>
        <v>0.44432988974213211</v>
      </c>
      <c r="F701">
        <f t="shared" si="121"/>
        <v>0.67159795286497215</v>
      </c>
      <c r="G701">
        <f t="shared" si="124"/>
        <v>2.9999999999996696E-3</v>
      </c>
      <c r="H701">
        <f>IF(MOD(COUNTA($C$7:C701)-1,$J$2),H700,ROUND(F701*P701,-2))</f>
        <v>6500</v>
      </c>
      <c r="I701">
        <f t="shared" si="125"/>
        <v>0</v>
      </c>
      <c r="J701">
        <f t="shared" si="126"/>
        <v>0</v>
      </c>
      <c r="K701">
        <f t="shared" si="127"/>
        <v>-13331.101965958067</v>
      </c>
      <c r="L701">
        <f t="shared" si="128"/>
        <v>1488.8980340419312</v>
      </c>
      <c r="M701">
        <f t="shared" si="129"/>
        <v>19.499999999998181</v>
      </c>
      <c r="N701">
        <f t="shared" si="131"/>
        <v>1488.8980340419312</v>
      </c>
      <c r="O701" s="5">
        <f t="shared" si="122"/>
        <v>4.7874461997135964E-2</v>
      </c>
      <c r="P701">
        <f t="shared" si="130"/>
        <v>10000</v>
      </c>
      <c r="Q701">
        <f t="shared" si="123"/>
        <v>478.74461997135967</v>
      </c>
    </row>
    <row r="702" spans="1:17" x14ac:dyDescent="0.15">
      <c r="A702" s="10">
        <v>45892.479166666977</v>
      </c>
      <c r="B702">
        <f>COUNT(A702:$A$1158)/(48*252)</f>
        <v>3.7781084656084658E-2</v>
      </c>
      <c r="C702">
        <v>2.2850000000000001</v>
      </c>
      <c r="D702">
        <v>0.1</v>
      </c>
      <c r="E702">
        <f t="shared" si="120"/>
        <v>0.46837260724642704</v>
      </c>
      <c r="F702">
        <f t="shared" si="121"/>
        <v>0.68024092318348084</v>
      </c>
      <c r="G702">
        <f t="shared" si="124"/>
        <v>5.0000000000003375E-3</v>
      </c>
      <c r="H702">
        <f>IF(MOD(COUNTA($C$7:C702)-1,$J$2),H701,ROUND(F702*P702,-2))</f>
        <v>6500</v>
      </c>
      <c r="I702">
        <f t="shared" si="125"/>
        <v>0</v>
      </c>
      <c r="J702">
        <f t="shared" si="126"/>
        <v>0</v>
      </c>
      <c r="K702">
        <f t="shared" si="127"/>
        <v>-13331.101965958067</v>
      </c>
      <c r="L702">
        <f t="shared" si="128"/>
        <v>1521.3980340419348</v>
      </c>
      <c r="M702">
        <f t="shared" si="129"/>
        <v>32.500000000003638</v>
      </c>
      <c r="N702">
        <f t="shared" si="131"/>
        <v>1521.3980340419348</v>
      </c>
      <c r="O702" s="5">
        <f t="shared" si="122"/>
        <v>4.6173065718531636E-2</v>
      </c>
      <c r="P702">
        <f t="shared" si="130"/>
        <v>10000</v>
      </c>
      <c r="Q702">
        <f t="shared" si="123"/>
        <v>461.73065718531637</v>
      </c>
    </row>
    <row r="703" spans="1:17" x14ac:dyDescent="0.15">
      <c r="A703" s="10">
        <v>45892.545138888992</v>
      </c>
      <c r="B703">
        <f>COUNT(A703:$A$1158)/(48*252)</f>
        <v>3.7698412698412696E-2</v>
      </c>
      <c r="C703">
        <v>2.2869999999999999</v>
      </c>
      <c r="D703">
        <v>0.10199999999999999</v>
      </c>
      <c r="E703">
        <f t="shared" si="120"/>
        <v>0.47822754433370135</v>
      </c>
      <c r="F703">
        <f t="shared" si="121"/>
        <v>0.68375587002744065</v>
      </c>
      <c r="G703">
        <f t="shared" si="124"/>
        <v>1.9999999999997797E-3</v>
      </c>
      <c r="H703">
        <f>IF(MOD(COUNTA($C$7:C703)-1,$J$2),H702,ROUND(F703*P703,-2))</f>
        <v>6800</v>
      </c>
      <c r="I703">
        <f t="shared" si="125"/>
        <v>300</v>
      </c>
      <c r="J703">
        <f t="shared" si="126"/>
        <v>0</v>
      </c>
      <c r="K703">
        <f t="shared" si="127"/>
        <v>-14017.232840458068</v>
      </c>
      <c r="L703">
        <f t="shared" si="128"/>
        <v>1534.3671595419328</v>
      </c>
      <c r="M703">
        <f t="shared" si="129"/>
        <v>12.969125499997972</v>
      </c>
      <c r="N703">
        <f t="shared" si="131"/>
        <v>1534.3671595419328</v>
      </c>
      <c r="O703" s="5">
        <f t="shared" si="122"/>
        <v>4.5456430180485952E-2</v>
      </c>
      <c r="P703">
        <f t="shared" si="130"/>
        <v>10000</v>
      </c>
      <c r="Q703">
        <f t="shared" si="123"/>
        <v>454.5643018048595</v>
      </c>
    </row>
    <row r="704" spans="1:17" x14ac:dyDescent="0.15">
      <c r="A704" s="10">
        <v>45892.548611111008</v>
      </c>
      <c r="B704">
        <f>COUNT(A704:$A$1158)/(48*252)</f>
        <v>3.7615740740740741E-2</v>
      </c>
      <c r="C704">
        <v>2.2869999999999999</v>
      </c>
      <c r="D704">
        <v>0.104</v>
      </c>
      <c r="E704">
        <f t="shared" si="120"/>
        <v>0.4786244927027406</v>
      </c>
      <c r="F704">
        <f t="shared" si="121"/>
        <v>0.68389710457321118</v>
      </c>
      <c r="G704">
        <f t="shared" si="124"/>
        <v>0</v>
      </c>
      <c r="H704">
        <f>IF(MOD(COUNTA($C$7:C704)-1,$J$2),H703,ROUND(F704*P704,-2))</f>
        <v>6800</v>
      </c>
      <c r="I704">
        <f t="shared" si="125"/>
        <v>0</v>
      </c>
      <c r="J704">
        <f t="shared" si="126"/>
        <v>0</v>
      </c>
      <c r="K704">
        <f t="shared" si="127"/>
        <v>-14017.232840458068</v>
      </c>
      <c r="L704">
        <f t="shared" si="128"/>
        <v>1534.3671595419328</v>
      </c>
      <c r="M704">
        <f t="shared" si="129"/>
        <v>0</v>
      </c>
      <c r="N704">
        <f t="shared" si="131"/>
        <v>1534.3671595419328</v>
      </c>
      <c r="O704" s="5">
        <f t="shared" si="122"/>
        <v>4.5375859815848574E-2</v>
      </c>
      <c r="P704">
        <f t="shared" si="130"/>
        <v>10000</v>
      </c>
      <c r="Q704">
        <f t="shared" si="123"/>
        <v>453.75859815848571</v>
      </c>
    </row>
    <row r="705" spans="1:17" x14ac:dyDescent="0.15">
      <c r="A705" s="10">
        <v>45892.552083333023</v>
      </c>
      <c r="B705">
        <f>COUNT(A705:$A$1158)/(48*252)</f>
        <v>3.7533068783068786E-2</v>
      </c>
      <c r="C705">
        <v>2.2869999999999999</v>
      </c>
      <c r="D705">
        <v>0.10199999999999999</v>
      </c>
      <c r="E705">
        <f t="shared" si="120"/>
        <v>0.47902289306274914</v>
      </c>
      <c r="F705">
        <f t="shared" si="121"/>
        <v>0.68403882876061917</v>
      </c>
      <c r="G705">
        <f t="shared" si="124"/>
        <v>0</v>
      </c>
      <c r="H705">
        <f>IF(MOD(COUNTA($C$7:C705)-1,$J$2),H704,ROUND(F705*P705,-2))</f>
        <v>6800</v>
      </c>
      <c r="I705">
        <f t="shared" si="125"/>
        <v>0</v>
      </c>
      <c r="J705">
        <f t="shared" si="126"/>
        <v>0</v>
      </c>
      <c r="K705">
        <f t="shared" si="127"/>
        <v>-14017.232840458068</v>
      </c>
      <c r="L705">
        <f t="shared" si="128"/>
        <v>1534.3671595419328</v>
      </c>
      <c r="M705">
        <f t="shared" si="129"/>
        <v>0</v>
      </c>
      <c r="N705">
        <f t="shared" si="131"/>
        <v>1534.3671595419328</v>
      </c>
      <c r="O705" s="5">
        <f t="shared" si="122"/>
        <v>4.5295213479550345E-2</v>
      </c>
      <c r="P705">
        <f t="shared" si="130"/>
        <v>10000</v>
      </c>
      <c r="Q705">
        <f t="shared" si="123"/>
        <v>452.95213479550347</v>
      </c>
    </row>
    <row r="706" spans="1:17" x14ac:dyDescent="0.15">
      <c r="A706" s="10">
        <v>45892.555555555969</v>
      </c>
      <c r="B706">
        <f>COUNT(A706:$A$1158)/(48*252)</f>
        <v>3.7450396825396824E-2</v>
      </c>
      <c r="C706">
        <v>2.2839999999999998</v>
      </c>
      <c r="D706">
        <v>0.10100000000000001</v>
      </c>
      <c r="E706">
        <f t="shared" si="120"/>
        <v>0.46516797812055216</v>
      </c>
      <c r="F706">
        <f t="shared" si="121"/>
        <v>0.6790944158205634</v>
      </c>
      <c r="G706">
        <f t="shared" si="124"/>
        <v>-3.0000000000001137E-3</v>
      </c>
      <c r="H706">
        <f>IF(MOD(COUNTA($C$7:C706)-1,$J$2),H705,ROUND(F706*P706,-2))</f>
        <v>6800</v>
      </c>
      <c r="I706">
        <f t="shared" si="125"/>
        <v>0</v>
      </c>
      <c r="J706">
        <f t="shared" si="126"/>
        <v>0</v>
      </c>
      <c r="K706">
        <f t="shared" si="127"/>
        <v>-14017.232840458068</v>
      </c>
      <c r="L706">
        <f t="shared" si="128"/>
        <v>1513.9671595419313</v>
      </c>
      <c r="M706">
        <f t="shared" si="129"/>
        <v>-20.400000000001455</v>
      </c>
      <c r="N706">
        <f t="shared" si="131"/>
        <v>1513.9671595419313</v>
      </c>
      <c r="O706" s="5">
        <f t="shared" si="122"/>
        <v>4.6169567549162238E-2</v>
      </c>
      <c r="P706">
        <f t="shared" si="130"/>
        <v>10000</v>
      </c>
      <c r="Q706">
        <f t="shared" si="123"/>
        <v>461.69567549162241</v>
      </c>
    </row>
    <row r="707" spans="1:17" x14ac:dyDescent="0.15">
      <c r="A707" s="10">
        <v>45892.559027777985</v>
      </c>
      <c r="B707">
        <f>COUNT(A707:$A$1158)/(48*252)</f>
        <v>3.7367724867724869E-2</v>
      </c>
      <c r="C707">
        <v>2.286</v>
      </c>
      <c r="D707">
        <v>0.10299999999999999</v>
      </c>
      <c r="E707">
        <f t="shared" si="120"/>
        <v>0.475069318388185</v>
      </c>
      <c r="F707">
        <f t="shared" si="121"/>
        <v>0.68263121680394112</v>
      </c>
      <c r="G707">
        <f t="shared" si="124"/>
        <v>2.0000000000002238E-3</v>
      </c>
      <c r="H707">
        <f>IF(MOD(COUNTA($C$7:C707)-1,$J$2),H706,ROUND(F707*P707,-2))</f>
        <v>6800</v>
      </c>
      <c r="I707">
        <f t="shared" si="125"/>
        <v>0</v>
      </c>
      <c r="J707">
        <f t="shared" si="126"/>
        <v>0</v>
      </c>
      <c r="K707">
        <f t="shared" si="127"/>
        <v>-14017.232840458068</v>
      </c>
      <c r="L707">
        <f t="shared" si="128"/>
        <v>1527.5671595419335</v>
      </c>
      <c r="M707">
        <f t="shared" si="129"/>
        <v>13.600000000002183</v>
      </c>
      <c r="N707">
        <f t="shared" si="131"/>
        <v>1527.5671595419335</v>
      </c>
      <c r="O707" s="5">
        <f t="shared" si="122"/>
        <v>4.5450214221050889E-2</v>
      </c>
      <c r="P707">
        <f t="shared" si="130"/>
        <v>10000</v>
      </c>
      <c r="Q707">
        <f t="shared" si="123"/>
        <v>454.50214221050891</v>
      </c>
    </row>
    <row r="708" spans="1:17" x14ac:dyDescent="0.15">
      <c r="A708" s="10">
        <v>45892.5625</v>
      </c>
      <c r="B708">
        <f>COUNT(A708:$A$1158)/(48*252)</f>
        <v>3.7285052910052907E-2</v>
      </c>
      <c r="C708">
        <v>2.2919999999999998</v>
      </c>
      <c r="D708">
        <v>0.106</v>
      </c>
      <c r="E708">
        <f t="shared" si="120"/>
        <v>0.50399587369822041</v>
      </c>
      <c r="F708">
        <f t="shared" si="121"/>
        <v>0.69286786169326764</v>
      </c>
      <c r="G708">
        <f t="shared" si="124"/>
        <v>5.9999999999997833E-3</v>
      </c>
      <c r="H708">
        <f>IF(MOD(COUNTA($C$7:C708)-1,$J$2),H707,ROUND(F708*P708,-2))</f>
        <v>6800</v>
      </c>
      <c r="I708">
        <f t="shared" si="125"/>
        <v>0</v>
      </c>
      <c r="J708">
        <f t="shared" si="126"/>
        <v>0</v>
      </c>
      <c r="K708">
        <f t="shared" si="127"/>
        <v>-14017.232840458068</v>
      </c>
      <c r="L708">
        <f t="shared" si="128"/>
        <v>1568.367159541931</v>
      </c>
      <c r="M708">
        <f t="shared" si="129"/>
        <v>40.799999999997453</v>
      </c>
      <c r="N708">
        <f t="shared" si="131"/>
        <v>1568.367159541931</v>
      </c>
      <c r="O708" s="5">
        <f t="shared" si="122"/>
        <v>4.349620228711859E-2</v>
      </c>
      <c r="P708">
        <f t="shared" si="130"/>
        <v>10000</v>
      </c>
      <c r="Q708">
        <f t="shared" si="123"/>
        <v>434.96202287118592</v>
      </c>
    </row>
    <row r="709" spans="1:17" x14ac:dyDescent="0.15">
      <c r="A709" s="10">
        <v>45892.565972222015</v>
      </c>
      <c r="B709">
        <f>COUNT(A709:$A$1158)/(48*252)</f>
        <v>3.7202380952380952E-2</v>
      </c>
      <c r="C709">
        <v>2.29</v>
      </c>
      <c r="D709">
        <v>0.104</v>
      </c>
      <c r="E709">
        <f t="shared" si="120"/>
        <v>0.49491464229945792</v>
      </c>
      <c r="F709">
        <f t="shared" si="121"/>
        <v>0.68966981277623229</v>
      </c>
      <c r="G709">
        <f t="shared" si="124"/>
        <v>-1.9999999999997797E-3</v>
      </c>
      <c r="H709">
        <f>IF(MOD(COUNTA($C$7:C709)-1,$J$2),H708,ROUND(F709*P709,-2))</f>
        <v>6900</v>
      </c>
      <c r="I709">
        <f t="shared" si="125"/>
        <v>100</v>
      </c>
      <c r="J709">
        <f t="shared" si="126"/>
        <v>0</v>
      </c>
      <c r="K709">
        <f t="shared" si="127"/>
        <v>-14246.243145458067</v>
      </c>
      <c r="L709">
        <f t="shared" si="128"/>
        <v>1554.7568545419326</v>
      </c>
      <c r="M709">
        <f t="shared" si="129"/>
        <v>-13.610304999998334</v>
      </c>
      <c r="N709">
        <f t="shared" si="131"/>
        <v>1554.7568545419326</v>
      </c>
      <c r="O709" s="5">
        <f t="shared" si="122"/>
        <v>4.4033295597190492E-2</v>
      </c>
      <c r="P709">
        <f t="shared" si="130"/>
        <v>10000</v>
      </c>
      <c r="Q709">
        <f t="shared" si="123"/>
        <v>440.33295597190494</v>
      </c>
    </row>
    <row r="710" spans="1:17" x14ac:dyDescent="0.15">
      <c r="A710" s="10">
        <v>45892.569444444962</v>
      </c>
      <c r="B710">
        <f>COUNT(A710:$A$1158)/(48*252)</f>
        <v>3.7119708994708997E-2</v>
      </c>
      <c r="C710">
        <v>2.29</v>
      </c>
      <c r="D710">
        <v>0.104</v>
      </c>
      <c r="E710">
        <f t="shared" si="120"/>
        <v>0.49533632338140021</v>
      </c>
      <c r="F710">
        <f t="shared" si="121"/>
        <v>0.68981863257021914</v>
      </c>
      <c r="G710">
        <f t="shared" si="124"/>
        <v>0</v>
      </c>
      <c r="H710">
        <f>IF(MOD(COUNTA($C$7:C710)-1,$J$2),H709,ROUND(F710*P710,-2))</f>
        <v>6900</v>
      </c>
      <c r="I710">
        <f t="shared" si="125"/>
        <v>0</v>
      </c>
      <c r="J710">
        <f t="shared" si="126"/>
        <v>0</v>
      </c>
      <c r="K710">
        <f t="shared" si="127"/>
        <v>-14246.243145458067</v>
      </c>
      <c r="L710">
        <f t="shared" si="128"/>
        <v>1554.7568545419326</v>
      </c>
      <c r="M710">
        <f t="shared" si="129"/>
        <v>0</v>
      </c>
      <c r="N710">
        <f t="shared" si="131"/>
        <v>1554.7568545419326</v>
      </c>
      <c r="O710" s="5">
        <f t="shared" si="122"/>
        <v>4.3952705953707594E-2</v>
      </c>
      <c r="P710">
        <f t="shared" si="130"/>
        <v>10000</v>
      </c>
      <c r="Q710">
        <f t="shared" si="123"/>
        <v>439.52705953707596</v>
      </c>
    </row>
    <row r="711" spans="1:17" x14ac:dyDescent="0.15">
      <c r="A711" s="10">
        <v>45892.572916666977</v>
      </c>
      <c r="B711">
        <f>COUNT(A711:$A$1158)/(48*252)</f>
        <v>3.7037037037037035E-2</v>
      </c>
      <c r="C711">
        <v>2.2869999999999999</v>
      </c>
      <c r="D711">
        <v>0.10100000000000001</v>
      </c>
      <c r="E711">
        <f t="shared" si="120"/>
        <v>0.48144424874338049</v>
      </c>
      <c r="F711">
        <f t="shared" si="121"/>
        <v>0.68489960277262607</v>
      </c>
      <c r="G711">
        <f t="shared" si="124"/>
        <v>-3.0000000000001137E-3</v>
      </c>
      <c r="H711">
        <f>IF(MOD(COUNTA($C$7:C711)-1,$J$2),H710,ROUND(F711*P711,-2))</f>
        <v>6900</v>
      </c>
      <c r="I711">
        <f t="shared" si="125"/>
        <v>0</v>
      </c>
      <c r="J711">
        <f t="shared" si="126"/>
        <v>0</v>
      </c>
      <c r="K711">
        <f t="shared" si="127"/>
        <v>-14246.243145458067</v>
      </c>
      <c r="L711">
        <f t="shared" si="128"/>
        <v>1534.0568545419319</v>
      </c>
      <c r="M711">
        <f t="shared" si="129"/>
        <v>-20.700000000000728</v>
      </c>
      <c r="N711">
        <f t="shared" si="131"/>
        <v>1534.0568545419319</v>
      </c>
      <c r="O711" s="5">
        <f t="shared" si="122"/>
        <v>4.4809728775447422E-2</v>
      </c>
      <c r="P711">
        <f t="shared" si="130"/>
        <v>10000</v>
      </c>
      <c r="Q711">
        <f t="shared" si="123"/>
        <v>448.09728775447422</v>
      </c>
    </row>
    <row r="712" spans="1:17" x14ac:dyDescent="0.15">
      <c r="A712" s="10">
        <v>45892.576388888992</v>
      </c>
      <c r="B712">
        <f>COUNT(A712:$A$1158)/(48*252)</f>
        <v>3.695436507936508E-2</v>
      </c>
      <c r="C712">
        <v>2.2850000000000001</v>
      </c>
      <c r="D712">
        <v>0.10100000000000001</v>
      </c>
      <c r="E712">
        <f t="shared" ref="E712:E775" si="132">(LN(C712/$B$2)+($B$1+0.5*$D$1*$D$1)*B712)/($D$1*SQRT(B712))</f>
        <v>0.47228838769567433</v>
      </c>
      <c r="F712">
        <f t="shared" ref="F712:F775" si="133">NORMSDIST(E712)</f>
        <v>0.68163952108916903</v>
      </c>
      <c r="G712">
        <f t="shared" si="124"/>
        <v>-1.9999999999997797E-3</v>
      </c>
      <c r="H712">
        <f>IF(MOD(COUNTA($C$7:C712)-1,$J$2),H711,ROUND(F712*P712,-2))</f>
        <v>6900</v>
      </c>
      <c r="I712">
        <f t="shared" si="125"/>
        <v>0</v>
      </c>
      <c r="J712">
        <f t="shared" si="126"/>
        <v>0</v>
      </c>
      <c r="K712">
        <f t="shared" si="127"/>
        <v>-14246.243145458067</v>
      </c>
      <c r="L712">
        <f t="shared" si="128"/>
        <v>1520.2568545419344</v>
      </c>
      <c r="M712">
        <f t="shared" si="129"/>
        <v>-13.799999999997453</v>
      </c>
      <c r="N712">
        <f t="shared" si="131"/>
        <v>1520.2568545419344</v>
      </c>
      <c r="O712" s="5">
        <f t="shared" ref="O712:O775" si="134">put_bs($B$1,$J$1,C712,$B$2,B712)</f>
        <v>4.5361857543432138E-2</v>
      </c>
      <c r="P712">
        <f t="shared" si="130"/>
        <v>10000</v>
      </c>
      <c r="Q712">
        <f t="shared" ref="Q712:Q775" si="135">P712*O712</f>
        <v>453.61857543432137</v>
      </c>
    </row>
    <row r="713" spans="1:17" x14ac:dyDescent="0.15">
      <c r="A713" s="10">
        <v>45892.579861111008</v>
      </c>
      <c r="B713">
        <f>COUNT(A713:$A$1158)/(48*252)</f>
        <v>3.6871693121693125E-2</v>
      </c>
      <c r="C713">
        <v>2.2879999999999998</v>
      </c>
      <c r="D713">
        <v>0.10299999999999999</v>
      </c>
      <c r="E713">
        <f t="shared" si="132"/>
        <v>0.48704790834390271</v>
      </c>
      <c r="F713">
        <f t="shared" si="133"/>
        <v>0.6868878097522837</v>
      </c>
      <c r="G713">
        <f t="shared" ref="G713:G776" si="136">C713-C712</f>
        <v>2.9999999999996696E-3</v>
      </c>
      <c r="H713">
        <f>IF(MOD(COUNTA($C$7:C713)-1,$J$2),H712,ROUND(F713*P713,-2))</f>
        <v>6900</v>
      </c>
      <c r="I713">
        <f t="shared" ref="I713:I776" si="137">H713-H712</f>
        <v>0</v>
      </c>
      <c r="J713">
        <f t="shared" ref="J713:J776" si="138">J712</f>
        <v>0</v>
      </c>
      <c r="K713">
        <f t="shared" ref="K713:K776" si="139">K712-I713*C713-ABS(I713*C713*$F$2)</f>
        <v>-14246.243145458067</v>
      </c>
      <c r="L713">
        <f t="shared" ref="L713:L776" si="140">K713+H713*C713</f>
        <v>1540.9568545419315</v>
      </c>
      <c r="M713">
        <f t="shared" ref="M713:M776" si="141">L713-L712</f>
        <v>20.69999999999709</v>
      </c>
      <c r="N713">
        <f t="shared" si="131"/>
        <v>1540.9568545419315</v>
      </c>
      <c r="O713" s="5">
        <f t="shared" si="134"/>
        <v>4.4333323160374083E-2</v>
      </c>
      <c r="P713">
        <f t="shared" ref="P713:P776" si="142">P712</f>
        <v>10000</v>
      </c>
      <c r="Q713">
        <f t="shared" si="135"/>
        <v>443.33323160374084</v>
      </c>
    </row>
    <row r="714" spans="1:17" x14ac:dyDescent="0.15">
      <c r="A714" s="10">
        <v>45892.583333333023</v>
      </c>
      <c r="B714">
        <f>COUNT(A714:$A$1158)/(48*252)</f>
        <v>3.6789021164021163E-2</v>
      </c>
      <c r="C714">
        <v>2.2869999999999999</v>
      </c>
      <c r="D714">
        <v>0.10299999999999999</v>
      </c>
      <c r="E714">
        <f t="shared" si="132"/>
        <v>0.48267520436840133</v>
      </c>
      <c r="F714">
        <f t="shared" si="133"/>
        <v>0.68533681411796843</v>
      </c>
      <c r="G714">
        <f t="shared" si="136"/>
        <v>-9.9999999999988987E-4</v>
      </c>
      <c r="H714">
        <f>IF(MOD(COUNTA($C$7:C714)-1,$J$2),H713,ROUND(F714*P714,-2))</f>
        <v>6900</v>
      </c>
      <c r="I714">
        <f t="shared" si="137"/>
        <v>0</v>
      </c>
      <c r="J714">
        <f t="shared" si="138"/>
        <v>0</v>
      </c>
      <c r="K714">
        <f t="shared" si="139"/>
        <v>-14246.243145458067</v>
      </c>
      <c r="L714">
        <f t="shared" si="140"/>
        <v>1534.0568545419319</v>
      </c>
      <c r="M714">
        <f t="shared" si="141"/>
        <v>-6.8999999999996362</v>
      </c>
      <c r="N714">
        <f t="shared" ref="N714:N777" si="143">L714-$F$1</f>
        <v>1534.0568545419319</v>
      </c>
      <c r="O714" s="5">
        <f t="shared" si="134"/>
        <v>4.4565944382249256E-2</v>
      </c>
      <c r="P714">
        <f t="shared" si="142"/>
        <v>10000</v>
      </c>
      <c r="Q714">
        <f t="shared" si="135"/>
        <v>445.65944382249256</v>
      </c>
    </row>
    <row r="715" spans="1:17" x14ac:dyDescent="0.15">
      <c r="A715" s="10">
        <v>45892.586805555969</v>
      </c>
      <c r="B715">
        <f>COUNT(A715:$A$1158)/(48*252)</f>
        <v>3.6706349206349208E-2</v>
      </c>
      <c r="C715">
        <v>2.29</v>
      </c>
      <c r="D715">
        <v>0.105</v>
      </c>
      <c r="E715">
        <f t="shared" si="132"/>
        <v>0.49746823407744512</v>
      </c>
      <c r="F715">
        <f t="shared" si="133"/>
        <v>0.69057055082171226</v>
      </c>
      <c r="G715">
        <f t="shared" si="136"/>
        <v>3.0000000000001137E-3</v>
      </c>
      <c r="H715">
        <f>IF(MOD(COUNTA($C$7:C715)-1,$J$2),H714,ROUND(F715*P715,-2))</f>
        <v>6900</v>
      </c>
      <c r="I715">
        <f t="shared" si="137"/>
        <v>0</v>
      </c>
      <c r="J715">
        <f t="shared" si="138"/>
        <v>0</v>
      </c>
      <c r="K715">
        <f t="shared" si="139"/>
        <v>-14246.243145458067</v>
      </c>
      <c r="L715">
        <f t="shared" si="140"/>
        <v>1554.7568545419326</v>
      </c>
      <c r="M715">
        <f t="shared" si="141"/>
        <v>20.700000000000728</v>
      </c>
      <c r="N715">
        <f t="shared" si="143"/>
        <v>1554.7568545419326</v>
      </c>
      <c r="O715" s="5">
        <f t="shared" si="134"/>
        <v>4.3548618996476662E-2</v>
      </c>
      <c r="P715">
        <f t="shared" si="142"/>
        <v>10000</v>
      </c>
      <c r="Q715">
        <f t="shared" si="135"/>
        <v>435.4861899647666</v>
      </c>
    </row>
    <row r="716" spans="1:17" x14ac:dyDescent="0.15">
      <c r="A716" s="10">
        <v>45892.590277777985</v>
      </c>
      <c r="B716">
        <f>COUNT(A716:$A$1158)/(48*252)</f>
        <v>3.6623677248677246E-2</v>
      </c>
      <c r="C716">
        <v>2.2890000000000001</v>
      </c>
      <c r="D716">
        <v>0.105</v>
      </c>
      <c r="E716">
        <f t="shared" si="132"/>
        <v>0.49310285332079495</v>
      </c>
      <c r="F716">
        <f t="shared" si="133"/>
        <v>0.68903004256682898</v>
      </c>
      <c r="G716">
        <f t="shared" si="136"/>
        <v>-9.9999999999988987E-4</v>
      </c>
      <c r="H716">
        <f>IF(MOD(COUNTA($C$7:C716)-1,$J$2),H715,ROUND(F716*P716,-2))</f>
        <v>6900</v>
      </c>
      <c r="I716">
        <f t="shared" si="137"/>
        <v>0</v>
      </c>
      <c r="J716">
        <f t="shared" si="138"/>
        <v>0</v>
      </c>
      <c r="K716">
        <f t="shared" si="139"/>
        <v>-14246.243145458067</v>
      </c>
      <c r="L716">
        <f t="shared" si="140"/>
        <v>1547.856854541933</v>
      </c>
      <c r="M716">
        <f t="shared" si="141"/>
        <v>-6.8999999999996362</v>
      </c>
      <c r="N716">
        <f t="shared" si="143"/>
        <v>1547.856854541933</v>
      </c>
      <c r="O716" s="5">
        <f t="shared" si="134"/>
        <v>4.3777695787245774E-2</v>
      </c>
      <c r="P716">
        <f t="shared" si="142"/>
        <v>10000</v>
      </c>
      <c r="Q716">
        <f t="shared" si="135"/>
        <v>437.77695787245773</v>
      </c>
    </row>
    <row r="717" spans="1:17" x14ac:dyDescent="0.15">
      <c r="A717" s="10">
        <v>45892.59375</v>
      </c>
      <c r="B717">
        <f>COUNT(A717:$A$1158)/(48*252)</f>
        <v>3.6541005291005291E-2</v>
      </c>
      <c r="C717">
        <v>2.2909999999999999</v>
      </c>
      <c r="D717">
        <v>0.106</v>
      </c>
      <c r="E717">
        <f t="shared" si="132"/>
        <v>0.50313198905806289</v>
      </c>
      <c r="F717">
        <f t="shared" si="133"/>
        <v>0.69256426129156679</v>
      </c>
      <c r="G717">
        <f t="shared" si="136"/>
        <v>1.9999999999997797E-3</v>
      </c>
      <c r="H717">
        <f>IF(MOD(COUNTA($C$7:C717)-1,$J$2),H716,ROUND(F717*P717,-2))</f>
        <v>6900</v>
      </c>
      <c r="I717">
        <f t="shared" si="137"/>
        <v>0</v>
      </c>
      <c r="J717">
        <f t="shared" si="138"/>
        <v>0</v>
      </c>
      <c r="K717">
        <f t="shared" si="139"/>
        <v>-14246.243145458067</v>
      </c>
      <c r="L717">
        <f t="shared" si="140"/>
        <v>1561.6568545419323</v>
      </c>
      <c r="M717">
        <f t="shared" si="141"/>
        <v>13.799999999999272</v>
      </c>
      <c r="N717">
        <f t="shared" si="143"/>
        <v>1561.6568545419323</v>
      </c>
      <c r="O717" s="5">
        <f t="shared" si="134"/>
        <v>4.3078169123944576E-2</v>
      </c>
      <c r="P717">
        <f t="shared" si="142"/>
        <v>10000</v>
      </c>
      <c r="Q717">
        <f t="shared" si="135"/>
        <v>430.78169123944576</v>
      </c>
    </row>
    <row r="718" spans="1:17" x14ac:dyDescent="0.15">
      <c r="A718" s="10">
        <v>45892.597222222015</v>
      </c>
      <c r="B718">
        <f>COUNT(A718:$A$1158)/(48*252)</f>
        <v>3.6458333333333336E-2</v>
      </c>
      <c r="C718">
        <v>2.294</v>
      </c>
      <c r="D718">
        <v>0.11</v>
      </c>
      <c r="E718">
        <f t="shared" si="132"/>
        <v>0.51797510412958425</v>
      </c>
      <c r="F718">
        <f t="shared" si="133"/>
        <v>0.69776218024381753</v>
      </c>
      <c r="G718">
        <f t="shared" si="136"/>
        <v>3.0000000000001137E-3</v>
      </c>
      <c r="H718">
        <f>IF(MOD(COUNTA($C$7:C718)-1,$J$2),H717,ROUND(F718*P718,-2))</f>
        <v>6900</v>
      </c>
      <c r="I718">
        <f t="shared" si="137"/>
        <v>0</v>
      </c>
      <c r="J718">
        <f t="shared" si="138"/>
        <v>0</v>
      </c>
      <c r="K718">
        <f t="shared" si="139"/>
        <v>-14246.243145458067</v>
      </c>
      <c r="L718">
        <f t="shared" si="140"/>
        <v>1582.356854541933</v>
      </c>
      <c r="M718">
        <f t="shared" si="141"/>
        <v>20.700000000000728</v>
      </c>
      <c r="N718">
        <f t="shared" si="143"/>
        <v>1582.356854541933</v>
      </c>
      <c r="O718" s="5">
        <f t="shared" si="134"/>
        <v>4.2082854966725702E-2</v>
      </c>
      <c r="P718">
        <f t="shared" si="142"/>
        <v>10000</v>
      </c>
      <c r="Q718">
        <f t="shared" si="135"/>
        <v>420.82854966725705</v>
      </c>
    </row>
    <row r="719" spans="1:17" x14ac:dyDescent="0.15">
      <c r="A719" s="10">
        <v>45892.600694444962</v>
      </c>
      <c r="B719">
        <f>COUNT(A719:$A$1158)/(48*252)</f>
        <v>3.6375661375661374E-2</v>
      </c>
      <c r="C719">
        <v>2.2949999999999999</v>
      </c>
      <c r="D719">
        <v>0.11</v>
      </c>
      <c r="E719">
        <f t="shared" si="132"/>
        <v>0.52323528491079474</v>
      </c>
      <c r="F719">
        <f t="shared" si="133"/>
        <v>0.69959473518760884</v>
      </c>
      <c r="G719">
        <f t="shared" si="136"/>
        <v>9.9999999999988987E-4</v>
      </c>
      <c r="H719">
        <f>IF(MOD(COUNTA($C$7:C719)-1,$J$2),H718,ROUND(F719*P719,-2))</f>
        <v>6900</v>
      </c>
      <c r="I719">
        <f t="shared" si="137"/>
        <v>0</v>
      </c>
      <c r="J719">
        <f t="shared" si="138"/>
        <v>0</v>
      </c>
      <c r="K719">
        <f t="shared" si="139"/>
        <v>-14246.243145458067</v>
      </c>
      <c r="L719">
        <f t="shared" si="140"/>
        <v>1589.2568545419326</v>
      </c>
      <c r="M719">
        <f t="shared" si="141"/>
        <v>6.8999999999996362</v>
      </c>
      <c r="N719">
        <f t="shared" si="143"/>
        <v>1589.2568545419326</v>
      </c>
      <c r="O719" s="5">
        <f t="shared" si="134"/>
        <v>4.1700962611988635E-2</v>
      </c>
      <c r="P719">
        <f t="shared" si="142"/>
        <v>10000</v>
      </c>
      <c r="Q719">
        <f t="shared" si="135"/>
        <v>417.00962611988632</v>
      </c>
    </row>
    <row r="720" spans="1:17" x14ac:dyDescent="0.15">
      <c r="A720" s="10">
        <v>45892.604166666977</v>
      </c>
      <c r="B720">
        <f>COUNT(A720:$A$1158)/(48*252)</f>
        <v>3.6292989417989419E-2</v>
      </c>
      <c r="C720">
        <v>2.2949999999999999</v>
      </c>
      <c r="D720">
        <v>0.109</v>
      </c>
      <c r="E720">
        <f t="shared" si="132"/>
        <v>0.52370028101127564</v>
      </c>
      <c r="F720">
        <f t="shared" si="133"/>
        <v>0.6997564899247638</v>
      </c>
      <c r="G720">
        <f t="shared" si="136"/>
        <v>0</v>
      </c>
      <c r="H720">
        <f>IF(MOD(COUNTA($C$7:C720)-1,$J$2),H719,ROUND(F720*P720,-2))</f>
        <v>6900</v>
      </c>
      <c r="I720">
        <f t="shared" si="137"/>
        <v>0</v>
      </c>
      <c r="J720">
        <f t="shared" si="138"/>
        <v>0</v>
      </c>
      <c r="K720">
        <f t="shared" si="139"/>
        <v>-14246.243145458067</v>
      </c>
      <c r="L720">
        <f t="shared" si="140"/>
        <v>1589.2568545419326</v>
      </c>
      <c r="M720">
        <f t="shared" si="141"/>
        <v>0</v>
      </c>
      <c r="N720">
        <f t="shared" si="143"/>
        <v>1589.2568545419326</v>
      </c>
      <c r="O720" s="5">
        <f t="shared" si="134"/>
        <v>4.1620397295091482E-2</v>
      </c>
      <c r="P720">
        <f t="shared" si="142"/>
        <v>10000</v>
      </c>
      <c r="Q720">
        <f t="shared" si="135"/>
        <v>416.20397295091482</v>
      </c>
    </row>
    <row r="721" spans="1:17" x14ac:dyDescent="0.15">
      <c r="A721" s="10">
        <v>45892.607638888992</v>
      </c>
      <c r="B721">
        <f>COUNT(A721:$A$1158)/(48*252)</f>
        <v>3.6210317460317464E-2</v>
      </c>
      <c r="C721">
        <v>2.2949999999999999</v>
      </c>
      <c r="D721">
        <v>0.109</v>
      </c>
      <c r="E721">
        <f t="shared" si="132"/>
        <v>0.52416701766401641</v>
      </c>
      <c r="F721">
        <f t="shared" si="133"/>
        <v>0.69991881052796034</v>
      </c>
      <c r="G721">
        <f t="shared" si="136"/>
        <v>0</v>
      </c>
      <c r="H721">
        <f>IF(MOD(COUNTA($C$7:C721)-1,$J$2),H720,ROUND(F721*P721,-2))</f>
        <v>7000</v>
      </c>
      <c r="I721">
        <f t="shared" si="137"/>
        <v>100</v>
      </c>
      <c r="J721">
        <f t="shared" si="138"/>
        <v>0</v>
      </c>
      <c r="K721">
        <f t="shared" si="139"/>
        <v>-14475.753472958068</v>
      </c>
      <c r="L721">
        <f t="shared" si="140"/>
        <v>1589.2465270419325</v>
      </c>
      <c r="M721">
        <f t="shared" si="141"/>
        <v>-1.0327500000130385E-2</v>
      </c>
      <c r="N721">
        <f t="shared" si="143"/>
        <v>1589.2465270419325</v>
      </c>
      <c r="O721" s="5">
        <f t="shared" si="134"/>
        <v>4.1539757096312191E-2</v>
      </c>
      <c r="P721">
        <f t="shared" si="142"/>
        <v>10000</v>
      </c>
      <c r="Q721">
        <f t="shared" si="135"/>
        <v>415.39757096312189</v>
      </c>
    </row>
    <row r="722" spans="1:17" x14ac:dyDescent="0.15">
      <c r="A722" s="10">
        <v>45892.611111111008</v>
      </c>
      <c r="B722">
        <f>COUNT(A722:$A$1158)/(48*252)</f>
        <v>3.6127645502645502E-2</v>
      </c>
      <c r="C722">
        <v>2.298</v>
      </c>
      <c r="D722">
        <v>0.112</v>
      </c>
      <c r="E722">
        <f t="shared" si="132"/>
        <v>0.53907937390992211</v>
      </c>
      <c r="F722">
        <f t="shared" si="133"/>
        <v>0.7050839564597724</v>
      </c>
      <c r="G722">
        <f t="shared" si="136"/>
        <v>3.0000000000001137E-3</v>
      </c>
      <c r="H722">
        <f>IF(MOD(COUNTA($C$7:C722)-1,$J$2),H721,ROUND(F722*P722,-2))</f>
        <v>7000</v>
      </c>
      <c r="I722">
        <f t="shared" si="137"/>
        <v>0</v>
      </c>
      <c r="J722">
        <f t="shared" si="138"/>
        <v>0</v>
      </c>
      <c r="K722">
        <f t="shared" si="139"/>
        <v>-14475.753472958068</v>
      </c>
      <c r="L722">
        <f t="shared" si="140"/>
        <v>1610.2465270419325</v>
      </c>
      <c r="M722">
        <f t="shared" si="141"/>
        <v>21</v>
      </c>
      <c r="N722">
        <f t="shared" si="143"/>
        <v>1610.2465270419325</v>
      </c>
      <c r="O722" s="5">
        <f t="shared" si="134"/>
        <v>4.0566801550326659E-2</v>
      </c>
      <c r="P722">
        <f t="shared" si="142"/>
        <v>10000</v>
      </c>
      <c r="Q722">
        <f t="shared" si="135"/>
        <v>405.66801550326659</v>
      </c>
    </row>
    <row r="723" spans="1:17" x14ac:dyDescent="0.15">
      <c r="A723" s="10">
        <v>45892.614583333023</v>
      </c>
      <c r="B723">
        <f>COUNT(A723:$A$1158)/(48*252)</f>
        <v>3.6044973544973546E-2</v>
      </c>
      <c r="C723">
        <v>2.3010000000000002</v>
      </c>
      <c r="D723">
        <v>0.112</v>
      </c>
      <c r="E723">
        <f t="shared" si="132"/>
        <v>0.55400773467154751</v>
      </c>
      <c r="F723">
        <f t="shared" si="133"/>
        <v>0.71021322383471797</v>
      </c>
      <c r="G723">
        <f t="shared" si="136"/>
        <v>3.0000000000001137E-3</v>
      </c>
      <c r="H723">
        <f>IF(MOD(COUNTA($C$7:C723)-1,$J$2),H722,ROUND(F723*P723,-2))</f>
        <v>7000</v>
      </c>
      <c r="I723">
        <f t="shared" si="137"/>
        <v>0</v>
      </c>
      <c r="J723">
        <f t="shared" si="138"/>
        <v>0</v>
      </c>
      <c r="K723">
        <f t="shared" si="139"/>
        <v>-14475.753472958068</v>
      </c>
      <c r="L723">
        <f t="shared" si="140"/>
        <v>1631.2465270419343</v>
      </c>
      <c r="M723">
        <f t="shared" si="141"/>
        <v>21.000000000001819</v>
      </c>
      <c r="N723">
        <f t="shared" si="143"/>
        <v>1631.2465270419343</v>
      </c>
      <c r="O723" s="5">
        <f t="shared" si="134"/>
        <v>3.9609717179178938E-2</v>
      </c>
      <c r="P723">
        <f t="shared" si="142"/>
        <v>10000</v>
      </c>
      <c r="Q723">
        <f t="shared" si="135"/>
        <v>396.09717179178938</v>
      </c>
    </row>
    <row r="724" spans="1:17" x14ac:dyDescent="0.15">
      <c r="A724" s="10">
        <v>45892.618055555969</v>
      </c>
      <c r="B724">
        <f>COUNT(A724:$A$1158)/(48*252)</f>
        <v>3.5962301587301584E-2</v>
      </c>
      <c r="C724">
        <v>2.3010000000000002</v>
      </c>
      <c r="D724">
        <v>0.113</v>
      </c>
      <c r="E724">
        <f t="shared" si="132"/>
        <v>0.55451295563962866</v>
      </c>
      <c r="F724">
        <f t="shared" si="133"/>
        <v>0.71038607917968277</v>
      </c>
      <c r="G724">
        <f t="shared" si="136"/>
        <v>0</v>
      </c>
      <c r="H724">
        <f>IF(MOD(COUNTA($C$7:C724)-1,$J$2),H723,ROUND(F724*P724,-2))</f>
        <v>7000</v>
      </c>
      <c r="I724">
        <f t="shared" si="137"/>
        <v>0</v>
      </c>
      <c r="J724">
        <f t="shared" si="138"/>
        <v>0</v>
      </c>
      <c r="K724">
        <f t="shared" si="139"/>
        <v>-14475.753472958068</v>
      </c>
      <c r="L724">
        <f t="shared" si="140"/>
        <v>1631.2465270419343</v>
      </c>
      <c r="M724">
        <f t="shared" si="141"/>
        <v>0</v>
      </c>
      <c r="N724">
        <f t="shared" si="143"/>
        <v>1631.2465270419343</v>
      </c>
      <c r="O724" s="5">
        <f t="shared" si="134"/>
        <v>3.9529862104127012E-2</v>
      </c>
      <c r="P724">
        <f t="shared" si="142"/>
        <v>10000</v>
      </c>
      <c r="Q724">
        <f t="shared" si="135"/>
        <v>395.29862104127011</v>
      </c>
    </row>
    <row r="725" spans="1:17" x14ac:dyDescent="0.15">
      <c r="A725" s="10">
        <v>45892.621527777985</v>
      </c>
      <c r="B725">
        <f>COUNT(A725:$A$1158)/(48*252)</f>
        <v>3.5879629629629629E-2</v>
      </c>
      <c r="C725">
        <v>2.2999999999999998</v>
      </c>
      <c r="D725">
        <v>0.111</v>
      </c>
      <c r="E725">
        <f t="shared" si="132"/>
        <v>0.55019723904227369</v>
      </c>
      <c r="F725">
        <f t="shared" si="133"/>
        <v>0.70890795145991803</v>
      </c>
      <c r="G725">
        <f t="shared" si="136"/>
        <v>-1.000000000000334E-3</v>
      </c>
      <c r="H725">
        <f>IF(MOD(COUNTA($C$7:C725)-1,$J$2),H724,ROUND(F725*P725,-2))</f>
        <v>7000</v>
      </c>
      <c r="I725">
        <f t="shared" si="137"/>
        <v>0</v>
      </c>
      <c r="J725">
        <f t="shared" si="138"/>
        <v>0</v>
      </c>
      <c r="K725">
        <f t="shared" si="139"/>
        <v>-14475.753472958068</v>
      </c>
      <c r="L725">
        <f t="shared" si="140"/>
        <v>1624.2465270419307</v>
      </c>
      <c r="M725">
        <f t="shared" si="141"/>
        <v>-7.000000000003638</v>
      </c>
      <c r="N725">
        <f t="shared" si="143"/>
        <v>1624.2465270419307</v>
      </c>
      <c r="O725" s="5">
        <f t="shared" si="134"/>
        <v>3.9740200746707366E-2</v>
      </c>
      <c r="P725">
        <f t="shared" si="142"/>
        <v>10000</v>
      </c>
      <c r="Q725">
        <f t="shared" si="135"/>
        <v>397.40200746707364</v>
      </c>
    </row>
    <row r="726" spans="1:17" x14ac:dyDescent="0.15">
      <c r="A726" s="10">
        <v>45892.625</v>
      </c>
      <c r="B726">
        <f>COUNT(A726:$A$1158)/(48*252)</f>
        <v>3.5796957671957674E-2</v>
      </c>
      <c r="C726">
        <v>2.3039999999999998</v>
      </c>
      <c r="D726">
        <v>0.112</v>
      </c>
      <c r="E726">
        <f t="shared" si="132"/>
        <v>0.57000171602553373</v>
      </c>
      <c r="F726">
        <f t="shared" si="133"/>
        <v>0.71566173289937185</v>
      </c>
      <c r="G726">
        <f t="shared" si="136"/>
        <v>4.0000000000000036E-3</v>
      </c>
      <c r="H726">
        <f>IF(MOD(COUNTA($C$7:C726)-1,$J$2),H725,ROUND(F726*P726,-2))</f>
        <v>7000</v>
      </c>
      <c r="I726">
        <f t="shared" si="137"/>
        <v>0</v>
      </c>
      <c r="J726">
        <f t="shared" si="138"/>
        <v>0</v>
      </c>
      <c r="K726">
        <f t="shared" si="139"/>
        <v>-14475.753472958068</v>
      </c>
      <c r="L726">
        <f t="shared" si="140"/>
        <v>1652.2465270419307</v>
      </c>
      <c r="M726">
        <f t="shared" si="141"/>
        <v>28</v>
      </c>
      <c r="N726">
        <f t="shared" si="143"/>
        <v>1652.2465270419307</v>
      </c>
      <c r="O726" s="5">
        <f t="shared" si="134"/>
        <v>3.8509540070482351E-2</v>
      </c>
      <c r="P726">
        <f t="shared" si="142"/>
        <v>10000</v>
      </c>
      <c r="Q726">
        <f t="shared" si="135"/>
        <v>385.09540070482353</v>
      </c>
    </row>
    <row r="727" spans="1:17" x14ac:dyDescent="0.15">
      <c r="A727" s="10">
        <v>45893.399305555969</v>
      </c>
      <c r="B727">
        <f>COUNT(A727:$A$1158)/(48*252)</f>
        <v>3.5714285714285712E-2</v>
      </c>
      <c r="C727">
        <v>2.3159999999999998</v>
      </c>
      <c r="D727">
        <v>0.12</v>
      </c>
      <c r="E727">
        <f t="shared" si="132"/>
        <v>0.62829878718543919</v>
      </c>
      <c r="F727">
        <f t="shared" si="133"/>
        <v>0.73509588700326234</v>
      </c>
      <c r="G727">
        <f t="shared" si="136"/>
        <v>1.2000000000000011E-2</v>
      </c>
      <c r="H727">
        <f>IF(MOD(COUNTA($C$7:C727)-1,$J$2),H726,ROUND(F727*P727,-2))</f>
        <v>7400</v>
      </c>
      <c r="I727">
        <f t="shared" si="137"/>
        <v>400</v>
      </c>
      <c r="J727">
        <f t="shared" si="138"/>
        <v>0</v>
      </c>
      <c r="K727">
        <f t="shared" si="139"/>
        <v>-15402.195160958066</v>
      </c>
      <c r="L727">
        <f t="shared" si="140"/>
        <v>1736.2048390419313</v>
      </c>
      <c r="M727">
        <f t="shared" si="141"/>
        <v>83.95831200000066</v>
      </c>
      <c r="N727">
        <f t="shared" si="143"/>
        <v>1736.2048390419313</v>
      </c>
      <c r="O727" s="5">
        <f t="shared" si="134"/>
        <v>3.5136384516236574E-2</v>
      </c>
      <c r="P727">
        <f t="shared" si="142"/>
        <v>10000</v>
      </c>
      <c r="Q727">
        <f t="shared" si="135"/>
        <v>351.36384516236575</v>
      </c>
    </row>
    <row r="728" spans="1:17" x14ac:dyDescent="0.15">
      <c r="A728" s="10">
        <v>45893.402777777985</v>
      </c>
      <c r="B728">
        <f>COUNT(A728:$A$1158)/(48*252)</f>
        <v>3.5631613756613757E-2</v>
      </c>
      <c r="C728">
        <v>2.3180000000000001</v>
      </c>
      <c r="D728">
        <v>0.127</v>
      </c>
      <c r="E728">
        <f t="shared" si="132"/>
        <v>0.63850568967679799</v>
      </c>
      <c r="F728">
        <f t="shared" si="133"/>
        <v>0.73842772424439729</v>
      </c>
      <c r="G728">
        <f t="shared" si="136"/>
        <v>2.0000000000002238E-3</v>
      </c>
      <c r="H728">
        <f>IF(MOD(COUNTA($C$7:C728)-1,$J$2),H727,ROUND(F728*P728,-2))</f>
        <v>7400</v>
      </c>
      <c r="I728">
        <f t="shared" si="137"/>
        <v>0</v>
      </c>
      <c r="J728">
        <f t="shared" si="138"/>
        <v>0</v>
      </c>
      <c r="K728">
        <f t="shared" si="139"/>
        <v>-15402.195160958066</v>
      </c>
      <c r="L728">
        <f t="shared" si="140"/>
        <v>1751.0048390419342</v>
      </c>
      <c r="M728">
        <f t="shared" si="141"/>
        <v>14.80000000000291</v>
      </c>
      <c r="N728">
        <f t="shared" si="143"/>
        <v>1751.0048390419342</v>
      </c>
      <c r="O728" s="5">
        <f t="shared" si="134"/>
        <v>3.4532746233196132E-2</v>
      </c>
      <c r="P728">
        <f t="shared" si="142"/>
        <v>10000</v>
      </c>
      <c r="Q728">
        <f t="shared" si="135"/>
        <v>345.32746233196133</v>
      </c>
    </row>
    <row r="729" spans="1:17" x14ac:dyDescent="0.15">
      <c r="A729" s="10">
        <v>45893.40625</v>
      </c>
      <c r="B729">
        <f>COUNT(A729:$A$1158)/(48*252)</f>
        <v>3.5548941798941802E-2</v>
      </c>
      <c r="C729">
        <v>2.3220000000000001</v>
      </c>
      <c r="D729">
        <v>0.13100000000000001</v>
      </c>
      <c r="E729">
        <f t="shared" si="132"/>
        <v>0.65833370202557784</v>
      </c>
      <c r="F729">
        <f t="shared" si="133"/>
        <v>0.7448381367671526</v>
      </c>
      <c r="G729">
        <f t="shared" si="136"/>
        <v>4.0000000000000036E-3</v>
      </c>
      <c r="H729">
        <f>IF(MOD(COUNTA($C$7:C729)-1,$J$2),H728,ROUND(F729*P729,-2))</f>
        <v>7400</v>
      </c>
      <c r="I729">
        <f t="shared" si="137"/>
        <v>0</v>
      </c>
      <c r="J729">
        <f t="shared" si="138"/>
        <v>0</v>
      </c>
      <c r="K729">
        <f t="shared" si="139"/>
        <v>-15402.195160958066</v>
      </c>
      <c r="L729">
        <f t="shared" si="140"/>
        <v>1780.6048390419328</v>
      </c>
      <c r="M729">
        <f t="shared" si="141"/>
        <v>29.599999999998545</v>
      </c>
      <c r="N729">
        <f t="shared" si="143"/>
        <v>1780.6048390419328</v>
      </c>
      <c r="O729" s="5">
        <f t="shared" si="134"/>
        <v>3.3422674581448764E-2</v>
      </c>
      <c r="P729">
        <f t="shared" si="142"/>
        <v>10000</v>
      </c>
      <c r="Q729">
        <f t="shared" si="135"/>
        <v>334.22674581448763</v>
      </c>
    </row>
    <row r="730" spans="1:17" x14ac:dyDescent="0.15">
      <c r="A730" s="10">
        <v>45893.409722222015</v>
      </c>
      <c r="B730">
        <f>COUNT(A730:$A$1158)/(48*252)</f>
        <v>3.546626984126984E-2</v>
      </c>
      <c r="C730">
        <v>2.3199999999999998</v>
      </c>
      <c r="D730">
        <v>0.13</v>
      </c>
      <c r="E730">
        <f t="shared" si="132"/>
        <v>0.64935239986046145</v>
      </c>
      <c r="F730">
        <f t="shared" si="133"/>
        <v>0.74194468823612225</v>
      </c>
      <c r="G730">
        <f t="shared" si="136"/>
        <v>-2.0000000000002238E-3</v>
      </c>
      <c r="H730">
        <f>IF(MOD(COUNTA($C$7:C730)-1,$J$2),H729,ROUND(F730*P730,-2))</f>
        <v>7400</v>
      </c>
      <c r="I730">
        <f t="shared" si="137"/>
        <v>0</v>
      </c>
      <c r="J730">
        <f t="shared" si="138"/>
        <v>0</v>
      </c>
      <c r="K730">
        <f t="shared" si="139"/>
        <v>-15402.195160958066</v>
      </c>
      <c r="L730">
        <f t="shared" si="140"/>
        <v>1765.8048390419335</v>
      </c>
      <c r="M730">
        <f t="shared" si="141"/>
        <v>-14.799999999999272</v>
      </c>
      <c r="N730">
        <f t="shared" si="143"/>
        <v>1765.8048390419335</v>
      </c>
      <c r="O730" s="5">
        <f t="shared" si="134"/>
        <v>3.3859398491555837E-2</v>
      </c>
      <c r="P730">
        <f t="shared" si="142"/>
        <v>10000</v>
      </c>
      <c r="Q730">
        <f t="shared" si="135"/>
        <v>338.59398491555839</v>
      </c>
    </row>
    <row r="731" spans="1:17" x14ac:dyDescent="0.15">
      <c r="A731" s="10">
        <v>45893.413194444962</v>
      </c>
      <c r="B731">
        <f>COUNT(A731:$A$1158)/(48*252)</f>
        <v>3.5383597883597885E-2</v>
      </c>
      <c r="C731">
        <v>2.3210000000000002</v>
      </c>
      <c r="D731">
        <v>0.129</v>
      </c>
      <c r="E731">
        <f t="shared" si="132"/>
        <v>0.65479293747312506</v>
      </c>
      <c r="F731">
        <f t="shared" si="133"/>
        <v>0.7436994608032117</v>
      </c>
      <c r="G731">
        <f t="shared" si="136"/>
        <v>1.000000000000334E-3</v>
      </c>
      <c r="H731">
        <f>IF(MOD(COUNTA($C$7:C731)-1,$J$2),H730,ROUND(F731*P731,-2))</f>
        <v>7400</v>
      </c>
      <c r="I731">
        <f t="shared" si="137"/>
        <v>0</v>
      </c>
      <c r="J731">
        <f t="shared" si="138"/>
        <v>0</v>
      </c>
      <c r="K731">
        <f t="shared" si="139"/>
        <v>-15402.195160958066</v>
      </c>
      <c r="L731">
        <f t="shared" si="140"/>
        <v>1773.204839041935</v>
      </c>
      <c r="M731">
        <f t="shared" si="141"/>
        <v>7.4000000000014552</v>
      </c>
      <c r="N731">
        <f t="shared" si="143"/>
        <v>1773.204839041935</v>
      </c>
      <c r="O731" s="5">
        <f t="shared" si="134"/>
        <v>3.3525570186788589E-2</v>
      </c>
      <c r="P731">
        <f t="shared" si="142"/>
        <v>10000</v>
      </c>
      <c r="Q731">
        <f t="shared" si="135"/>
        <v>335.25570186788588</v>
      </c>
    </row>
    <row r="732" spans="1:17" x14ac:dyDescent="0.15">
      <c r="A732" s="10">
        <v>45893.416666666977</v>
      </c>
      <c r="B732">
        <f>COUNT(A732:$A$1158)/(48*252)</f>
        <v>3.5300925925925923E-2</v>
      </c>
      <c r="C732">
        <v>2.3159999999999998</v>
      </c>
      <c r="D732">
        <v>0.128</v>
      </c>
      <c r="E732">
        <f t="shared" si="132"/>
        <v>0.63130450870459409</v>
      </c>
      <c r="F732">
        <f t="shared" si="133"/>
        <v>0.7360792802681525</v>
      </c>
      <c r="G732">
        <f t="shared" si="136"/>
        <v>-5.0000000000003375E-3</v>
      </c>
      <c r="H732">
        <f>IF(MOD(COUNTA($C$7:C732)-1,$J$2),H731,ROUND(F732*P732,-2))</f>
        <v>7400</v>
      </c>
      <c r="I732">
        <f t="shared" si="137"/>
        <v>0</v>
      </c>
      <c r="J732">
        <f t="shared" si="138"/>
        <v>0</v>
      </c>
      <c r="K732">
        <f t="shared" si="139"/>
        <v>-15402.195160958066</v>
      </c>
      <c r="L732">
        <f t="shared" si="140"/>
        <v>1736.2048390419313</v>
      </c>
      <c r="M732">
        <f t="shared" si="141"/>
        <v>-37.000000000003638</v>
      </c>
      <c r="N732">
        <f t="shared" si="143"/>
        <v>1736.2048390419313</v>
      </c>
      <c r="O732" s="5">
        <f t="shared" si="134"/>
        <v>3.474894617908364E-2</v>
      </c>
      <c r="P732">
        <f t="shared" si="142"/>
        <v>10000</v>
      </c>
      <c r="Q732">
        <f t="shared" si="135"/>
        <v>347.4894617908364</v>
      </c>
    </row>
    <row r="733" spans="1:17" x14ac:dyDescent="0.15">
      <c r="A733" s="10">
        <v>45893.420138888992</v>
      </c>
      <c r="B733">
        <f>COUNT(A733:$A$1158)/(48*252)</f>
        <v>3.5218253968253968E-2</v>
      </c>
      <c r="C733">
        <v>2.3210000000000002</v>
      </c>
      <c r="D733">
        <v>0.128</v>
      </c>
      <c r="E733">
        <f t="shared" si="132"/>
        <v>0.65606304485558575</v>
      </c>
      <c r="F733">
        <f t="shared" si="133"/>
        <v>0.7441082195952895</v>
      </c>
      <c r="G733">
        <f t="shared" si="136"/>
        <v>5.0000000000003375E-3</v>
      </c>
      <c r="H733">
        <f>IF(MOD(COUNTA($C$7:C733)-1,$J$2),H732,ROUND(F733*P733,-2))</f>
        <v>7400</v>
      </c>
      <c r="I733">
        <f t="shared" si="137"/>
        <v>0</v>
      </c>
      <c r="J733">
        <f t="shared" si="138"/>
        <v>0</v>
      </c>
      <c r="K733">
        <f t="shared" si="139"/>
        <v>-15402.195160958066</v>
      </c>
      <c r="L733">
        <f t="shared" si="140"/>
        <v>1773.204839041935</v>
      </c>
      <c r="M733">
        <f t="shared" si="141"/>
        <v>37.000000000003638</v>
      </c>
      <c r="N733">
        <f t="shared" si="143"/>
        <v>1773.204839041935</v>
      </c>
      <c r="O733" s="5">
        <f t="shared" si="134"/>
        <v>3.3372290931217741E-2</v>
      </c>
      <c r="P733">
        <f t="shared" si="142"/>
        <v>10000</v>
      </c>
      <c r="Q733">
        <f t="shared" si="135"/>
        <v>333.72290931217742</v>
      </c>
    </row>
    <row r="734" spans="1:17" x14ac:dyDescent="0.15">
      <c r="A734" s="10">
        <v>45893.423611111008</v>
      </c>
      <c r="B734">
        <f>COUNT(A734:$A$1158)/(48*252)</f>
        <v>3.5135582010582013E-2</v>
      </c>
      <c r="C734">
        <v>2.323</v>
      </c>
      <c r="D734">
        <v>0.13</v>
      </c>
      <c r="E734">
        <f t="shared" si="132"/>
        <v>0.66635870279866471</v>
      </c>
      <c r="F734">
        <f t="shared" si="133"/>
        <v>0.74740907391153311</v>
      </c>
      <c r="G734">
        <f t="shared" si="136"/>
        <v>1.9999999999997797E-3</v>
      </c>
      <c r="H734">
        <f>IF(MOD(COUNTA($C$7:C734)-1,$J$2),H733,ROUND(F734*P734,-2))</f>
        <v>7400</v>
      </c>
      <c r="I734">
        <f t="shared" si="137"/>
        <v>0</v>
      </c>
      <c r="J734">
        <f t="shared" si="138"/>
        <v>0</v>
      </c>
      <c r="K734">
        <f t="shared" si="139"/>
        <v>-15402.195160958066</v>
      </c>
      <c r="L734">
        <f t="shared" si="140"/>
        <v>1788.0048390419342</v>
      </c>
      <c r="M734">
        <f t="shared" si="141"/>
        <v>14.799999999999272</v>
      </c>
      <c r="N734">
        <f t="shared" si="143"/>
        <v>1788.0048390419342</v>
      </c>
      <c r="O734" s="5">
        <f t="shared" si="134"/>
        <v>3.2787287058859915E-2</v>
      </c>
      <c r="P734">
        <f t="shared" si="142"/>
        <v>10000</v>
      </c>
      <c r="Q734">
        <f t="shared" si="135"/>
        <v>327.87287058859914</v>
      </c>
    </row>
    <row r="735" spans="1:17" x14ac:dyDescent="0.15">
      <c r="A735" s="10">
        <v>45893.427083333023</v>
      </c>
      <c r="B735">
        <f>COUNT(A735:$A$1158)/(48*252)</f>
        <v>3.5052910052910051E-2</v>
      </c>
      <c r="C735">
        <v>2.3279999999999998</v>
      </c>
      <c r="D735">
        <v>0.13300000000000001</v>
      </c>
      <c r="E735">
        <f t="shared" si="132"/>
        <v>0.6911457556007381</v>
      </c>
      <c r="F735">
        <f t="shared" si="133"/>
        <v>0.75526302571017934</v>
      </c>
      <c r="G735">
        <f t="shared" si="136"/>
        <v>4.9999999999998934E-3</v>
      </c>
      <c r="H735">
        <f>IF(MOD(COUNTA($C$7:C735)-1,$J$2),H734,ROUND(F735*P735,-2))</f>
        <v>7400</v>
      </c>
      <c r="I735">
        <f t="shared" si="137"/>
        <v>0</v>
      </c>
      <c r="J735">
        <f t="shared" si="138"/>
        <v>0</v>
      </c>
      <c r="K735">
        <f t="shared" si="139"/>
        <v>-15402.195160958066</v>
      </c>
      <c r="L735">
        <f t="shared" si="140"/>
        <v>1825.0048390419306</v>
      </c>
      <c r="M735">
        <f t="shared" si="141"/>
        <v>36.999999999996362</v>
      </c>
      <c r="N735">
        <f t="shared" si="143"/>
        <v>1825.0048390419306</v>
      </c>
      <c r="O735" s="5">
        <f t="shared" si="134"/>
        <v>3.1468171023737002E-2</v>
      </c>
      <c r="P735">
        <f t="shared" si="142"/>
        <v>10000</v>
      </c>
      <c r="Q735">
        <f t="shared" si="135"/>
        <v>314.68171023737</v>
      </c>
    </row>
    <row r="736" spans="1:17" x14ac:dyDescent="0.15">
      <c r="A736" s="10">
        <v>45893.430555555969</v>
      </c>
      <c r="B736">
        <f>COUNT(A736:$A$1158)/(48*252)</f>
        <v>3.4970238095238096E-2</v>
      </c>
      <c r="C736">
        <v>2.3250000000000002</v>
      </c>
      <c r="D736">
        <v>0.13300000000000001</v>
      </c>
      <c r="E736">
        <f t="shared" si="132"/>
        <v>0.67733754088927067</v>
      </c>
      <c r="F736">
        <f t="shared" si="133"/>
        <v>0.75090409137372771</v>
      </c>
      <c r="G736">
        <f t="shared" si="136"/>
        <v>-2.9999999999996696E-3</v>
      </c>
      <c r="H736">
        <f>IF(MOD(COUNTA($C$7:C736)-1,$J$2),H735,ROUND(F736*P736,-2))</f>
        <v>7400</v>
      </c>
      <c r="I736">
        <f t="shared" si="137"/>
        <v>0</v>
      </c>
      <c r="J736">
        <f t="shared" si="138"/>
        <v>0</v>
      </c>
      <c r="K736">
        <f t="shared" si="139"/>
        <v>-15402.195160958066</v>
      </c>
      <c r="L736">
        <f t="shared" si="140"/>
        <v>1802.8048390419335</v>
      </c>
      <c r="M736">
        <f t="shared" si="141"/>
        <v>-22.19999999999709</v>
      </c>
      <c r="N736">
        <f t="shared" si="143"/>
        <v>1802.8048390419335</v>
      </c>
      <c r="O736" s="5">
        <f t="shared" si="134"/>
        <v>3.213320943586806E-2</v>
      </c>
      <c r="P736">
        <f t="shared" si="142"/>
        <v>10000</v>
      </c>
      <c r="Q736">
        <f t="shared" si="135"/>
        <v>321.33209435868059</v>
      </c>
    </row>
    <row r="737" spans="1:17" x14ac:dyDescent="0.15">
      <c r="A737" s="10">
        <v>45893.434027777985</v>
      </c>
      <c r="B737">
        <f>COUNT(A737:$A$1158)/(48*252)</f>
        <v>3.4887566137566141E-2</v>
      </c>
      <c r="C737">
        <v>2.3279999999999998</v>
      </c>
      <c r="D737">
        <v>0.13400000000000001</v>
      </c>
      <c r="E737">
        <f t="shared" si="132"/>
        <v>0.69251518669986223</v>
      </c>
      <c r="F737">
        <f t="shared" si="133"/>
        <v>0.75569307395605978</v>
      </c>
      <c r="G737">
        <f t="shared" si="136"/>
        <v>2.9999999999996696E-3</v>
      </c>
      <c r="H737">
        <f>IF(MOD(COUNTA($C$7:C737)-1,$J$2),H736,ROUND(F737*P737,-2))</f>
        <v>7400</v>
      </c>
      <c r="I737">
        <f t="shared" si="137"/>
        <v>0</v>
      </c>
      <c r="J737">
        <f t="shared" si="138"/>
        <v>0</v>
      </c>
      <c r="K737">
        <f t="shared" si="139"/>
        <v>-15402.195160958066</v>
      </c>
      <c r="L737">
        <f t="shared" si="140"/>
        <v>1825.0048390419306</v>
      </c>
      <c r="M737">
        <f t="shared" si="141"/>
        <v>22.19999999999709</v>
      </c>
      <c r="N737">
        <f t="shared" si="143"/>
        <v>1825.0048390419306</v>
      </c>
      <c r="O737" s="5">
        <f t="shared" si="134"/>
        <v>3.1317362947415828E-2</v>
      </c>
      <c r="P737">
        <f t="shared" si="142"/>
        <v>10000</v>
      </c>
      <c r="Q737">
        <f t="shared" si="135"/>
        <v>313.1736294741583</v>
      </c>
    </row>
    <row r="738" spans="1:17" x14ac:dyDescent="0.15">
      <c r="A738" s="10">
        <v>45893.4375</v>
      </c>
      <c r="B738">
        <f>COUNT(A738:$A$1158)/(48*252)</f>
        <v>3.4804894179894179E-2</v>
      </c>
      <c r="C738">
        <v>2.327</v>
      </c>
      <c r="D738">
        <v>0.13200000000000001</v>
      </c>
      <c r="E738">
        <f t="shared" si="132"/>
        <v>0.68836387048739778</v>
      </c>
      <c r="F738">
        <f t="shared" si="133"/>
        <v>0.75438816514297102</v>
      </c>
      <c r="G738">
        <f t="shared" si="136"/>
        <v>-9.9999999999988987E-4</v>
      </c>
      <c r="H738">
        <f>IF(MOD(COUNTA($C$7:C738)-1,$J$2),H737,ROUND(F738*P738,-2))</f>
        <v>7400</v>
      </c>
      <c r="I738">
        <f t="shared" si="137"/>
        <v>0</v>
      </c>
      <c r="J738">
        <f t="shared" si="138"/>
        <v>0</v>
      </c>
      <c r="K738">
        <f t="shared" si="139"/>
        <v>-15402.195160958066</v>
      </c>
      <c r="L738">
        <f t="shared" si="140"/>
        <v>1817.6048390419328</v>
      </c>
      <c r="M738">
        <f t="shared" si="141"/>
        <v>-7.3999999999978172</v>
      </c>
      <c r="N738">
        <f t="shared" si="143"/>
        <v>1817.6048390419328</v>
      </c>
      <c r="O738" s="5">
        <f t="shared" si="134"/>
        <v>3.1486725839201313E-2</v>
      </c>
      <c r="P738">
        <f t="shared" si="142"/>
        <v>10000</v>
      </c>
      <c r="Q738">
        <f t="shared" si="135"/>
        <v>314.86725839201313</v>
      </c>
    </row>
    <row r="739" spans="1:17" x14ac:dyDescent="0.15">
      <c r="A739" s="10">
        <v>45893.440972222015</v>
      </c>
      <c r="B739">
        <f>COUNT(A739:$A$1158)/(48*252)</f>
        <v>3.4722222222222224E-2</v>
      </c>
      <c r="C739">
        <v>2.3260000000000001</v>
      </c>
      <c r="D739">
        <v>0.13</v>
      </c>
      <c r="E739">
        <f t="shared" si="132"/>
        <v>0.68420157120645664</v>
      </c>
      <c r="F739">
        <f t="shared" si="133"/>
        <v>0.75307605487618057</v>
      </c>
      <c r="G739">
        <f t="shared" si="136"/>
        <v>-9.9999999999988987E-4</v>
      </c>
      <c r="H739">
        <f>IF(MOD(COUNTA($C$7:C739)-1,$J$2),H738,ROUND(F739*P739,-2))</f>
        <v>7500</v>
      </c>
      <c r="I739">
        <f t="shared" si="137"/>
        <v>100</v>
      </c>
      <c r="J739">
        <f t="shared" si="138"/>
        <v>0</v>
      </c>
      <c r="K739">
        <f t="shared" si="139"/>
        <v>-15634.805627958067</v>
      </c>
      <c r="L739">
        <f t="shared" si="140"/>
        <v>1810.1943720419331</v>
      </c>
      <c r="M739">
        <f t="shared" si="141"/>
        <v>-7.4104669999996986</v>
      </c>
      <c r="N739">
        <f t="shared" si="143"/>
        <v>1810.1943720419331</v>
      </c>
      <c r="O739" s="5">
        <f t="shared" si="134"/>
        <v>3.1657125092838134E-2</v>
      </c>
      <c r="P739">
        <f t="shared" si="142"/>
        <v>10000</v>
      </c>
      <c r="Q739">
        <f t="shared" si="135"/>
        <v>316.57125092838135</v>
      </c>
    </row>
    <row r="740" spans="1:17" x14ac:dyDescent="0.15">
      <c r="A740" s="10">
        <v>45893.444444444962</v>
      </c>
      <c r="B740">
        <f>COUNT(A740:$A$1158)/(48*252)</f>
        <v>3.4639550264550262E-2</v>
      </c>
      <c r="C740">
        <v>2.327</v>
      </c>
      <c r="D740">
        <v>0.13100000000000001</v>
      </c>
      <c r="E740">
        <f t="shared" si="132"/>
        <v>0.68973741668436783</v>
      </c>
      <c r="F740">
        <f t="shared" si="133"/>
        <v>0.75482033433952433</v>
      </c>
      <c r="G740">
        <f t="shared" si="136"/>
        <v>9.9999999999988987E-4</v>
      </c>
      <c r="H740">
        <f>IF(MOD(COUNTA($C$7:C740)-1,$J$2),H739,ROUND(F740*P740,-2))</f>
        <v>7500</v>
      </c>
      <c r="I740">
        <f t="shared" si="137"/>
        <v>0</v>
      </c>
      <c r="J740">
        <f t="shared" si="138"/>
        <v>0</v>
      </c>
      <c r="K740">
        <f t="shared" si="139"/>
        <v>-15634.805627958067</v>
      </c>
      <c r="L740">
        <f t="shared" si="140"/>
        <v>1817.6943720419331</v>
      </c>
      <c r="M740">
        <f t="shared" si="141"/>
        <v>7.5</v>
      </c>
      <c r="N740">
        <f t="shared" si="143"/>
        <v>1817.6943720419331</v>
      </c>
      <c r="O740" s="5">
        <f t="shared" si="134"/>
        <v>3.1335148381614109E-2</v>
      </c>
      <c r="P740">
        <f t="shared" si="142"/>
        <v>10000</v>
      </c>
      <c r="Q740">
        <f t="shared" si="135"/>
        <v>313.35148381614107</v>
      </c>
    </row>
    <row r="741" spans="1:17" x14ac:dyDescent="0.15">
      <c r="A741" s="10">
        <v>45893.447916666977</v>
      </c>
      <c r="B741">
        <f>COUNT(A741:$A$1158)/(48*252)</f>
        <v>3.4556878306878307E-2</v>
      </c>
      <c r="C741">
        <v>2.3260000000000001</v>
      </c>
      <c r="D741">
        <v>0.13100000000000001</v>
      </c>
      <c r="E741">
        <f t="shared" si="132"/>
        <v>0.68556877296207885</v>
      </c>
      <c r="F741">
        <f t="shared" si="133"/>
        <v>0.75350746059568485</v>
      </c>
      <c r="G741">
        <f t="shared" si="136"/>
        <v>-9.9999999999988987E-4</v>
      </c>
      <c r="H741">
        <f>IF(MOD(COUNTA($C$7:C741)-1,$J$2),H740,ROUND(F741*P741,-2))</f>
        <v>7500</v>
      </c>
      <c r="I741">
        <f t="shared" si="137"/>
        <v>0</v>
      </c>
      <c r="J741">
        <f t="shared" si="138"/>
        <v>0</v>
      </c>
      <c r="K741">
        <f t="shared" si="139"/>
        <v>-15634.805627958067</v>
      </c>
      <c r="L741">
        <f t="shared" si="140"/>
        <v>1810.1943720419331</v>
      </c>
      <c r="M741">
        <f t="shared" si="141"/>
        <v>-7.5</v>
      </c>
      <c r="N741">
        <f t="shared" si="143"/>
        <v>1810.1943720419331</v>
      </c>
      <c r="O741" s="5">
        <f t="shared" si="134"/>
        <v>3.1505001302778113E-2</v>
      </c>
      <c r="P741">
        <f t="shared" si="142"/>
        <v>10000</v>
      </c>
      <c r="Q741">
        <f t="shared" si="135"/>
        <v>315.05001302778112</v>
      </c>
    </row>
    <row r="742" spans="1:17" x14ac:dyDescent="0.15">
      <c r="A742" s="10">
        <v>45893.451388888992</v>
      </c>
      <c r="B742">
        <f>COUNT(A742:$A$1158)/(48*252)</f>
        <v>3.4474206349206352E-2</v>
      </c>
      <c r="C742">
        <v>2.33</v>
      </c>
      <c r="D742">
        <v>0.13300000000000001</v>
      </c>
      <c r="E742">
        <f t="shared" si="132"/>
        <v>0.70570445831799999</v>
      </c>
      <c r="F742">
        <f t="shared" si="133"/>
        <v>0.75981402606943804</v>
      </c>
      <c r="G742">
        <f t="shared" si="136"/>
        <v>4.0000000000000036E-3</v>
      </c>
      <c r="H742">
        <f>IF(MOD(COUNTA($C$7:C742)-1,$J$2),H741,ROUND(F742*P742,-2))</f>
        <v>7500</v>
      </c>
      <c r="I742">
        <f t="shared" si="137"/>
        <v>0</v>
      </c>
      <c r="J742">
        <f t="shared" si="138"/>
        <v>0</v>
      </c>
      <c r="K742">
        <f t="shared" si="139"/>
        <v>-15634.805627958067</v>
      </c>
      <c r="L742">
        <f t="shared" si="140"/>
        <v>1840.1943720419331</v>
      </c>
      <c r="M742">
        <f t="shared" si="141"/>
        <v>30</v>
      </c>
      <c r="N742">
        <f t="shared" si="143"/>
        <v>1840.1943720419331</v>
      </c>
      <c r="O742" s="5">
        <f t="shared" si="134"/>
        <v>3.0455960316237429E-2</v>
      </c>
      <c r="P742">
        <f t="shared" si="142"/>
        <v>10000</v>
      </c>
      <c r="Q742">
        <f t="shared" si="135"/>
        <v>304.55960316237429</v>
      </c>
    </row>
    <row r="743" spans="1:17" x14ac:dyDescent="0.15">
      <c r="A743" s="10">
        <v>45893.454861111008</v>
      </c>
      <c r="B743">
        <f>COUNT(A743:$A$1158)/(48*252)</f>
        <v>3.439153439153439E-2</v>
      </c>
      <c r="C743">
        <v>2.3319999999999999</v>
      </c>
      <c r="D743">
        <v>0.13300000000000001</v>
      </c>
      <c r="E743">
        <f t="shared" si="132"/>
        <v>0.71614121298466615</v>
      </c>
      <c r="F743">
        <f t="shared" si="133"/>
        <v>0.76304792096689145</v>
      </c>
      <c r="G743">
        <f t="shared" si="136"/>
        <v>1.9999999999997797E-3</v>
      </c>
      <c r="H743">
        <f>IF(MOD(COUNTA($C$7:C743)-1,$J$2),H742,ROUND(F743*P743,-2))</f>
        <v>7500</v>
      </c>
      <c r="I743">
        <f t="shared" si="137"/>
        <v>0</v>
      </c>
      <c r="J743">
        <f t="shared" si="138"/>
        <v>0</v>
      </c>
      <c r="K743">
        <f t="shared" si="139"/>
        <v>-15634.805627958067</v>
      </c>
      <c r="L743">
        <f t="shared" si="140"/>
        <v>1855.1943720419331</v>
      </c>
      <c r="M743">
        <f t="shared" si="141"/>
        <v>15</v>
      </c>
      <c r="N743">
        <f t="shared" si="143"/>
        <v>1855.1943720419331</v>
      </c>
      <c r="O743" s="5">
        <f t="shared" si="134"/>
        <v>2.9903720486597951E-2</v>
      </c>
      <c r="P743">
        <f t="shared" si="142"/>
        <v>10000</v>
      </c>
      <c r="Q743">
        <f t="shared" si="135"/>
        <v>299.0372048659795</v>
      </c>
    </row>
    <row r="744" spans="1:17" x14ac:dyDescent="0.15">
      <c r="A744" s="10">
        <v>45893.458333333023</v>
      </c>
      <c r="B744">
        <f>COUNT(A744:$A$1158)/(48*252)</f>
        <v>3.4308862433862435E-2</v>
      </c>
      <c r="C744">
        <v>2.33</v>
      </c>
      <c r="D744">
        <v>0.13100000000000001</v>
      </c>
      <c r="E744">
        <f t="shared" si="132"/>
        <v>0.70713425048036316</v>
      </c>
      <c r="F744">
        <f t="shared" si="133"/>
        <v>0.7602584734387402</v>
      </c>
      <c r="G744">
        <f t="shared" si="136"/>
        <v>-1.9999999999997797E-3</v>
      </c>
      <c r="H744">
        <f>IF(MOD(COUNTA($C$7:C744)-1,$J$2),H743,ROUND(F744*P744,-2))</f>
        <v>7500</v>
      </c>
      <c r="I744">
        <f t="shared" si="137"/>
        <v>0</v>
      </c>
      <c r="J744">
        <f t="shared" si="138"/>
        <v>0</v>
      </c>
      <c r="K744">
        <f t="shared" si="139"/>
        <v>-15634.805627958067</v>
      </c>
      <c r="L744">
        <f t="shared" si="140"/>
        <v>1840.1943720419331</v>
      </c>
      <c r="M744">
        <f t="shared" si="141"/>
        <v>-15</v>
      </c>
      <c r="N744">
        <f t="shared" si="143"/>
        <v>1840.1943720419331</v>
      </c>
      <c r="O744" s="5">
        <f t="shared" si="134"/>
        <v>3.030525024398889E-2</v>
      </c>
      <c r="P744">
        <f t="shared" si="142"/>
        <v>10000</v>
      </c>
      <c r="Q744">
        <f t="shared" si="135"/>
        <v>303.05250243988888</v>
      </c>
    </row>
    <row r="745" spans="1:17" x14ac:dyDescent="0.15">
      <c r="A745" s="10">
        <v>45893.461805555969</v>
      </c>
      <c r="B745">
        <f>COUNT(A745:$A$1158)/(48*252)</f>
        <v>3.4226190476190479E-2</v>
      </c>
      <c r="C745">
        <v>2.3250000000000002</v>
      </c>
      <c r="D745">
        <v>0.13</v>
      </c>
      <c r="E745">
        <f t="shared" si="132"/>
        <v>0.68344990760712532</v>
      </c>
      <c r="F745">
        <f t="shared" si="133"/>
        <v>0.75283870353019444</v>
      </c>
      <c r="G745">
        <f t="shared" si="136"/>
        <v>-4.9999999999998934E-3</v>
      </c>
      <c r="H745">
        <f>IF(MOD(COUNTA($C$7:C745)-1,$J$2),H744,ROUND(F745*P745,-2))</f>
        <v>7500</v>
      </c>
      <c r="I745">
        <f t="shared" si="137"/>
        <v>0</v>
      </c>
      <c r="J745">
        <f t="shared" si="138"/>
        <v>0</v>
      </c>
      <c r="K745">
        <f t="shared" si="139"/>
        <v>-15634.805627958067</v>
      </c>
      <c r="L745">
        <f t="shared" si="140"/>
        <v>1802.6943720419331</v>
      </c>
      <c r="M745">
        <f t="shared" si="141"/>
        <v>-37.5</v>
      </c>
      <c r="N745">
        <f t="shared" si="143"/>
        <v>1802.6943720419331</v>
      </c>
      <c r="O745" s="5">
        <f t="shared" si="134"/>
        <v>3.1446450437566886E-2</v>
      </c>
      <c r="P745">
        <f t="shared" si="142"/>
        <v>10000</v>
      </c>
      <c r="Q745">
        <f t="shared" si="135"/>
        <v>314.46450437566887</v>
      </c>
    </row>
    <row r="746" spans="1:17" x14ac:dyDescent="0.15">
      <c r="A746" s="10">
        <v>45893.465277777985</v>
      </c>
      <c r="B746">
        <f>COUNT(A746:$A$1158)/(48*252)</f>
        <v>3.4143518518518517E-2</v>
      </c>
      <c r="C746">
        <v>2.3210000000000002</v>
      </c>
      <c r="D746">
        <v>0.126</v>
      </c>
      <c r="E746">
        <f t="shared" si="132"/>
        <v>0.66455800163230438</v>
      </c>
      <c r="F746">
        <f t="shared" si="133"/>
        <v>0.74683338041951297</v>
      </c>
      <c r="G746">
        <f t="shared" si="136"/>
        <v>-4.0000000000000036E-3</v>
      </c>
      <c r="H746">
        <f>IF(MOD(COUNTA($C$7:C746)-1,$J$2),H745,ROUND(F746*P746,-2))</f>
        <v>7500</v>
      </c>
      <c r="I746">
        <f t="shared" si="137"/>
        <v>0</v>
      </c>
      <c r="J746">
        <f t="shared" si="138"/>
        <v>0</v>
      </c>
      <c r="K746">
        <f t="shared" si="139"/>
        <v>-15634.805627958067</v>
      </c>
      <c r="L746">
        <f t="shared" si="140"/>
        <v>1772.6943720419331</v>
      </c>
      <c r="M746">
        <f t="shared" si="141"/>
        <v>-30</v>
      </c>
      <c r="N746">
        <f t="shared" si="143"/>
        <v>1772.6943720419331</v>
      </c>
      <c r="O746" s="5">
        <f t="shared" si="134"/>
        <v>3.2370038447406602E-2</v>
      </c>
      <c r="P746">
        <f t="shared" si="142"/>
        <v>10000</v>
      </c>
      <c r="Q746">
        <f t="shared" si="135"/>
        <v>323.70038447406603</v>
      </c>
    </row>
    <row r="747" spans="1:17" x14ac:dyDescent="0.15">
      <c r="A747" s="10">
        <v>45893.46875</v>
      </c>
      <c r="B747">
        <f>COUNT(A747:$A$1158)/(48*252)</f>
        <v>3.4060846560846562E-2</v>
      </c>
      <c r="C747">
        <v>2.3170000000000002</v>
      </c>
      <c r="D747">
        <v>0.124</v>
      </c>
      <c r="E747">
        <f t="shared" si="132"/>
        <v>0.64558745087971725</v>
      </c>
      <c r="F747">
        <f t="shared" si="133"/>
        <v>0.74072671672165913</v>
      </c>
      <c r="G747">
        <f t="shared" si="136"/>
        <v>-4.0000000000000036E-3</v>
      </c>
      <c r="H747">
        <f>IF(MOD(COUNTA($C$7:C747)-1,$J$2),H746,ROUND(F747*P747,-2))</f>
        <v>7500</v>
      </c>
      <c r="I747">
        <f t="shared" si="137"/>
        <v>0</v>
      </c>
      <c r="J747">
        <f t="shared" si="138"/>
        <v>0</v>
      </c>
      <c r="K747">
        <f t="shared" si="139"/>
        <v>-15634.805627958067</v>
      </c>
      <c r="L747">
        <f t="shared" si="140"/>
        <v>1742.6943720419331</v>
      </c>
      <c r="M747">
        <f t="shared" si="141"/>
        <v>-30</v>
      </c>
      <c r="N747">
        <f t="shared" si="143"/>
        <v>1742.6943720419331</v>
      </c>
      <c r="O747" s="5">
        <f t="shared" si="134"/>
        <v>3.3316931441511599E-2</v>
      </c>
      <c r="P747">
        <f t="shared" si="142"/>
        <v>10000</v>
      </c>
      <c r="Q747">
        <f t="shared" si="135"/>
        <v>333.16931441511599</v>
      </c>
    </row>
    <row r="748" spans="1:17" x14ac:dyDescent="0.15">
      <c r="A748" s="10">
        <v>45893.472222222015</v>
      </c>
      <c r="B748">
        <f>COUNT(A748:$A$1158)/(48*252)</f>
        <v>3.39781746031746E-2</v>
      </c>
      <c r="C748">
        <v>2.3140000000000001</v>
      </c>
      <c r="D748">
        <v>0.121</v>
      </c>
      <c r="E748">
        <f t="shared" si="132"/>
        <v>0.63146586555347251</v>
      </c>
      <c r="F748">
        <f t="shared" si="133"/>
        <v>0.73613201932004846</v>
      </c>
      <c r="G748">
        <f t="shared" si="136"/>
        <v>-3.0000000000001137E-3</v>
      </c>
      <c r="H748">
        <f>IF(MOD(COUNTA($C$7:C748)-1,$J$2),H747,ROUND(F748*P748,-2))</f>
        <v>7500</v>
      </c>
      <c r="I748">
        <f t="shared" si="137"/>
        <v>0</v>
      </c>
      <c r="J748">
        <f t="shared" si="138"/>
        <v>0</v>
      </c>
      <c r="K748">
        <f t="shared" si="139"/>
        <v>-15634.805627958067</v>
      </c>
      <c r="L748">
        <f t="shared" si="140"/>
        <v>1720.1943720419331</v>
      </c>
      <c r="M748">
        <f t="shared" si="141"/>
        <v>-22.5</v>
      </c>
      <c r="N748">
        <f t="shared" si="143"/>
        <v>1720.1943720419331</v>
      </c>
      <c r="O748" s="5">
        <f t="shared" si="134"/>
        <v>3.4022874166525718E-2</v>
      </c>
      <c r="P748">
        <f t="shared" si="142"/>
        <v>10000</v>
      </c>
      <c r="Q748">
        <f t="shared" si="135"/>
        <v>340.22874166525719</v>
      </c>
    </row>
    <row r="749" spans="1:17" x14ac:dyDescent="0.15">
      <c r="A749" s="10">
        <v>45893.475694444962</v>
      </c>
      <c r="B749">
        <f>COUNT(A749:$A$1158)/(48*252)</f>
        <v>3.3895502645502645E-2</v>
      </c>
      <c r="C749">
        <v>2.3079999999999998</v>
      </c>
      <c r="D749">
        <v>0.11799999999999999</v>
      </c>
      <c r="E749">
        <f t="shared" si="132"/>
        <v>0.60246368883649759</v>
      </c>
      <c r="F749">
        <f t="shared" si="133"/>
        <v>0.72656723667512524</v>
      </c>
      <c r="G749">
        <f t="shared" si="136"/>
        <v>-6.0000000000002274E-3</v>
      </c>
      <c r="H749">
        <f>IF(MOD(COUNTA($C$7:C749)-1,$J$2),H748,ROUND(F749*P749,-2))</f>
        <v>7500</v>
      </c>
      <c r="I749">
        <f t="shared" si="137"/>
        <v>0</v>
      </c>
      <c r="J749">
        <f t="shared" si="138"/>
        <v>0</v>
      </c>
      <c r="K749">
        <f t="shared" si="139"/>
        <v>-15634.805627958067</v>
      </c>
      <c r="L749">
        <f t="shared" si="140"/>
        <v>1675.1943720419331</v>
      </c>
      <c r="M749">
        <f t="shared" si="141"/>
        <v>-45</v>
      </c>
      <c r="N749">
        <f t="shared" si="143"/>
        <v>1675.1943720419331</v>
      </c>
      <c r="O749" s="5">
        <f t="shared" si="134"/>
        <v>3.5554918869255436E-2</v>
      </c>
      <c r="P749">
        <f t="shared" si="142"/>
        <v>10000</v>
      </c>
      <c r="Q749">
        <f t="shared" si="135"/>
        <v>355.54918869255437</v>
      </c>
    </row>
    <row r="750" spans="1:17" x14ac:dyDescent="0.15">
      <c r="A750" s="10">
        <v>45893.479166666977</v>
      </c>
      <c r="B750">
        <f>COUNT(A750:$A$1158)/(48*252)</f>
        <v>3.381283068783069E-2</v>
      </c>
      <c r="C750">
        <v>2.31</v>
      </c>
      <c r="D750">
        <v>0.12</v>
      </c>
      <c r="E750">
        <f t="shared" si="132"/>
        <v>0.61296395025139494</v>
      </c>
      <c r="F750">
        <f t="shared" si="133"/>
        <v>0.73004991168578581</v>
      </c>
      <c r="G750">
        <f t="shared" si="136"/>
        <v>2.0000000000002238E-3</v>
      </c>
      <c r="H750">
        <f>IF(MOD(COUNTA($C$7:C750)-1,$J$2),H749,ROUND(F750*P750,-2))</f>
        <v>7500</v>
      </c>
      <c r="I750">
        <f t="shared" si="137"/>
        <v>0</v>
      </c>
      <c r="J750">
        <f t="shared" si="138"/>
        <v>0</v>
      </c>
      <c r="K750">
        <f t="shared" si="139"/>
        <v>-15634.805627958067</v>
      </c>
      <c r="L750">
        <f t="shared" si="140"/>
        <v>1690.1943720419331</v>
      </c>
      <c r="M750">
        <f t="shared" si="141"/>
        <v>15</v>
      </c>
      <c r="N750">
        <f t="shared" si="143"/>
        <v>1690.1943720419331</v>
      </c>
      <c r="O750" s="5">
        <f t="shared" si="134"/>
        <v>3.4931314717623896E-2</v>
      </c>
      <c r="P750">
        <f t="shared" si="142"/>
        <v>10000</v>
      </c>
      <c r="Q750">
        <f t="shared" si="135"/>
        <v>349.31314717623894</v>
      </c>
    </row>
    <row r="751" spans="1:17" x14ac:dyDescent="0.15">
      <c r="A751" s="10">
        <v>45893.545138888992</v>
      </c>
      <c r="B751">
        <f>COUNT(A751:$A$1158)/(48*252)</f>
        <v>3.3730158730158728E-2</v>
      </c>
      <c r="C751">
        <v>2.3090000000000002</v>
      </c>
      <c r="D751">
        <v>0.11899999999999999</v>
      </c>
      <c r="E751">
        <f t="shared" si="132"/>
        <v>0.60862445063042903</v>
      </c>
      <c r="F751">
        <f t="shared" si="133"/>
        <v>0.72861330301826954</v>
      </c>
      <c r="G751">
        <f t="shared" si="136"/>
        <v>-9.9999999999988987E-4</v>
      </c>
      <c r="H751">
        <f>IF(MOD(COUNTA($C$7:C751)-1,$J$2),H750,ROUND(F751*P751,-2))</f>
        <v>7300</v>
      </c>
      <c r="I751">
        <f t="shared" si="137"/>
        <v>-200</v>
      </c>
      <c r="J751">
        <f t="shared" si="138"/>
        <v>0</v>
      </c>
      <c r="K751">
        <f t="shared" si="139"/>
        <v>-15173.026408958067</v>
      </c>
      <c r="L751">
        <f t="shared" si="140"/>
        <v>1682.6735910419338</v>
      </c>
      <c r="M751">
        <f t="shared" si="141"/>
        <v>-7.5207809999992605</v>
      </c>
      <c r="N751">
        <f t="shared" si="143"/>
        <v>1682.6735910419338</v>
      </c>
      <c r="O751" s="5">
        <f t="shared" si="134"/>
        <v>3.5121788062063897E-2</v>
      </c>
      <c r="P751">
        <f t="shared" si="142"/>
        <v>10000</v>
      </c>
      <c r="Q751">
        <f t="shared" si="135"/>
        <v>351.21788062063899</v>
      </c>
    </row>
    <row r="752" spans="1:17" x14ac:dyDescent="0.15">
      <c r="A752" s="10">
        <v>45893.548611111008</v>
      </c>
      <c r="B752">
        <f>COUNT(A752:$A$1158)/(48*252)</f>
        <v>3.3647486772486773E-2</v>
      </c>
      <c r="C752">
        <v>2.3069999999999999</v>
      </c>
      <c r="D752">
        <v>0.11899999999999999</v>
      </c>
      <c r="E752">
        <f t="shared" si="132"/>
        <v>0.59930793976106256</v>
      </c>
      <c r="F752">
        <f t="shared" si="133"/>
        <v>0.72551622288430118</v>
      </c>
      <c r="G752">
        <f t="shared" si="136"/>
        <v>-2.0000000000002238E-3</v>
      </c>
      <c r="H752">
        <f>IF(MOD(COUNTA($C$7:C752)-1,$J$2),H751,ROUND(F752*P752,-2))</f>
        <v>7300</v>
      </c>
      <c r="I752">
        <f t="shared" si="137"/>
        <v>0</v>
      </c>
      <c r="J752">
        <f t="shared" si="138"/>
        <v>0</v>
      </c>
      <c r="K752">
        <f t="shared" si="139"/>
        <v>-15173.026408958067</v>
      </c>
      <c r="L752">
        <f t="shared" si="140"/>
        <v>1668.0735910419316</v>
      </c>
      <c r="M752">
        <f t="shared" si="141"/>
        <v>-14.600000000002183</v>
      </c>
      <c r="N752">
        <f t="shared" si="143"/>
        <v>1668.0735910419316</v>
      </c>
      <c r="O752" s="5">
        <f t="shared" si="134"/>
        <v>3.5587085131514762E-2</v>
      </c>
      <c r="P752">
        <f t="shared" si="142"/>
        <v>10000</v>
      </c>
      <c r="Q752">
        <f t="shared" si="135"/>
        <v>355.8708513151476</v>
      </c>
    </row>
    <row r="753" spans="1:17" x14ac:dyDescent="0.15">
      <c r="A753" s="10">
        <v>45893.552083333023</v>
      </c>
      <c r="B753">
        <f>COUNT(A753:$A$1158)/(48*252)</f>
        <v>3.3564814814814818E-2</v>
      </c>
      <c r="C753">
        <v>2.3109999999999999</v>
      </c>
      <c r="D753">
        <v>0.12</v>
      </c>
      <c r="E753">
        <f t="shared" si="132"/>
        <v>0.61978178480653745</v>
      </c>
      <c r="F753">
        <f t="shared" si="133"/>
        <v>0.7322992687304215</v>
      </c>
      <c r="G753">
        <f t="shared" si="136"/>
        <v>4.0000000000000036E-3</v>
      </c>
      <c r="H753">
        <f>IF(MOD(COUNTA($C$7:C753)-1,$J$2),H752,ROUND(F753*P753,-2))</f>
        <v>7300</v>
      </c>
      <c r="I753">
        <f t="shared" si="137"/>
        <v>0</v>
      </c>
      <c r="J753">
        <f t="shared" si="138"/>
        <v>0</v>
      </c>
      <c r="K753">
        <f t="shared" si="139"/>
        <v>-15173.026408958067</v>
      </c>
      <c r="L753">
        <f t="shared" si="140"/>
        <v>1697.2735910419324</v>
      </c>
      <c r="M753">
        <f t="shared" si="141"/>
        <v>29.200000000000728</v>
      </c>
      <c r="N753">
        <f t="shared" si="143"/>
        <v>1697.2735910419324</v>
      </c>
      <c r="O753" s="5">
        <f t="shared" si="134"/>
        <v>3.4422305199197756E-2</v>
      </c>
      <c r="P753">
        <f t="shared" si="142"/>
        <v>10000</v>
      </c>
      <c r="Q753">
        <f t="shared" si="135"/>
        <v>344.22305199197757</v>
      </c>
    </row>
    <row r="754" spans="1:17" x14ac:dyDescent="0.15">
      <c r="A754" s="10">
        <v>45893.555555555969</v>
      </c>
      <c r="B754">
        <f>COUNT(A754:$A$1158)/(48*252)</f>
        <v>3.3482142857142856E-2</v>
      </c>
      <c r="C754">
        <v>2.3130000000000002</v>
      </c>
      <c r="D754">
        <v>0.12</v>
      </c>
      <c r="E754">
        <f t="shared" si="132"/>
        <v>0.63034586978424645</v>
      </c>
      <c r="F754">
        <f t="shared" si="133"/>
        <v>0.73576584096806541</v>
      </c>
      <c r="G754">
        <f t="shared" si="136"/>
        <v>2.0000000000002238E-3</v>
      </c>
      <c r="H754">
        <f>IF(MOD(COUNTA($C$7:C754)-1,$J$2),H753,ROUND(F754*P754,-2))</f>
        <v>7300</v>
      </c>
      <c r="I754">
        <f t="shared" si="137"/>
        <v>0</v>
      </c>
      <c r="J754">
        <f t="shared" si="138"/>
        <v>0</v>
      </c>
      <c r="K754">
        <f t="shared" si="139"/>
        <v>-15173.026408958067</v>
      </c>
      <c r="L754">
        <f t="shared" si="140"/>
        <v>1711.8735910419346</v>
      </c>
      <c r="M754">
        <f t="shared" si="141"/>
        <v>14.600000000002183</v>
      </c>
      <c r="N754">
        <f t="shared" si="143"/>
        <v>1711.8735910419346</v>
      </c>
      <c r="O754" s="5">
        <f t="shared" si="134"/>
        <v>3.3810482096003791E-2</v>
      </c>
      <c r="P754">
        <f t="shared" si="142"/>
        <v>10000</v>
      </c>
      <c r="Q754">
        <f t="shared" si="135"/>
        <v>338.1048209600379</v>
      </c>
    </row>
    <row r="755" spans="1:17" x14ac:dyDescent="0.15">
      <c r="A755" s="10">
        <v>45893.559027777985</v>
      </c>
      <c r="B755">
        <f>COUNT(A755:$A$1158)/(48*252)</f>
        <v>3.3399470899470901E-2</v>
      </c>
      <c r="C755">
        <v>2.3170000000000002</v>
      </c>
      <c r="D755">
        <v>0.122</v>
      </c>
      <c r="E755">
        <f t="shared" si="132"/>
        <v>0.65085891383146599</v>
      </c>
      <c r="F755">
        <f t="shared" si="133"/>
        <v>0.74243121716445848</v>
      </c>
      <c r="G755">
        <f t="shared" si="136"/>
        <v>4.0000000000000036E-3</v>
      </c>
      <c r="H755">
        <f>IF(MOD(COUNTA($C$7:C755)-1,$J$2),H754,ROUND(F755*P755,-2))</f>
        <v>7300</v>
      </c>
      <c r="I755">
        <f t="shared" si="137"/>
        <v>0</v>
      </c>
      <c r="J755">
        <f t="shared" si="138"/>
        <v>0</v>
      </c>
      <c r="K755">
        <f t="shared" si="139"/>
        <v>-15173.026408958067</v>
      </c>
      <c r="L755">
        <f t="shared" si="140"/>
        <v>1741.0735910419353</v>
      </c>
      <c r="M755">
        <f t="shared" si="141"/>
        <v>29.200000000000728</v>
      </c>
      <c r="N755">
        <f t="shared" si="143"/>
        <v>1741.0735910419353</v>
      </c>
      <c r="O755" s="5">
        <f t="shared" si="134"/>
        <v>3.2687576929331663E-2</v>
      </c>
      <c r="P755">
        <f t="shared" si="142"/>
        <v>10000</v>
      </c>
      <c r="Q755">
        <f t="shared" si="135"/>
        <v>326.87576929331664</v>
      </c>
    </row>
    <row r="756" spans="1:17" x14ac:dyDescent="0.15">
      <c r="A756" s="10">
        <v>45893.5625</v>
      </c>
      <c r="B756">
        <f>COUNT(A756:$A$1158)/(48*252)</f>
        <v>3.3316798941798939E-2</v>
      </c>
      <c r="C756">
        <v>2.3170000000000002</v>
      </c>
      <c r="D756">
        <v>0.123</v>
      </c>
      <c r="E756">
        <f t="shared" si="132"/>
        <v>0.65152961719641322</v>
      </c>
      <c r="F756">
        <f t="shared" si="133"/>
        <v>0.74264766756630995</v>
      </c>
      <c r="G756">
        <f t="shared" si="136"/>
        <v>0</v>
      </c>
      <c r="H756">
        <f>IF(MOD(COUNTA($C$7:C756)-1,$J$2),H755,ROUND(F756*P756,-2))</f>
        <v>7300</v>
      </c>
      <c r="I756">
        <f t="shared" si="137"/>
        <v>0</v>
      </c>
      <c r="J756">
        <f t="shared" si="138"/>
        <v>0</v>
      </c>
      <c r="K756">
        <f t="shared" si="139"/>
        <v>-15173.026408958067</v>
      </c>
      <c r="L756">
        <f t="shared" si="140"/>
        <v>1741.0735910419353</v>
      </c>
      <c r="M756">
        <f t="shared" si="141"/>
        <v>0</v>
      </c>
      <c r="N756">
        <f t="shared" si="143"/>
        <v>1741.0735910419353</v>
      </c>
      <c r="O756" s="5">
        <f t="shared" si="134"/>
        <v>3.260861200172116E-2</v>
      </c>
      <c r="P756">
        <f t="shared" si="142"/>
        <v>10000</v>
      </c>
      <c r="Q756">
        <f t="shared" si="135"/>
        <v>326.08612001721161</v>
      </c>
    </row>
    <row r="757" spans="1:17" x14ac:dyDescent="0.15">
      <c r="A757" s="10">
        <v>45893.565972222015</v>
      </c>
      <c r="B757">
        <f>COUNT(A757:$A$1158)/(48*252)</f>
        <v>3.3234126984126984E-2</v>
      </c>
      <c r="C757">
        <v>2.3149999999999999</v>
      </c>
      <c r="D757">
        <v>0.121</v>
      </c>
      <c r="E757">
        <f t="shared" si="132"/>
        <v>0.64224784054179984</v>
      </c>
      <c r="F757">
        <f t="shared" si="133"/>
        <v>0.73964386248970249</v>
      </c>
      <c r="G757">
        <f t="shared" si="136"/>
        <v>-2.0000000000002238E-3</v>
      </c>
      <c r="H757">
        <f>IF(MOD(COUNTA($C$7:C757)-1,$J$2),H756,ROUND(F757*P757,-2))</f>
        <v>7400</v>
      </c>
      <c r="I757">
        <f t="shared" si="137"/>
        <v>100</v>
      </c>
      <c r="J757">
        <f t="shared" si="138"/>
        <v>0</v>
      </c>
      <c r="K757">
        <f t="shared" si="139"/>
        <v>-15404.536826458067</v>
      </c>
      <c r="L757">
        <f t="shared" si="140"/>
        <v>1726.4631735419334</v>
      </c>
      <c r="M757">
        <f t="shared" si="141"/>
        <v>-14.610417500001859</v>
      </c>
      <c r="N757">
        <f t="shared" si="143"/>
        <v>1726.4631735419334</v>
      </c>
      <c r="O757" s="5">
        <f t="shared" si="134"/>
        <v>3.3047068287188508E-2</v>
      </c>
      <c r="P757">
        <f t="shared" si="142"/>
        <v>10000</v>
      </c>
      <c r="Q757">
        <f t="shared" si="135"/>
        <v>330.47068287188506</v>
      </c>
    </row>
    <row r="758" spans="1:17" x14ac:dyDescent="0.15">
      <c r="A758" s="10">
        <v>45893.569444444962</v>
      </c>
      <c r="B758">
        <f>COUNT(A758:$A$1158)/(48*252)</f>
        <v>3.3151455026455029E-2</v>
      </c>
      <c r="C758">
        <v>2.3140000000000001</v>
      </c>
      <c r="D758">
        <v>0.121</v>
      </c>
      <c r="E758">
        <f t="shared" si="132"/>
        <v>0.63792448905128862</v>
      </c>
      <c r="F758">
        <f t="shared" si="133"/>
        <v>0.73823858221403404</v>
      </c>
      <c r="G758">
        <f t="shared" si="136"/>
        <v>-9.9999999999988987E-4</v>
      </c>
      <c r="H758">
        <f>IF(MOD(COUNTA($C$7:C758)-1,$J$2),H757,ROUND(F758*P758,-2))</f>
        <v>7400</v>
      </c>
      <c r="I758">
        <f t="shared" si="137"/>
        <v>0</v>
      </c>
      <c r="J758">
        <f t="shared" si="138"/>
        <v>0</v>
      </c>
      <c r="K758">
        <f t="shared" si="139"/>
        <v>-15404.536826458067</v>
      </c>
      <c r="L758">
        <f t="shared" si="140"/>
        <v>1719.0631735419356</v>
      </c>
      <c r="M758">
        <f t="shared" si="141"/>
        <v>-7.3999999999978172</v>
      </c>
      <c r="N758">
        <f t="shared" si="143"/>
        <v>1719.0631735419356</v>
      </c>
      <c r="O758" s="5">
        <f t="shared" si="134"/>
        <v>3.322848822650637E-2</v>
      </c>
      <c r="P758">
        <f t="shared" si="142"/>
        <v>10000</v>
      </c>
      <c r="Q758">
        <f t="shared" si="135"/>
        <v>332.28488226506369</v>
      </c>
    </row>
    <row r="759" spans="1:17" x14ac:dyDescent="0.15">
      <c r="A759" s="10">
        <v>45893.572916666977</v>
      </c>
      <c r="B759">
        <f>COUNT(A759:$A$1158)/(48*252)</f>
        <v>3.3068783068783067E-2</v>
      </c>
      <c r="C759">
        <v>2.3149999999999999</v>
      </c>
      <c r="D759">
        <v>0.121</v>
      </c>
      <c r="E759">
        <f t="shared" si="132"/>
        <v>0.64357781052412677</v>
      </c>
      <c r="F759">
        <f t="shared" si="133"/>
        <v>0.74007537850456084</v>
      </c>
      <c r="G759">
        <f t="shared" si="136"/>
        <v>9.9999999999988987E-4</v>
      </c>
      <c r="H759">
        <f>IF(MOD(COUNTA($C$7:C759)-1,$J$2),H758,ROUND(F759*P759,-2))</f>
        <v>7400</v>
      </c>
      <c r="I759">
        <f t="shared" si="137"/>
        <v>0</v>
      </c>
      <c r="J759">
        <f t="shared" si="138"/>
        <v>0</v>
      </c>
      <c r="K759">
        <f t="shared" si="139"/>
        <v>-15404.536826458067</v>
      </c>
      <c r="L759">
        <f t="shared" si="140"/>
        <v>1726.4631735419334</v>
      </c>
      <c r="M759">
        <f t="shared" si="141"/>
        <v>7.3999999999978172</v>
      </c>
      <c r="N759">
        <f t="shared" si="143"/>
        <v>1726.4631735419334</v>
      </c>
      <c r="O759" s="5">
        <f t="shared" si="134"/>
        <v>3.2887939044009995E-2</v>
      </c>
      <c r="P759">
        <f t="shared" si="142"/>
        <v>10000</v>
      </c>
      <c r="Q759">
        <f t="shared" si="135"/>
        <v>328.87939044009994</v>
      </c>
    </row>
    <row r="760" spans="1:17" x14ac:dyDescent="0.15">
      <c r="A760" s="10">
        <v>45893.576388888992</v>
      </c>
      <c r="B760">
        <f>COUNT(A760:$A$1158)/(48*252)</f>
        <v>3.2986111111111112E-2</v>
      </c>
      <c r="C760">
        <v>2.3220000000000001</v>
      </c>
      <c r="D760">
        <v>0.124</v>
      </c>
      <c r="E760">
        <f t="shared" si="132"/>
        <v>0.67918288228224799</v>
      </c>
      <c r="F760">
        <f t="shared" si="133"/>
        <v>0.7514890040174278</v>
      </c>
      <c r="G760">
        <f t="shared" si="136"/>
        <v>7.0000000000001172E-3</v>
      </c>
      <c r="H760">
        <f>IF(MOD(COUNTA($C$7:C760)-1,$J$2),H759,ROUND(F760*P760,-2))</f>
        <v>7400</v>
      </c>
      <c r="I760">
        <f t="shared" si="137"/>
        <v>0</v>
      </c>
      <c r="J760">
        <f t="shared" si="138"/>
        <v>0</v>
      </c>
      <c r="K760">
        <f t="shared" si="139"/>
        <v>-15404.536826458067</v>
      </c>
      <c r="L760">
        <f t="shared" si="140"/>
        <v>1778.2631735419327</v>
      </c>
      <c r="M760">
        <f t="shared" si="141"/>
        <v>51.799999999999272</v>
      </c>
      <c r="N760">
        <f t="shared" si="143"/>
        <v>1778.2631735419327</v>
      </c>
      <c r="O760" s="5">
        <f t="shared" si="134"/>
        <v>3.1029677660982524E-2</v>
      </c>
      <c r="P760">
        <f t="shared" si="142"/>
        <v>10000</v>
      </c>
      <c r="Q760">
        <f t="shared" si="135"/>
        <v>310.29677660982526</v>
      </c>
    </row>
    <row r="761" spans="1:17" x14ac:dyDescent="0.15">
      <c r="A761" s="10">
        <v>45893.579861111008</v>
      </c>
      <c r="B761">
        <f>COUNT(A761:$A$1158)/(48*252)</f>
        <v>3.2903439153439157E-2</v>
      </c>
      <c r="C761">
        <v>2.3199999999999998</v>
      </c>
      <c r="D761">
        <v>0.124</v>
      </c>
      <c r="E761">
        <f t="shared" si="132"/>
        <v>0.66991492665505914</v>
      </c>
      <c r="F761">
        <f t="shared" si="133"/>
        <v>0.74854398809738565</v>
      </c>
      <c r="G761">
        <f t="shared" si="136"/>
        <v>-2.0000000000002238E-3</v>
      </c>
      <c r="H761">
        <f>IF(MOD(COUNTA($C$7:C761)-1,$J$2),H760,ROUND(F761*P761,-2))</f>
        <v>7400</v>
      </c>
      <c r="I761">
        <f t="shared" si="137"/>
        <v>0</v>
      </c>
      <c r="J761">
        <f t="shared" si="138"/>
        <v>0</v>
      </c>
      <c r="K761">
        <f t="shared" si="139"/>
        <v>-15404.536826458067</v>
      </c>
      <c r="L761">
        <f t="shared" si="140"/>
        <v>1763.4631735419334</v>
      </c>
      <c r="M761">
        <f t="shared" si="141"/>
        <v>-14.799999999999272</v>
      </c>
      <c r="N761">
        <f t="shared" si="143"/>
        <v>1763.4631735419334</v>
      </c>
      <c r="O761" s="5">
        <f t="shared" si="134"/>
        <v>3.1451234758902324E-2</v>
      </c>
      <c r="P761">
        <f t="shared" si="142"/>
        <v>10000</v>
      </c>
      <c r="Q761">
        <f t="shared" si="135"/>
        <v>314.51234758902325</v>
      </c>
    </row>
    <row r="762" spans="1:17" x14ac:dyDescent="0.15">
      <c r="A762" s="10">
        <v>45893.583333333023</v>
      </c>
      <c r="B762">
        <f>COUNT(A762:$A$1158)/(48*252)</f>
        <v>3.2820767195767195E-2</v>
      </c>
      <c r="C762">
        <v>2.3210000000000002</v>
      </c>
      <c r="D762">
        <v>0.124</v>
      </c>
      <c r="E762">
        <f t="shared" si="132"/>
        <v>0.67561988638363779</v>
      </c>
      <c r="F762">
        <f t="shared" si="133"/>
        <v>0.75035899388624561</v>
      </c>
      <c r="G762">
        <f t="shared" si="136"/>
        <v>1.000000000000334E-3</v>
      </c>
      <c r="H762">
        <f>IF(MOD(COUNTA($C$7:C762)-1,$J$2),H761,ROUND(F762*P762,-2))</f>
        <v>7400</v>
      </c>
      <c r="I762">
        <f t="shared" si="137"/>
        <v>0</v>
      </c>
      <c r="J762">
        <f t="shared" si="138"/>
        <v>0</v>
      </c>
      <c r="K762">
        <f t="shared" si="139"/>
        <v>-15404.536826458067</v>
      </c>
      <c r="L762">
        <f t="shared" si="140"/>
        <v>1770.8631735419349</v>
      </c>
      <c r="M762">
        <f t="shared" si="141"/>
        <v>7.4000000000014552</v>
      </c>
      <c r="N762">
        <f t="shared" si="143"/>
        <v>1770.8631735419349</v>
      </c>
      <c r="O762" s="5">
        <f t="shared" si="134"/>
        <v>3.1122104790234251E-2</v>
      </c>
      <c r="P762">
        <f t="shared" si="142"/>
        <v>10000</v>
      </c>
      <c r="Q762">
        <f t="shared" si="135"/>
        <v>311.22104790234249</v>
      </c>
    </row>
    <row r="763" spans="1:17" x14ac:dyDescent="0.15">
      <c r="A763" s="10">
        <v>45893.586805555969</v>
      </c>
      <c r="B763">
        <f>COUNT(A763:$A$1158)/(48*252)</f>
        <v>3.273809523809524E-2</v>
      </c>
      <c r="C763">
        <v>2.3199999999999998</v>
      </c>
      <c r="D763">
        <v>0.125</v>
      </c>
      <c r="E763">
        <f t="shared" si="132"/>
        <v>0.67132947421939515</v>
      </c>
      <c r="F763">
        <f t="shared" si="133"/>
        <v>0.74899466891590805</v>
      </c>
      <c r="G763">
        <f t="shared" si="136"/>
        <v>-1.000000000000334E-3</v>
      </c>
      <c r="H763">
        <f>IF(MOD(COUNTA($C$7:C763)-1,$J$2),H762,ROUND(F763*P763,-2))</f>
        <v>7500</v>
      </c>
      <c r="I763">
        <f t="shared" si="137"/>
        <v>100</v>
      </c>
      <c r="J763">
        <f t="shared" si="138"/>
        <v>0</v>
      </c>
      <c r="K763">
        <f t="shared" si="139"/>
        <v>-15636.547266458067</v>
      </c>
      <c r="L763">
        <f t="shared" si="140"/>
        <v>1763.4527335419334</v>
      </c>
      <c r="M763">
        <f t="shared" si="141"/>
        <v>-7.4104400000014721</v>
      </c>
      <c r="N763">
        <f t="shared" si="143"/>
        <v>1763.4527335419334</v>
      </c>
      <c r="O763" s="5">
        <f t="shared" si="134"/>
        <v>3.1293781394022502E-2</v>
      </c>
      <c r="P763">
        <f t="shared" si="142"/>
        <v>10000</v>
      </c>
      <c r="Q763">
        <f t="shared" si="135"/>
        <v>312.937813940225</v>
      </c>
    </row>
    <row r="764" spans="1:17" x14ac:dyDescent="0.15">
      <c r="A764" s="10">
        <v>45893.590277777985</v>
      </c>
      <c r="B764">
        <f>COUNT(A764:$A$1158)/(48*252)</f>
        <v>3.2655423280423278E-2</v>
      </c>
      <c r="C764">
        <v>2.3239999999999998</v>
      </c>
      <c r="D764">
        <v>0.126</v>
      </c>
      <c r="E764">
        <f t="shared" si="132"/>
        <v>0.69207508288387787</v>
      </c>
      <c r="F764">
        <f t="shared" si="133"/>
        <v>0.75555491072357173</v>
      </c>
      <c r="G764">
        <f t="shared" si="136"/>
        <v>4.0000000000000036E-3</v>
      </c>
      <c r="H764">
        <f>IF(MOD(COUNTA($C$7:C764)-1,$J$2),H763,ROUND(F764*P764,-2))</f>
        <v>7500</v>
      </c>
      <c r="I764">
        <f t="shared" si="137"/>
        <v>0</v>
      </c>
      <c r="J764">
        <f t="shared" si="138"/>
        <v>0</v>
      </c>
      <c r="K764">
        <f t="shared" si="139"/>
        <v>-15636.547266458067</v>
      </c>
      <c r="L764">
        <f t="shared" si="140"/>
        <v>1793.4527335419334</v>
      </c>
      <c r="M764">
        <f t="shared" si="141"/>
        <v>30</v>
      </c>
      <c r="N764">
        <f t="shared" si="143"/>
        <v>1793.4527335419334</v>
      </c>
      <c r="O764" s="5">
        <f t="shared" si="134"/>
        <v>3.0224542580568059E-2</v>
      </c>
      <c r="P764">
        <f t="shared" si="142"/>
        <v>10000</v>
      </c>
      <c r="Q764">
        <f t="shared" si="135"/>
        <v>302.24542580568061</v>
      </c>
    </row>
    <row r="765" spans="1:17" x14ac:dyDescent="0.15">
      <c r="A765" s="10">
        <v>45893.59375</v>
      </c>
      <c r="B765">
        <f>COUNT(A765:$A$1158)/(48*252)</f>
        <v>3.2572751322751323E-2</v>
      </c>
      <c r="C765">
        <v>2.3220000000000001</v>
      </c>
      <c r="D765">
        <v>0.125</v>
      </c>
      <c r="E765">
        <f t="shared" si="132"/>
        <v>0.68278952368580514</v>
      </c>
      <c r="F765">
        <f t="shared" si="133"/>
        <v>0.75263007474006161</v>
      </c>
      <c r="G765">
        <f t="shared" si="136"/>
        <v>-1.9999999999997797E-3</v>
      </c>
      <c r="H765">
        <f>IF(MOD(COUNTA($C$7:C765)-1,$J$2),H764,ROUND(F765*P765,-2))</f>
        <v>7500</v>
      </c>
      <c r="I765">
        <f t="shared" si="137"/>
        <v>0</v>
      </c>
      <c r="J765">
        <f t="shared" si="138"/>
        <v>0</v>
      </c>
      <c r="K765">
        <f t="shared" si="139"/>
        <v>-15636.547266458067</v>
      </c>
      <c r="L765">
        <f t="shared" si="140"/>
        <v>1778.4527335419334</v>
      </c>
      <c r="M765">
        <f t="shared" si="141"/>
        <v>-15</v>
      </c>
      <c r="N765">
        <f t="shared" si="143"/>
        <v>1778.4527335419334</v>
      </c>
      <c r="O765" s="5">
        <f t="shared" si="134"/>
        <v>3.0638152274728214E-2</v>
      </c>
      <c r="P765">
        <f t="shared" si="142"/>
        <v>10000</v>
      </c>
      <c r="Q765">
        <f t="shared" si="135"/>
        <v>306.38152274728213</v>
      </c>
    </row>
    <row r="766" spans="1:17" x14ac:dyDescent="0.15">
      <c r="A766" s="10">
        <v>45893.597222222015</v>
      </c>
      <c r="B766">
        <f>COUNT(A766:$A$1158)/(48*252)</f>
        <v>3.2490079365079368E-2</v>
      </c>
      <c r="C766">
        <v>2.319</v>
      </c>
      <c r="D766">
        <v>0.122</v>
      </c>
      <c r="E766">
        <f t="shared" si="132"/>
        <v>0.66844616710404015</v>
      </c>
      <c r="F766">
        <f t="shared" si="133"/>
        <v>0.74807558296183441</v>
      </c>
      <c r="G766">
        <f t="shared" si="136"/>
        <v>-3.0000000000001137E-3</v>
      </c>
      <c r="H766">
        <f>IF(MOD(COUNTA($C$7:C766)-1,$J$2),H765,ROUND(F766*P766,-2))</f>
        <v>7500</v>
      </c>
      <c r="I766">
        <f t="shared" si="137"/>
        <v>0</v>
      </c>
      <c r="J766">
        <f t="shared" si="138"/>
        <v>0</v>
      </c>
      <c r="K766">
        <f t="shared" si="139"/>
        <v>-15636.547266458067</v>
      </c>
      <c r="L766">
        <f t="shared" si="140"/>
        <v>1755.9527335419334</v>
      </c>
      <c r="M766">
        <f t="shared" si="141"/>
        <v>-22.5</v>
      </c>
      <c r="N766">
        <f t="shared" si="143"/>
        <v>1755.9527335419334</v>
      </c>
      <c r="O766" s="5">
        <f t="shared" si="134"/>
        <v>3.1308239783376379E-2</v>
      </c>
      <c r="P766">
        <f t="shared" si="142"/>
        <v>10000</v>
      </c>
      <c r="Q766">
        <f t="shared" si="135"/>
        <v>313.08239783376382</v>
      </c>
    </row>
    <row r="767" spans="1:17" x14ac:dyDescent="0.15">
      <c r="A767" s="10">
        <v>45893.600694444962</v>
      </c>
      <c r="B767">
        <f>COUNT(A767:$A$1158)/(48*252)</f>
        <v>3.2407407407407406E-2</v>
      </c>
      <c r="C767">
        <v>2.3140000000000001</v>
      </c>
      <c r="D767">
        <v>0.11799999999999999</v>
      </c>
      <c r="E767">
        <f t="shared" si="132"/>
        <v>0.64396212817319165</v>
      </c>
      <c r="F767">
        <f t="shared" si="133"/>
        <v>0.74020000372513928</v>
      </c>
      <c r="G767">
        <f t="shared" si="136"/>
        <v>-4.9999999999998934E-3</v>
      </c>
      <c r="H767">
        <f>IF(MOD(COUNTA($C$7:C767)-1,$J$2),H766,ROUND(F767*P767,-2))</f>
        <v>7500</v>
      </c>
      <c r="I767">
        <f t="shared" si="137"/>
        <v>0</v>
      </c>
      <c r="J767">
        <f t="shared" si="138"/>
        <v>0</v>
      </c>
      <c r="K767">
        <f t="shared" si="139"/>
        <v>-15636.547266458067</v>
      </c>
      <c r="L767">
        <f t="shared" si="140"/>
        <v>1718.4527335419334</v>
      </c>
      <c r="M767">
        <f t="shared" si="141"/>
        <v>-37.5</v>
      </c>
      <c r="N767">
        <f t="shared" si="143"/>
        <v>1718.4527335419334</v>
      </c>
      <c r="O767" s="5">
        <f t="shared" si="134"/>
        <v>3.2507671952392569E-2</v>
      </c>
      <c r="P767">
        <f t="shared" si="142"/>
        <v>10000</v>
      </c>
      <c r="Q767">
        <f t="shared" si="135"/>
        <v>325.0767195239257</v>
      </c>
    </row>
    <row r="768" spans="1:17" x14ac:dyDescent="0.15">
      <c r="A768" s="10">
        <v>45893.604166666977</v>
      </c>
      <c r="B768">
        <f>COUNT(A768:$A$1158)/(48*252)</f>
        <v>3.2324735449735451E-2</v>
      </c>
      <c r="C768">
        <v>2.3159999999999998</v>
      </c>
      <c r="D768">
        <v>0.11799999999999999</v>
      </c>
      <c r="E768">
        <f t="shared" si="132"/>
        <v>0.65474526745603934</v>
      </c>
      <c r="F768">
        <f t="shared" si="133"/>
        <v>0.74368411253257471</v>
      </c>
      <c r="G768">
        <f t="shared" si="136"/>
        <v>1.9999999999997797E-3</v>
      </c>
      <c r="H768">
        <f>IF(MOD(COUNTA($C$7:C768)-1,$J$2),H767,ROUND(F768*P768,-2))</f>
        <v>7500</v>
      </c>
      <c r="I768">
        <f t="shared" si="137"/>
        <v>0</v>
      </c>
      <c r="J768">
        <f t="shared" si="138"/>
        <v>0</v>
      </c>
      <c r="K768">
        <f t="shared" si="139"/>
        <v>-15636.547266458067</v>
      </c>
      <c r="L768">
        <f t="shared" si="140"/>
        <v>1733.4527335419334</v>
      </c>
      <c r="M768">
        <f t="shared" si="141"/>
        <v>15</v>
      </c>
      <c r="N768">
        <f t="shared" si="143"/>
        <v>1733.4527335419334</v>
      </c>
      <c r="O768" s="5">
        <f t="shared" si="134"/>
        <v>3.1911343387046598E-2</v>
      </c>
      <c r="P768">
        <f t="shared" si="142"/>
        <v>10000</v>
      </c>
      <c r="Q768">
        <f t="shared" si="135"/>
        <v>319.113433870466</v>
      </c>
    </row>
    <row r="769" spans="1:17" x14ac:dyDescent="0.15">
      <c r="A769" s="10">
        <v>45893.607638888992</v>
      </c>
      <c r="B769">
        <f>COUNT(A769:$A$1158)/(48*252)</f>
        <v>3.2242063492063495E-2</v>
      </c>
      <c r="C769">
        <v>2.319</v>
      </c>
      <c r="D769">
        <v>0.11799999999999999</v>
      </c>
      <c r="E769">
        <f t="shared" si="132"/>
        <v>0.67059648815661765</v>
      </c>
      <c r="F769">
        <f t="shared" si="133"/>
        <v>0.74876118983561923</v>
      </c>
      <c r="G769">
        <f t="shared" si="136"/>
        <v>3.0000000000001137E-3</v>
      </c>
      <c r="H769">
        <f>IF(MOD(COUNTA($C$7:C769)-1,$J$2),H768,ROUND(F769*P769,-2))</f>
        <v>7500</v>
      </c>
      <c r="I769">
        <f t="shared" si="137"/>
        <v>0</v>
      </c>
      <c r="J769">
        <f t="shared" si="138"/>
        <v>0</v>
      </c>
      <c r="K769">
        <f t="shared" si="139"/>
        <v>-15636.547266458067</v>
      </c>
      <c r="L769">
        <f t="shared" si="140"/>
        <v>1755.9527335419334</v>
      </c>
      <c r="M769">
        <f t="shared" si="141"/>
        <v>22.5</v>
      </c>
      <c r="N769">
        <f t="shared" si="143"/>
        <v>1755.9527335419334</v>
      </c>
      <c r="O769" s="5">
        <f t="shared" si="134"/>
        <v>3.1070302666443506E-2</v>
      </c>
      <c r="P769">
        <f t="shared" si="142"/>
        <v>10000</v>
      </c>
      <c r="Q769">
        <f t="shared" si="135"/>
        <v>310.70302666443507</v>
      </c>
    </row>
    <row r="770" spans="1:17" x14ac:dyDescent="0.15">
      <c r="A770" s="10">
        <v>45893.611111111008</v>
      </c>
      <c r="B770">
        <f>COUNT(A770:$A$1158)/(48*252)</f>
        <v>3.2159391534391533E-2</v>
      </c>
      <c r="C770">
        <v>2.3180000000000001</v>
      </c>
      <c r="D770">
        <v>0.12</v>
      </c>
      <c r="E770">
        <f t="shared" si="132"/>
        <v>0.66626453110787487</v>
      </c>
      <c r="F770">
        <f t="shared" si="133"/>
        <v>0.74737898383316304</v>
      </c>
      <c r="G770">
        <f t="shared" si="136"/>
        <v>-9.9999999999988987E-4</v>
      </c>
      <c r="H770">
        <f>IF(MOD(COUNTA($C$7:C770)-1,$J$2),H769,ROUND(F770*P770,-2))</f>
        <v>7500</v>
      </c>
      <c r="I770">
        <f t="shared" si="137"/>
        <v>0</v>
      </c>
      <c r="J770">
        <f t="shared" si="138"/>
        <v>0</v>
      </c>
      <c r="K770">
        <f t="shared" si="139"/>
        <v>-15636.547266458067</v>
      </c>
      <c r="L770">
        <f t="shared" si="140"/>
        <v>1748.4527335419334</v>
      </c>
      <c r="M770">
        <f t="shared" si="141"/>
        <v>-7.5</v>
      </c>
      <c r="N770">
        <f t="shared" si="143"/>
        <v>1748.4527335419334</v>
      </c>
      <c r="O770" s="5">
        <f t="shared" si="134"/>
        <v>3.124267248425705E-2</v>
      </c>
      <c r="P770">
        <f t="shared" si="142"/>
        <v>10000</v>
      </c>
      <c r="Q770">
        <f t="shared" si="135"/>
        <v>312.42672484257048</v>
      </c>
    </row>
    <row r="771" spans="1:17" x14ac:dyDescent="0.15">
      <c r="A771" s="10">
        <v>45893.614583333023</v>
      </c>
      <c r="B771">
        <f>COUNT(A771:$A$1158)/(48*252)</f>
        <v>3.2076719576719578E-2</v>
      </c>
      <c r="C771">
        <v>2.3210000000000002</v>
      </c>
      <c r="D771">
        <v>0.11799999999999999</v>
      </c>
      <c r="E771">
        <f t="shared" si="132"/>
        <v>0.68216045230405264</v>
      </c>
      <c r="F771">
        <f t="shared" si="133"/>
        <v>0.75243125071484085</v>
      </c>
      <c r="G771">
        <f t="shared" si="136"/>
        <v>3.0000000000001137E-3</v>
      </c>
      <c r="H771">
        <f>IF(MOD(COUNTA($C$7:C771)-1,$J$2),H770,ROUND(F771*P771,-2))</f>
        <v>7500</v>
      </c>
      <c r="I771">
        <f t="shared" si="137"/>
        <v>0</v>
      </c>
      <c r="J771">
        <f t="shared" si="138"/>
        <v>0</v>
      </c>
      <c r="K771">
        <f t="shared" si="139"/>
        <v>-15636.547266458067</v>
      </c>
      <c r="L771">
        <f t="shared" si="140"/>
        <v>1770.9527335419334</v>
      </c>
      <c r="M771">
        <f t="shared" si="141"/>
        <v>22.5</v>
      </c>
      <c r="N771">
        <f t="shared" si="143"/>
        <v>1770.9527335419334</v>
      </c>
      <c r="O771" s="5">
        <f t="shared" si="134"/>
        <v>3.0413005203342669E-2</v>
      </c>
      <c r="P771">
        <f t="shared" si="142"/>
        <v>10000</v>
      </c>
      <c r="Q771">
        <f t="shared" si="135"/>
        <v>304.13005203342669</v>
      </c>
    </row>
    <row r="772" spans="1:17" x14ac:dyDescent="0.15">
      <c r="A772" s="10">
        <v>45893.618055555969</v>
      </c>
      <c r="B772">
        <f>COUNT(A772:$A$1158)/(48*252)</f>
        <v>3.1994047619047616E-2</v>
      </c>
      <c r="C772">
        <v>2.323</v>
      </c>
      <c r="D772">
        <v>0.12</v>
      </c>
      <c r="E772">
        <f t="shared" si="132"/>
        <v>0.69302215307401349</v>
      </c>
      <c r="F772">
        <f t="shared" si="133"/>
        <v>0.75585217538623395</v>
      </c>
      <c r="G772">
        <f t="shared" si="136"/>
        <v>1.9999999999997797E-3</v>
      </c>
      <c r="H772">
        <f>IF(MOD(COUNTA($C$7:C772)-1,$J$2),H771,ROUND(F772*P772,-2))</f>
        <v>7500</v>
      </c>
      <c r="I772">
        <f t="shared" si="137"/>
        <v>0</v>
      </c>
      <c r="J772">
        <f t="shared" si="138"/>
        <v>0</v>
      </c>
      <c r="K772">
        <f t="shared" si="139"/>
        <v>-15636.547266458067</v>
      </c>
      <c r="L772">
        <f t="shared" si="140"/>
        <v>1785.9527335419334</v>
      </c>
      <c r="M772">
        <f t="shared" si="141"/>
        <v>15</v>
      </c>
      <c r="N772">
        <f t="shared" si="143"/>
        <v>1785.9527335419334</v>
      </c>
      <c r="O772" s="5">
        <f t="shared" si="134"/>
        <v>2.9842416336805511E-2</v>
      </c>
      <c r="P772">
        <f t="shared" si="142"/>
        <v>10000</v>
      </c>
      <c r="Q772">
        <f t="shared" si="135"/>
        <v>298.42416336805513</v>
      </c>
    </row>
    <row r="773" spans="1:17" x14ac:dyDescent="0.15">
      <c r="A773" s="10">
        <v>45893.621527777985</v>
      </c>
      <c r="B773">
        <f>COUNT(A773:$A$1158)/(48*252)</f>
        <v>3.1911375661375661E-2</v>
      </c>
      <c r="C773">
        <v>2.323</v>
      </c>
      <c r="D773">
        <v>0.12</v>
      </c>
      <c r="E773">
        <f t="shared" si="132"/>
        <v>0.69377998654603301</v>
      </c>
      <c r="F773">
        <f t="shared" si="133"/>
        <v>0.75608990230152995</v>
      </c>
      <c r="G773">
        <f t="shared" si="136"/>
        <v>0</v>
      </c>
      <c r="H773">
        <f>IF(MOD(COUNTA($C$7:C773)-1,$J$2),H772,ROUND(F773*P773,-2))</f>
        <v>7500</v>
      </c>
      <c r="I773">
        <f t="shared" si="137"/>
        <v>0</v>
      </c>
      <c r="J773">
        <f t="shared" si="138"/>
        <v>0</v>
      </c>
      <c r="K773">
        <f t="shared" si="139"/>
        <v>-15636.547266458067</v>
      </c>
      <c r="L773">
        <f t="shared" si="140"/>
        <v>1785.9527335419334</v>
      </c>
      <c r="M773">
        <f t="shared" si="141"/>
        <v>0</v>
      </c>
      <c r="N773">
        <f t="shared" si="143"/>
        <v>1785.9527335419334</v>
      </c>
      <c r="O773" s="5">
        <f t="shared" si="134"/>
        <v>2.9763713667554814E-2</v>
      </c>
      <c r="P773">
        <f t="shared" si="142"/>
        <v>10000</v>
      </c>
      <c r="Q773">
        <f t="shared" si="135"/>
        <v>297.63713667554816</v>
      </c>
    </row>
    <row r="774" spans="1:17" x14ac:dyDescent="0.15">
      <c r="A774" s="10">
        <v>45893.625</v>
      </c>
      <c r="B774">
        <f>COUNT(A774:$A$1158)/(48*252)</f>
        <v>3.1828703703703706E-2</v>
      </c>
      <c r="C774">
        <v>2.3220000000000001</v>
      </c>
      <c r="D774">
        <v>0.11700000000000001</v>
      </c>
      <c r="E774">
        <f t="shared" si="132"/>
        <v>0.68946890400195149</v>
      </c>
      <c r="F774">
        <f t="shared" si="133"/>
        <v>0.75473588233721256</v>
      </c>
      <c r="G774">
        <f t="shared" si="136"/>
        <v>-9.9999999999988987E-4</v>
      </c>
      <c r="H774">
        <f>IF(MOD(COUNTA($C$7:C774)-1,$J$2),H773,ROUND(F774*P774,-2))</f>
        <v>7500</v>
      </c>
      <c r="I774">
        <f t="shared" si="137"/>
        <v>0</v>
      </c>
      <c r="J774">
        <f t="shared" si="138"/>
        <v>0</v>
      </c>
      <c r="K774">
        <f t="shared" si="139"/>
        <v>-15636.547266458067</v>
      </c>
      <c r="L774">
        <f t="shared" si="140"/>
        <v>1778.4527335419334</v>
      </c>
      <c r="M774">
        <f t="shared" si="141"/>
        <v>-7.5</v>
      </c>
      <c r="N774">
        <f t="shared" si="143"/>
        <v>1778.4527335419334</v>
      </c>
      <c r="O774" s="5">
        <f t="shared" si="134"/>
        <v>2.9929415081299982E-2</v>
      </c>
      <c r="P774">
        <f t="shared" si="142"/>
        <v>10000</v>
      </c>
      <c r="Q774">
        <f t="shared" si="135"/>
        <v>299.29415081299982</v>
      </c>
    </row>
    <row r="775" spans="1:17" x14ac:dyDescent="0.15">
      <c r="A775" s="10">
        <v>45896.399305555969</v>
      </c>
      <c r="B775">
        <f>COUNT(A775:$A$1158)/(48*252)</f>
        <v>3.1746031746031744E-2</v>
      </c>
      <c r="C775">
        <v>2.323</v>
      </c>
      <c r="D775">
        <v>0.12</v>
      </c>
      <c r="E775">
        <f t="shared" si="132"/>
        <v>0.69530506846048468</v>
      </c>
      <c r="F775">
        <f t="shared" si="133"/>
        <v>0.75656793070746642</v>
      </c>
      <c r="G775">
        <f t="shared" si="136"/>
        <v>9.9999999999988987E-4</v>
      </c>
      <c r="H775">
        <f>IF(MOD(COUNTA($C$7:C775)-1,$J$2),H774,ROUND(F775*P775,-2))</f>
        <v>7600</v>
      </c>
      <c r="I775">
        <f t="shared" si="137"/>
        <v>100</v>
      </c>
      <c r="J775">
        <f t="shared" si="138"/>
        <v>0</v>
      </c>
      <c r="K775">
        <f t="shared" si="139"/>
        <v>-15868.857719958065</v>
      </c>
      <c r="L775">
        <f t="shared" si="140"/>
        <v>1785.9422800419343</v>
      </c>
      <c r="M775">
        <f t="shared" si="141"/>
        <v>7.4895465000008699</v>
      </c>
      <c r="N775">
        <f t="shared" si="143"/>
        <v>1785.9422800419343</v>
      </c>
      <c r="O775" s="5">
        <f t="shared" si="134"/>
        <v>2.9606118598092146E-2</v>
      </c>
      <c r="P775">
        <f t="shared" si="142"/>
        <v>10000</v>
      </c>
      <c r="Q775">
        <f t="shared" si="135"/>
        <v>296.06118598092144</v>
      </c>
    </row>
    <row r="776" spans="1:17" x14ac:dyDescent="0.15">
      <c r="A776" s="10">
        <v>45896.402777777985</v>
      </c>
      <c r="B776">
        <f>COUNT(A776:$A$1158)/(48*252)</f>
        <v>3.1663359788359789E-2</v>
      </c>
      <c r="C776">
        <v>2.3260000000000001</v>
      </c>
      <c r="D776">
        <v>0.123</v>
      </c>
      <c r="E776">
        <f t="shared" ref="E776:E839" si="144">(LN(C776/$B$2)+($B$1+0.5*$D$1*$D$1)*B776)/($D$1*SQRT(B776))</f>
        <v>0.71131505359267166</v>
      </c>
      <c r="F776">
        <f t="shared" ref="F776:F839" si="145">NORMSDIST(E776)</f>
        <v>0.76155548738958345</v>
      </c>
      <c r="G776">
        <f t="shared" si="136"/>
        <v>3.0000000000001137E-3</v>
      </c>
      <c r="H776">
        <f>IF(MOD(COUNTA($C$7:C776)-1,$J$2),H775,ROUND(F776*P776,-2))</f>
        <v>7600</v>
      </c>
      <c r="I776">
        <f t="shared" si="137"/>
        <v>0</v>
      </c>
      <c r="J776">
        <f t="shared" si="138"/>
        <v>0</v>
      </c>
      <c r="K776">
        <f t="shared" si="139"/>
        <v>-15868.857719958065</v>
      </c>
      <c r="L776">
        <f t="shared" si="140"/>
        <v>1808.7422800419372</v>
      </c>
      <c r="M776">
        <f t="shared" si="141"/>
        <v>22.80000000000291</v>
      </c>
      <c r="N776">
        <f t="shared" si="143"/>
        <v>1808.7422800419372</v>
      </c>
      <c r="O776" s="5">
        <f t="shared" ref="O776:O839" si="146">put_bs($B$1,$J$1,C776,$B$2,B776)</f>
        <v>2.8804785851404335E-2</v>
      </c>
      <c r="P776">
        <f t="shared" si="142"/>
        <v>10000</v>
      </c>
      <c r="Q776">
        <f t="shared" ref="Q776:Q839" si="147">P776*O776</f>
        <v>288.04785851404336</v>
      </c>
    </row>
    <row r="777" spans="1:17" x14ac:dyDescent="0.15">
      <c r="A777" s="10">
        <v>45896.40625</v>
      </c>
      <c r="B777">
        <f>COUNT(A777:$A$1158)/(48*252)</f>
        <v>3.1580687830687834E-2</v>
      </c>
      <c r="C777">
        <v>2.3210000000000002</v>
      </c>
      <c r="D777">
        <v>0.12</v>
      </c>
      <c r="E777">
        <f t="shared" si="144"/>
        <v>0.68665679876012897</v>
      </c>
      <c r="F777">
        <f t="shared" si="145"/>
        <v>0.7538504865805109</v>
      </c>
      <c r="G777">
        <f t="shared" ref="G777:G840" si="148">C777-C776</f>
        <v>-4.9999999999998934E-3</v>
      </c>
      <c r="H777">
        <f>IF(MOD(COUNTA($C$7:C777)-1,$J$2),H776,ROUND(F777*P777,-2))</f>
        <v>7600</v>
      </c>
      <c r="I777">
        <f t="shared" ref="I777:I840" si="149">H777-H776</f>
        <v>0</v>
      </c>
      <c r="J777">
        <f t="shared" ref="J777:J840" si="150">J776</f>
        <v>0</v>
      </c>
      <c r="K777">
        <f t="shared" ref="K777:K840" si="151">K776-I777*C777-ABS(I777*C777*$F$2)</f>
        <v>-15868.857719958065</v>
      </c>
      <c r="L777">
        <f t="shared" ref="L777:L840" si="152">K777+H777*C777</f>
        <v>1770.7422800419372</v>
      </c>
      <c r="M777">
        <f t="shared" ref="M777:M840" si="153">L777-L776</f>
        <v>-38</v>
      </c>
      <c r="N777">
        <f t="shared" si="143"/>
        <v>1770.7422800419372</v>
      </c>
      <c r="O777" s="5">
        <f t="shared" si="146"/>
        <v>2.9937365754363232E-2</v>
      </c>
      <c r="P777">
        <f t="shared" ref="P777:P840" si="154">P776</f>
        <v>10000</v>
      </c>
      <c r="Q777">
        <f t="shared" si="147"/>
        <v>299.37365754363231</v>
      </c>
    </row>
    <row r="778" spans="1:17" x14ac:dyDescent="0.15">
      <c r="A778" s="10">
        <v>45896.409722222015</v>
      </c>
      <c r="B778">
        <f>COUNT(A778:$A$1158)/(48*252)</f>
        <v>3.1498015873015872E-2</v>
      </c>
      <c r="C778">
        <v>2.3159999999999998</v>
      </c>
      <c r="D778">
        <v>0.11600000000000001</v>
      </c>
      <c r="E778">
        <f t="shared" si="144"/>
        <v>0.66188013296199422</v>
      </c>
      <c r="F778">
        <f t="shared" si="145"/>
        <v>0.74597597744905475</v>
      </c>
      <c r="G778">
        <f t="shared" si="148"/>
        <v>-5.0000000000003375E-3</v>
      </c>
      <c r="H778">
        <f>IF(MOD(COUNTA($C$7:C778)-1,$J$2),H777,ROUND(F778*P778,-2))</f>
        <v>7600</v>
      </c>
      <c r="I778">
        <f t="shared" si="149"/>
        <v>0</v>
      </c>
      <c r="J778">
        <f t="shared" si="150"/>
        <v>0</v>
      </c>
      <c r="K778">
        <f t="shared" si="151"/>
        <v>-15868.857719958065</v>
      </c>
      <c r="L778">
        <f t="shared" si="152"/>
        <v>1732.7422800419336</v>
      </c>
      <c r="M778">
        <f t="shared" si="153"/>
        <v>-38.000000000003638</v>
      </c>
      <c r="N778">
        <f t="shared" ref="N778:N841" si="155">L778-$F$1</f>
        <v>1732.7422800419336</v>
      </c>
      <c r="O778" s="5">
        <f t="shared" si="146"/>
        <v>3.1107633787428202E-2</v>
      </c>
      <c r="P778">
        <f t="shared" si="154"/>
        <v>10000</v>
      </c>
      <c r="Q778">
        <f t="shared" si="147"/>
        <v>311.07633787428199</v>
      </c>
    </row>
    <row r="779" spans="1:17" x14ac:dyDescent="0.15">
      <c r="A779" s="10">
        <v>45896.413194444962</v>
      </c>
      <c r="B779">
        <f>COUNT(A779:$A$1158)/(48*252)</f>
        <v>3.1415343915343917E-2</v>
      </c>
      <c r="C779">
        <v>2.3180000000000001</v>
      </c>
      <c r="D779">
        <v>0.11700000000000001</v>
      </c>
      <c r="E779">
        <f t="shared" si="144"/>
        <v>0.6728449297388136</v>
      </c>
      <c r="F779">
        <f t="shared" si="145"/>
        <v>0.7494770247836412</v>
      </c>
      <c r="G779">
        <f t="shared" si="148"/>
        <v>2.0000000000002238E-3</v>
      </c>
      <c r="H779">
        <f>IF(MOD(COUNTA($C$7:C779)-1,$J$2),H778,ROUND(F779*P779,-2))</f>
        <v>7600</v>
      </c>
      <c r="I779">
        <f t="shared" si="149"/>
        <v>0</v>
      </c>
      <c r="J779">
        <f t="shared" si="150"/>
        <v>0</v>
      </c>
      <c r="K779">
        <f t="shared" si="151"/>
        <v>-15868.857719958065</v>
      </c>
      <c r="L779">
        <f t="shared" si="152"/>
        <v>1747.9422800419343</v>
      </c>
      <c r="M779">
        <f t="shared" si="153"/>
        <v>15.200000000000728</v>
      </c>
      <c r="N779">
        <f t="shared" si="155"/>
        <v>1747.9422800419343</v>
      </c>
      <c r="O779" s="5">
        <f t="shared" si="146"/>
        <v>3.052257205376685E-2</v>
      </c>
      <c r="P779">
        <f t="shared" si="154"/>
        <v>10000</v>
      </c>
      <c r="Q779">
        <f t="shared" si="147"/>
        <v>305.22572053766851</v>
      </c>
    </row>
    <row r="780" spans="1:17" x14ac:dyDescent="0.15">
      <c r="A780" s="10">
        <v>45896.416666666977</v>
      </c>
      <c r="B780">
        <f>COUNT(A780:$A$1158)/(48*252)</f>
        <v>3.1332671957671955E-2</v>
      </c>
      <c r="C780">
        <v>2.3239999999999998</v>
      </c>
      <c r="D780">
        <v>0.12</v>
      </c>
      <c r="E780">
        <f t="shared" si="144"/>
        <v>0.70428350683334073</v>
      </c>
      <c r="F780">
        <f t="shared" si="145"/>
        <v>0.75937188227649566</v>
      </c>
      <c r="G780">
        <f t="shared" si="148"/>
        <v>5.9999999999997833E-3</v>
      </c>
      <c r="H780">
        <f>IF(MOD(COUNTA($C$7:C780)-1,$J$2),H779,ROUND(F780*P780,-2))</f>
        <v>7600</v>
      </c>
      <c r="I780">
        <f t="shared" si="149"/>
        <v>0</v>
      </c>
      <c r="J780">
        <f t="shared" si="150"/>
        <v>0</v>
      </c>
      <c r="K780">
        <f t="shared" si="151"/>
        <v>-15868.857719958065</v>
      </c>
      <c r="L780">
        <f t="shared" si="152"/>
        <v>1793.5422800419328</v>
      </c>
      <c r="M780">
        <f t="shared" si="153"/>
        <v>45.599999999998545</v>
      </c>
      <c r="N780">
        <f t="shared" si="155"/>
        <v>1793.5422800419328</v>
      </c>
      <c r="O780" s="5">
        <f t="shared" si="146"/>
        <v>2.8969595054478714E-2</v>
      </c>
      <c r="P780">
        <f t="shared" si="154"/>
        <v>10000</v>
      </c>
      <c r="Q780">
        <f t="shared" si="147"/>
        <v>289.69595054478714</v>
      </c>
    </row>
    <row r="781" spans="1:17" x14ac:dyDescent="0.15">
      <c r="A781" s="10">
        <v>45896.420138888992</v>
      </c>
      <c r="B781">
        <f>COUNT(A781:$A$1158)/(48*252)</f>
        <v>3.125E-2</v>
      </c>
      <c r="C781">
        <v>2.327</v>
      </c>
      <c r="D781">
        <v>0.123</v>
      </c>
      <c r="E781">
        <f t="shared" si="144"/>
        <v>0.72041031209536432</v>
      </c>
      <c r="F781">
        <f t="shared" si="145"/>
        <v>0.76436379865648629</v>
      </c>
      <c r="G781">
        <f t="shared" si="148"/>
        <v>3.0000000000001137E-3</v>
      </c>
      <c r="H781">
        <f>IF(MOD(COUNTA($C$7:C781)-1,$J$2),H780,ROUND(F781*P781,-2))</f>
        <v>7600</v>
      </c>
      <c r="I781">
        <f t="shared" si="149"/>
        <v>0</v>
      </c>
      <c r="J781">
        <f t="shared" si="150"/>
        <v>0</v>
      </c>
      <c r="K781">
        <f t="shared" si="151"/>
        <v>-15868.857719958065</v>
      </c>
      <c r="L781">
        <f t="shared" si="152"/>
        <v>1816.3422800419357</v>
      </c>
      <c r="M781">
        <f t="shared" si="153"/>
        <v>22.80000000000291</v>
      </c>
      <c r="N781">
        <f t="shared" si="155"/>
        <v>1816.3422800419357</v>
      </c>
      <c r="O781" s="5">
        <f t="shared" si="146"/>
        <v>2.8176616150931366E-2</v>
      </c>
      <c r="P781">
        <f t="shared" si="154"/>
        <v>10000</v>
      </c>
      <c r="Q781">
        <f t="shared" si="147"/>
        <v>281.76616150931363</v>
      </c>
    </row>
    <row r="782" spans="1:17" x14ac:dyDescent="0.15">
      <c r="A782" s="10">
        <v>45896.423611111008</v>
      </c>
      <c r="B782">
        <f>COUNT(A782:$A$1158)/(48*252)</f>
        <v>3.1167328042328041E-2</v>
      </c>
      <c r="C782">
        <v>2.3380000000000001</v>
      </c>
      <c r="D782">
        <v>0.128</v>
      </c>
      <c r="E782">
        <f t="shared" si="144"/>
        <v>0.77736395514619716</v>
      </c>
      <c r="F782">
        <f t="shared" si="145"/>
        <v>0.78152796393969393</v>
      </c>
      <c r="G782">
        <f t="shared" si="148"/>
        <v>1.1000000000000121E-2</v>
      </c>
      <c r="H782">
        <f>IF(MOD(COUNTA($C$7:C782)-1,$J$2),H781,ROUND(F782*P782,-2))</f>
        <v>7600</v>
      </c>
      <c r="I782">
        <f t="shared" si="149"/>
        <v>0</v>
      </c>
      <c r="J782">
        <f t="shared" si="150"/>
        <v>0</v>
      </c>
      <c r="K782">
        <f t="shared" si="151"/>
        <v>-15868.857719958065</v>
      </c>
      <c r="L782">
        <f t="shared" si="152"/>
        <v>1899.9422800419343</v>
      </c>
      <c r="M782">
        <f t="shared" si="153"/>
        <v>83.599999999998545</v>
      </c>
      <c r="N782">
        <f t="shared" si="155"/>
        <v>1899.9422800419343</v>
      </c>
      <c r="O782" s="5">
        <f t="shared" si="146"/>
        <v>2.5602840267324178E-2</v>
      </c>
      <c r="P782">
        <f t="shared" si="154"/>
        <v>10000</v>
      </c>
      <c r="Q782">
        <f t="shared" si="147"/>
        <v>256.02840267324177</v>
      </c>
    </row>
    <row r="783" spans="1:17" x14ac:dyDescent="0.15">
      <c r="A783" s="10">
        <v>45896.427083333023</v>
      </c>
      <c r="B783">
        <f>COUNT(A783:$A$1158)/(48*252)</f>
        <v>3.1084656084656083E-2</v>
      </c>
      <c r="C783">
        <v>2.335</v>
      </c>
      <c r="D783">
        <v>0.127</v>
      </c>
      <c r="E783">
        <f t="shared" si="144"/>
        <v>0.76295095679404179</v>
      </c>
      <c r="F783">
        <f t="shared" si="145"/>
        <v>0.77725367758249986</v>
      </c>
      <c r="G783">
        <f t="shared" si="148"/>
        <v>-3.0000000000001137E-3</v>
      </c>
      <c r="H783">
        <f>IF(MOD(COUNTA($C$7:C783)-1,$J$2),H782,ROUND(F783*P783,-2))</f>
        <v>7600</v>
      </c>
      <c r="I783">
        <f t="shared" si="149"/>
        <v>0</v>
      </c>
      <c r="J783">
        <f t="shared" si="150"/>
        <v>0</v>
      </c>
      <c r="K783">
        <f t="shared" si="151"/>
        <v>-15868.857719958065</v>
      </c>
      <c r="L783">
        <f t="shared" si="152"/>
        <v>1877.142280041935</v>
      </c>
      <c r="M783">
        <f t="shared" si="153"/>
        <v>-22.799999999999272</v>
      </c>
      <c r="N783">
        <f t="shared" si="155"/>
        <v>1877.142280041935</v>
      </c>
      <c r="O783" s="5">
        <f t="shared" si="146"/>
        <v>2.6188745560127735E-2</v>
      </c>
      <c r="P783">
        <f t="shared" si="154"/>
        <v>10000</v>
      </c>
      <c r="Q783">
        <f t="shared" si="147"/>
        <v>261.88745560127734</v>
      </c>
    </row>
    <row r="784" spans="1:17" x14ac:dyDescent="0.15">
      <c r="A784" s="10">
        <v>45896.430555555969</v>
      </c>
      <c r="B784">
        <f>COUNT(A784:$A$1158)/(48*252)</f>
        <v>3.1001984126984128E-2</v>
      </c>
      <c r="C784">
        <v>2.3330000000000002</v>
      </c>
      <c r="D784">
        <v>0.125</v>
      </c>
      <c r="E784">
        <f t="shared" si="144"/>
        <v>0.75359841996700661</v>
      </c>
      <c r="F784">
        <f t="shared" si="145"/>
        <v>0.77445480330901229</v>
      </c>
      <c r="G784">
        <f t="shared" si="148"/>
        <v>-1.9999999999997797E-3</v>
      </c>
      <c r="H784">
        <f>IF(MOD(COUNTA($C$7:C784)-1,$J$2),H783,ROUND(F784*P784,-2))</f>
        <v>7600</v>
      </c>
      <c r="I784">
        <f t="shared" si="149"/>
        <v>0</v>
      </c>
      <c r="J784">
        <f t="shared" si="150"/>
        <v>0</v>
      </c>
      <c r="K784">
        <f t="shared" si="151"/>
        <v>-15868.857719958065</v>
      </c>
      <c r="L784">
        <f t="shared" si="152"/>
        <v>1861.9422800419379</v>
      </c>
      <c r="M784">
        <f t="shared" si="153"/>
        <v>-15.19999999999709</v>
      </c>
      <c r="N784">
        <f t="shared" si="155"/>
        <v>1861.9422800419379</v>
      </c>
      <c r="O784" s="5">
        <f t="shared" si="146"/>
        <v>2.6560421077904239E-2</v>
      </c>
      <c r="P784">
        <f t="shared" si="154"/>
        <v>10000</v>
      </c>
      <c r="Q784">
        <f t="shared" si="147"/>
        <v>265.60421077904238</v>
      </c>
    </row>
    <row r="785" spans="1:17" x14ac:dyDescent="0.15">
      <c r="A785" s="10">
        <v>45896.434027777985</v>
      </c>
      <c r="B785">
        <f>COUNT(A785:$A$1158)/(48*252)</f>
        <v>3.0919312169312169E-2</v>
      </c>
      <c r="C785">
        <v>2.3290000000000002</v>
      </c>
      <c r="D785">
        <v>0.122</v>
      </c>
      <c r="E785">
        <f t="shared" si="144"/>
        <v>0.73395440494089748</v>
      </c>
      <c r="F785">
        <f t="shared" si="145"/>
        <v>0.76851173636823766</v>
      </c>
      <c r="G785">
        <f t="shared" si="148"/>
        <v>-4.0000000000000036E-3</v>
      </c>
      <c r="H785">
        <f>IF(MOD(COUNTA($C$7:C785)-1,$J$2),H784,ROUND(F785*P785,-2))</f>
        <v>7600</v>
      </c>
      <c r="I785">
        <f t="shared" si="149"/>
        <v>0</v>
      </c>
      <c r="J785">
        <f t="shared" si="150"/>
        <v>0</v>
      </c>
      <c r="K785">
        <f t="shared" si="151"/>
        <v>-15868.857719958065</v>
      </c>
      <c r="L785">
        <f t="shared" si="152"/>
        <v>1831.5422800419365</v>
      </c>
      <c r="M785">
        <f t="shared" si="153"/>
        <v>-30.400000000001455</v>
      </c>
      <c r="N785">
        <f t="shared" si="155"/>
        <v>1831.5422800419365</v>
      </c>
      <c r="O785" s="5">
        <f t="shared" si="146"/>
        <v>2.7397007712013255E-2</v>
      </c>
      <c r="P785">
        <f t="shared" si="154"/>
        <v>10000</v>
      </c>
      <c r="Q785">
        <f t="shared" si="147"/>
        <v>273.97007712013254</v>
      </c>
    </row>
    <row r="786" spans="1:17" x14ac:dyDescent="0.15">
      <c r="A786" s="10">
        <v>45896.4375</v>
      </c>
      <c r="B786">
        <f>COUNT(A786:$A$1158)/(48*252)</f>
        <v>3.0836640211640211E-2</v>
      </c>
      <c r="C786">
        <v>2.3330000000000002</v>
      </c>
      <c r="D786">
        <v>0.123</v>
      </c>
      <c r="E786">
        <f t="shared" si="144"/>
        <v>0.75533271132122892</v>
      </c>
      <c r="F786">
        <f t="shared" si="145"/>
        <v>0.77497531192203528</v>
      </c>
      <c r="G786">
        <f t="shared" si="148"/>
        <v>4.0000000000000036E-3</v>
      </c>
      <c r="H786">
        <f>IF(MOD(COUNTA($C$7:C786)-1,$J$2),H785,ROUND(F786*P786,-2))</f>
        <v>7600</v>
      </c>
      <c r="I786">
        <f t="shared" si="149"/>
        <v>0</v>
      </c>
      <c r="J786">
        <f t="shared" si="150"/>
        <v>0</v>
      </c>
      <c r="K786">
        <f t="shared" si="151"/>
        <v>-15868.857719958065</v>
      </c>
      <c r="L786">
        <f t="shared" si="152"/>
        <v>1861.9422800419379</v>
      </c>
      <c r="M786">
        <f t="shared" si="153"/>
        <v>30.400000000001455</v>
      </c>
      <c r="N786">
        <f t="shared" si="155"/>
        <v>1861.9422800419379</v>
      </c>
      <c r="O786" s="5">
        <f t="shared" si="146"/>
        <v>2.6406514708304685E-2</v>
      </c>
      <c r="P786">
        <f t="shared" si="154"/>
        <v>10000</v>
      </c>
      <c r="Q786">
        <f t="shared" si="147"/>
        <v>264.06514708304684</v>
      </c>
    </row>
    <row r="787" spans="1:17" x14ac:dyDescent="0.15">
      <c r="A787" s="10">
        <v>45896.440972222015</v>
      </c>
      <c r="B787">
        <f>COUNT(A787:$A$1158)/(48*252)</f>
        <v>3.0753968253968252E-2</v>
      </c>
      <c r="C787">
        <v>2.3380000000000001</v>
      </c>
      <c r="D787">
        <v>0.127</v>
      </c>
      <c r="E787">
        <f t="shared" si="144"/>
        <v>0.78186133941647118</v>
      </c>
      <c r="F787">
        <f t="shared" si="145"/>
        <v>0.78285196618167974</v>
      </c>
      <c r="G787">
        <f t="shared" si="148"/>
        <v>4.9999999999998934E-3</v>
      </c>
      <c r="H787">
        <f>IF(MOD(COUNTA($C$7:C787)-1,$J$2),H786,ROUND(F787*P787,-2))</f>
        <v>7800</v>
      </c>
      <c r="I787">
        <f t="shared" si="149"/>
        <v>200</v>
      </c>
      <c r="J787">
        <f t="shared" si="150"/>
        <v>0</v>
      </c>
      <c r="K787">
        <f t="shared" si="151"/>
        <v>-16336.478761958066</v>
      </c>
      <c r="L787">
        <f t="shared" si="152"/>
        <v>1899.9212380419358</v>
      </c>
      <c r="M787">
        <f t="shared" si="153"/>
        <v>37.978957999997874</v>
      </c>
      <c r="N787">
        <f t="shared" si="155"/>
        <v>1899.9212380419358</v>
      </c>
      <c r="O787" s="5">
        <f t="shared" si="146"/>
        <v>2.5224770455987922E-2</v>
      </c>
      <c r="P787">
        <f t="shared" si="154"/>
        <v>10000</v>
      </c>
      <c r="Q787">
        <f t="shared" si="147"/>
        <v>252.24770455987922</v>
      </c>
    </row>
    <row r="788" spans="1:17" x14ac:dyDescent="0.15">
      <c r="A788" s="10">
        <v>45896.444444444962</v>
      </c>
      <c r="B788">
        <f>COUNT(A788:$A$1158)/(48*252)</f>
        <v>3.0671296296296297E-2</v>
      </c>
      <c r="C788">
        <v>2.3359999999999999</v>
      </c>
      <c r="D788">
        <v>0.124</v>
      </c>
      <c r="E788">
        <f t="shared" si="144"/>
        <v>0.77250267591421728</v>
      </c>
      <c r="F788">
        <f t="shared" si="145"/>
        <v>0.78009161868266119</v>
      </c>
      <c r="G788">
        <f t="shared" si="148"/>
        <v>-2.0000000000002238E-3</v>
      </c>
      <c r="H788">
        <f>IF(MOD(COUNTA($C$7:C788)-1,$J$2),H787,ROUND(F788*P788,-2))</f>
        <v>7800</v>
      </c>
      <c r="I788">
        <f t="shared" si="149"/>
        <v>0</v>
      </c>
      <c r="J788">
        <f t="shared" si="150"/>
        <v>0</v>
      </c>
      <c r="K788">
        <f t="shared" si="151"/>
        <v>-16336.478761958066</v>
      </c>
      <c r="L788">
        <f t="shared" si="152"/>
        <v>1884.3212380419336</v>
      </c>
      <c r="M788">
        <f t="shared" si="153"/>
        <v>-15.600000000002183</v>
      </c>
      <c r="N788">
        <f t="shared" si="155"/>
        <v>1884.3212380419336</v>
      </c>
      <c r="O788" s="5">
        <f t="shared" si="146"/>
        <v>2.5585789280968108E-2</v>
      </c>
      <c r="P788">
        <f t="shared" si="154"/>
        <v>10000</v>
      </c>
      <c r="Q788">
        <f t="shared" si="147"/>
        <v>255.85789280968106</v>
      </c>
    </row>
    <row r="789" spans="1:17" x14ac:dyDescent="0.15">
      <c r="A789" s="10">
        <v>45896.447916666977</v>
      </c>
      <c r="B789">
        <f>COUNT(A789:$A$1158)/(48*252)</f>
        <v>3.0588624338624339E-2</v>
      </c>
      <c r="C789">
        <v>2.3340000000000001</v>
      </c>
      <c r="D789">
        <v>0.126</v>
      </c>
      <c r="E789">
        <f t="shared" si="144"/>
        <v>0.76311134970938965</v>
      </c>
      <c r="F789">
        <f t="shared" si="145"/>
        <v>0.77730150407496945</v>
      </c>
      <c r="G789">
        <f t="shared" si="148"/>
        <v>-1.9999999999997797E-3</v>
      </c>
      <c r="H789">
        <f>IF(MOD(COUNTA($C$7:C789)-1,$J$2),H788,ROUND(F789*P789,-2))</f>
        <v>7800</v>
      </c>
      <c r="I789">
        <f t="shared" si="149"/>
        <v>0</v>
      </c>
      <c r="J789">
        <f t="shared" si="150"/>
        <v>0</v>
      </c>
      <c r="K789">
        <f t="shared" si="151"/>
        <v>-16336.478761958066</v>
      </c>
      <c r="L789">
        <f t="shared" si="152"/>
        <v>1868.7212380419351</v>
      </c>
      <c r="M789">
        <f t="shared" si="153"/>
        <v>-15.599999999998545</v>
      </c>
      <c r="N789">
        <f t="shared" si="155"/>
        <v>1868.7212380419351</v>
      </c>
      <c r="O789" s="5">
        <f t="shared" si="146"/>
        <v>2.5951773818969737E-2</v>
      </c>
      <c r="P789">
        <f t="shared" si="154"/>
        <v>10000</v>
      </c>
      <c r="Q789">
        <f t="shared" si="147"/>
        <v>259.51773818969735</v>
      </c>
    </row>
    <row r="790" spans="1:17" x14ac:dyDescent="0.15">
      <c r="A790" s="10">
        <v>45896.451388888992</v>
      </c>
      <c r="B790">
        <f>COUNT(A790:$A$1158)/(48*252)</f>
        <v>3.050595238095238E-2</v>
      </c>
      <c r="C790">
        <v>2.3380000000000001</v>
      </c>
      <c r="D790">
        <v>0.128</v>
      </c>
      <c r="E790">
        <f t="shared" si="144"/>
        <v>0.78460583797022565</v>
      </c>
      <c r="F790">
        <f t="shared" si="145"/>
        <v>0.78365764693735951</v>
      </c>
      <c r="G790">
        <f t="shared" si="148"/>
        <v>4.0000000000000036E-3</v>
      </c>
      <c r="H790">
        <f>IF(MOD(COUNTA($C$7:C790)-1,$J$2),H789,ROUND(F790*P790,-2))</f>
        <v>7800</v>
      </c>
      <c r="I790">
        <f t="shared" si="149"/>
        <v>0</v>
      </c>
      <c r="J790">
        <f t="shared" si="150"/>
        <v>0</v>
      </c>
      <c r="K790">
        <f t="shared" si="151"/>
        <v>-16336.478761958066</v>
      </c>
      <c r="L790">
        <f t="shared" si="152"/>
        <v>1899.9212380419358</v>
      </c>
      <c r="M790">
        <f t="shared" si="153"/>
        <v>31.200000000000728</v>
      </c>
      <c r="N790">
        <f t="shared" si="155"/>
        <v>1899.9212380419358</v>
      </c>
      <c r="O790" s="5">
        <f t="shared" si="146"/>
        <v>2.49973221926727E-2</v>
      </c>
      <c r="P790">
        <f t="shared" si="154"/>
        <v>10000</v>
      </c>
      <c r="Q790">
        <f t="shared" si="147"/>
        <v>249.97322192672701</v>
      </c>
    </row>
    <row r="791" spans="1:17" x14ac:dyDescent="0.15">
      <c r="A791" s="10">
        <v>45896.454861111008</v>
      </c>
      <c r="B791">
        <f>COUNT(A791:$A$1158)/(48*252)</f>
        <v>3.0423280423280422E-2</v>
      </c>
      <c r="C791">
        <v>2.3370000000000002</v>
      </c>
      <c r="D791">
        <v>0.127</v>
      </c>
      <c r="E791">
        <f t="shared" si="144"/>
        <v>0.7803739196834667</v>
      </c>
      <c r="F791">
        <f t="shared" si="145"/>
        <v>0.78241459280891701</v>
      </c>
      <c r="G791">
        <f t="shared" si="148"/>
        <v>-9.9999999999988987E-4</v>
      </c>
      <c r="H791">
        <f>IF(MOD(COUNTA($C$7:C791)-1,$J$2),H790,ROUND(F791*P791,-2))</f>
        <v>7800</v>
      </c>
      <c r="I791">
        <f t="shared" si="149"/>
        <v>0</v>
      </c>
      <c r="J791">
        <f t="shared" si="150"/>
        <v>0</v>
      </c>
      <c r="K791">
        <f t="shared" si="151"/>
        <v>-16336.478761958066</v>
      </c>
      <c r="L791">
        <f t="shared" si="152"/>
        <v>1892.1212380419365</v>
      </c>
      <c r="M791">
        <f t="shared" si="153"/>
        <v>-7.7999999999992724</v>
      </c>
      <c r="N791">
        <f t="shared" si="155"/>
        <v>1892.1212380419365</v>
      </c>
      <c r="O791" s="5">
        <f t="shared" si="146"/>
        <v>2.5138233012736877E-2</v>
      </c>
      <c r="P791">
        <f t="shared" si="154"/>
        <v>10000</v>
      </c>
      <c r="Q791">
        <f t="shared" si="147"/>
        <v>251.38233012736876</v>
      </c>
    </row>
    <row r="792" spans="1:17" x14ac:dyDescent="0.15">
      <c r="A792" s="10">
        <v>45896.458333333023</v>
      </c>
      <c r="B792">
        <f>COUNT(A792:$A$1158)/(48*252)</f>
        <v>3.0340608465608467E-2</v>
      </c>
      <c r="C792">
        <v>2.335</v>
      </c>
      <c r="D792">
        <v>0.127</v>
      </c>
      <c r="E792">
        <f t="shared" si="144"/>
        <v>0.77096369453422176</v>
      </c>
      <c r="F792">
        <f t="shared" si="145"/>
        <v>0.77963577433550246</v>
      </c>
      <c r="G792">
        <f t="shared" si="148"/>
        <v>-2.0000000000002238E-3</v>
      </c>
      <c r="H792">
        <f>IF(MOD(COUNTA($C$7:C792)-1,$J$2),H791,ROUND(F792*P792,-2))</f>
        <v>7800</v>
      </c>
      <c r="I792">
        <f t="shared" si="149"/>
        <v>0</v>
      </c>
      <c r="J792">
        <f t="shared" si="150"/>
        <v>0</v>
      </c>
      <c r="K792">
        <f t="shared" si="151"/>
        <v>-16336.478761958066</v>
      </c>
      <c r="L792">
        <f t="shared" si="152"/>
        <v>1876.5212380419343</v>
      </c>
      <c r="M792">
        <f t="shared" si="153"/>
        <v>-15.600000000002183</v>
      </c>
      <c r="N792">
        <f t="shared" si="155"/>
        <v>1876.5212380419343</v>
      </c>
      <c r="O792" s="5">
        <f t="shared" si="146"/>
        <v>2.5499668834891742E-2</v>
      </c>
      <c r="P792">
        <f t="shared" si="154"/>
        <v>10000</v>
      </c>
      <c r="Q792">
        <f t="shared" si="147"/>
        <v>254.99668834891742</v>
      </c>
    </row>
    <row r="793" spans="1:17" x14ac:dyDescent="0.15">
      <c r="A793" s="10">
        <v>45896.461805555969</v>
      </c>
      <c r="B793">
        <f>COUNT(A793:$A$1158)/(48*252)</f>
        <v>3.0257936507936508E-2</v>
      </c>
      <c r="C793">
        <v>2.343</v>
      </c>
      <c r="D793">
        <v>0.13</v>
      </c>
      <c r="E793">
        <f t="shared" si="144"/>
        <v>0.81319590019651322</v>
      </c>
      <c r="F793">
        <f t="shared" si="145"/>
        <v>0.79194712518302823</v>
      </c>
      <c r="G793">
        <f t="shared" si="148"/>
        <v>8.0000000000000071E-3</v>
      </c>
      <c r="H793">
        <f>IF(MOD(COUNTA($C$7:C793)-1,$J$2),H792,ROUND(F793*P793,-2))</f>
        <v>7900</v>
      </c>
      <c r="I793">
        <f t="shared" si="149"/>
        <v>100</v>
      </c>
      <c r="J793">
        <f t="shared" si="150"/>
        <v>0</v>
      </c>
      <c r="K793">
        <f t="shared" si="151"/>
        <v>-16570.789305458067</v>
      </c>
      <c r="L793">
        <f t="shared" si="152"/>
        <v>1938.9106945419335</v>
      </c>
      <c r="M793">
        <f t="shared" si="153"/>
        <v>62.389456499999142</v>
      </c>
      <c r="N793">
        <f t="shared" si="155"/>
        <v>1938.9106945419335</v>
      </c>
      <c r="O793" s="5">
        <f t="shared" si="146"/>
        <v>2.371053725157779E-2</v>
      </c>
      <c r="P793">
        <f t="shared" si="154"/>
        <v>10000</v>
      </c>
      <c r="Q793">
        <f t="shared" si="147"/>
        <v>237.1053725157779</v>
      </c>
    </row>
    <row r="794" spans="1:17" x14ac:dyDescent="0.15">
      <c r="A794" s="10">
        <v>45896.465277777985</v>
      </c>
      <c r="B794">
        <f>COUNT(A794:$A$1158)/(48*252)</f>
        <v>3.0175264550264549E-2</v>
      </c>
      <c r="C794">
        <v>2.343</v>
      </c>
      <c r="D794">
        <v>0.13</v>
      </c>
      <c r="E794">
        <f t="shared" si="144"/>
        <v>0.81416587153705655</v>
      </c>
      <c r="F794">
        <f t="shared" si="145"/>
        <v>0.79222503306160952</v>
      </c>
      <c r="G794">
        <f t="shared" si="148"/>
        <v>0</v>
      </c>
      <c r="H794">
        <f>IF(MOD(COUNTA($C$7:C794)-1,$J$2),H793,ROUND(F794*P794,-2))</f>
        <v>7900</v>
      </c>
      <c r="I794">
        <f t="shared" si="149"/>
        <v>0</v>
      </c>
      <c r="J794">
        <f t="shared" si="150"/>
        <v>0</v>
      </c>
      <c r="K794">
        <f t="shared" si="151"/>
        <v>-16570.789305458067</v>
      </c>
      <c r="L794">
        <f t="shared" si="152"/>
        <v>1938.9106945419335</v>
      </c>
      <c r="M794">
        <f t="shared" si="153"/>
        <v>0</v>
      </c>
      <c r="N794">
        <f t="shared" si="155"/>
        <v>1938.9106945419335</v>
      </c>
      <c r="O794" s="5">
        <f t="shared" si="146"/>
        <v>2.3635846534604654E-2</v>
      </c>
      <c r="P794">
        <f t="shared" si="154"/>
        <v>10000</v>
      </c>
      <c r="Q794">
        <f t="shared" si="147"/>
        <v>236.35846534604653</v>
      </c>
    </row>
    <row r="795" spans="1:17" x14ac:dyDescent="0.15">
      <c r="A795" s="10">
        <v>45896.46875</v>
      </c>
      <c r="B795">
        <f>COUNT(A795:$A$1158)/(48*252)</f>
        <v>3.0092592592592591E-2</v>
      </c>
      <c r="C795">
        <v>2.34</v>
      </c>
      <c r="D795">
        <v>0.127</v>
      </c>
      <c r="E795">
        <f t="shared" si="144"/>
        <v>0.79961809924562766</v>
      </c>
      <c r="F795">
        <f t="shared" si="145"/>
        <v>0.78803395109464203</v>
      </c>
      <c r="G795">
        <f t="shared" si="148"/>
        <v>-3.0000000000001137E-3</v>
      </c>
      <c r="H795">
        <f>IF(MOD(COUNTA($C$7:C795)-1,$J$2),H794,ROUND(F795*P795,-2))</f>
        <v>7900</v>
      </c>
      <c r="I795">
        <f t="shared" si="149"/>
        <v>0</v>
      </c>
      <c r="J795">
        <f t="shared" si="150"/>
        <v>0</v>
      </c>
      <c r="K795">
        <f t="shared" si="151"/>
        <v>-16570.789305458067</v>
      </c>
      <c r="L795">
        <f t="shared" si="152"/>
        <v>1915.2106945419328</v>
      </c>
      <c r="M795">
        <f t="shared" si="153"/>
        <v>-23.700000000000728</v>
      </c>
      <c r="N795">
        <f t="shared" si="155"/>
        <v>1915.2106945419328</v>
      </c>
      <c r="O795" s="5">
        <f t="shared" si="146"/>
        <v>2.4190287820642142E-2</v>
      </c>
      <c r="P795">
        <f t="shared" si="154"/>
        <v>10000</v>
      </c>
      <c r="Q795">
        <f t="shared" si="147"/>
        <v>241.90287820642143</v>
      </c>
    </row>
    <row r="796" spans="1:17" x14ac:dyDescent="0.15">
      <c r="A796" s="10">
        <v>45896.472222222015</v>
      </c>
      <c r="B796">
        <f>COUNT(A796:$A$1158)/(48*252)</f>
        <v>3.0009920634920636E-2</v>
      </c>
      <c r="C796">
        <v>2.3359999999999999</v>
      </c>
      <c r="D796">
        <v>0.126</v>
      </c>
      <c r="E796">
        <f t="shared" si="144"/>
        <v>0.77981968955762504</v>
      </c>
      <c r="F796">
        <f t="shared" si="145"/>
        <v>0.78225149241258818</v>
      </c>
      <c r="G796">
        <f t="shared" si="148"/>
        <v>-4.0000000000000036E-3</v>
      </c>
      <c r="H796">
        <f>IF(MOD(COUNTA($C$7:C796)-1,$J$2),H795,ROUND(F796*P796,-2))</f>
        <v>7900</v>
      </c>
      <c r="I796">
        <f t="shared" si="149"/>
        <v>0</v>
      </c>
      <c r="J796">
        <f t="shared" si="150"/>
        <v>0</v>
      </c>
      <c r="K796">
        <f t="shared" si="151"/>
        <v>-16570.789305458067</v>
      </c>
      <c r="L796">
        <f t="shared" si="152"/>
        <v>1883.6106945419306</v>
      </c>
      <c r="M796">
        <f t="shared" si="153"/>
        <v>-31.600000000002183</v>
      </c>
      <c r="N796">
        <f t="shared" si="155"/>
        <v>1883.6106945419306</v>
      </c>
      <c r="O796" s="5">
        <f t="shared" si="146"/>
        <v>2.4973508023785174E-2</v>
      </c>
      <c r="P796">
        <f t="shared" si="154"/>
        <v>10000</v>
      </c>
      <c r="Q796">
        <f t="shared" si="147"/>
        <v>249.73508023785175</v>
      </c>
    </row>
    <row r="797" spans="1:17" x14ac:dyDescent="0.15">
      <c r="A797" s="10">
        <v>45896.475694444962</v>
      </c>
      <c r="B797">
        <f>COUNT(A797:$A$1158)/(48*252)</f>
        <v>2.9927248677248677E-2</v>
      </c>
      <c r="C797">
        <v>2.3370000000000002</v>
      </c>
      <c r="D797">
        <v>0.128</v>
      </c>
      <c r="E797">
        <f t="shared" si="144"/>
        <v>0.78595157303131546</v>
      </c>
      <c r="F797">
        <f t="shared" si="145"/>
        <v>0.78405207066086124</v>
      </c>
      <c r="G797">
        <f t="shared" si="148"/>
        <v>1.000000000000334E-3</v>
      </c>
      <c r="H797">
        <f>IF(MOD(COUNTA($C$7:C797)-1,$J$2),H796,ROUND(F797*P797,-2))</f>
        <v>7900</v>
      </c>
      <c r="I797">
        <f t="shared" si="149"/>
        <v>0</v>
      </c>
      <c r="J797">
        <f t="shared" si="150"/>
        <v>0</v>
      </c>
      <c r="K797">
        <f t="shared" si="151"/>
        <v>-16570.789305458067</v>
      </c>
      <c r="L797">
        <f t="shared" si="152"/>
        <v>1891.5106945419357</v>
      </c>
      <c r="M797">
        <f t="shared" si="153"/>
        <v>7.9000000000050932</v>
      </c>
      <c r="N797">
        <f t="shared" si="155"/>
        <v>1891.5106945419357</v>
      </c>
      <c r="O797" s="5">
        <f t="shared" si="146"/>
        <v>2.4680025683608386E-2</v>
      </c>
      <c r="P797">
        <f t="shared" si="154"/>
        <v>10000</v>
      </c>
      <c r="Q797">
        <f t="shared" si="147"/>
        <v>246.80025683608386</v>
      </c>
    </row>
    <row r="798" spans="1:17" x14ac:dyDescent="0.15">
      <c r="A798" s="10">
        <v>45896.479166666977</v>
      </c>
      <c r="B798">
        <f>COUNT(A798:$A$1158)/(48*252)</f>
        <v>2.9844576719576719E-2</v>
      </c>
      <c r="C798">
        <v>2.3340000000000001</v>
      </c>
      <c r="D798">
        <v>0.125</v>
      </c>
      <c r="E798">
        <f t="shared" si="144"/>
        <v>0.77126903209468034</v>
      </c>
      <c r="F798">
        <f t="shared" si="145"/>
        <v>0.77972625798470085</v>
      </c>
      <c r="G798">
        <f t="shared" si="148"/>
        <v>-3.0000000000001137E-3</v>
      </c>
      <c r="H798">
        <f>IF(MOD(COUNTA($C$7:C798)-1,$J$2),H797,ROUND(F798*P798,-2))</f>
        <v>7900</v>
      </c>
      <c r="I798">
        <f t="shared" si="149"/>
        <v>0</v>
      </c>
      <c r="J798">
        <f t="shared" si="150"/>
        <v>0</v>
      </c>
      <c r="K798">
        <f t="shared" si="151"/>
        <v>-16570.789305458067</v>
      </c>
      <c r="L798">
        <f t="shared" si="152"/>
        <v>1867.8106945419349</v>
      </c>
      <c r="M798">
        <f t="shared" si="153"/>
        <v>-23.700000000000728</v>
      </c>
      <c r="N798">
        <f t="shared" si="155"/>
        <v>1867.8106945419349</v>
      </c>
      <c r="O798" s="5">
        <f t="shared" si="146"/>
        <v>2.5257379459002083E-2</v>
      </c>
      <c r="P798">
        <f t="shared" si="154"/>
        <v>10000</v>
      </c>
      <c r="Q798">
        <f t="shared" si="147"/>
        <v>252.57379459002084</v>
      </c>
    </row>
    <row r="799" spans="1:17" x14ac:dyDescent="0.15">
      <c r="A799" s="10">
        <v>45896.545138888992</v>
      </c>
      <c r="B799">
        <f>COUNT(A799:$A$1158)/(48*252)</f>
        <v>2.976190476190476E-2</v>
      </c>
      <c r="C799">
        <v>2.331</v>
      </c>
      <c r="D799">
        <v>0.124</v>
      </c>
      <c r="E799">
        <f t="shared" si="144"/>
        <v>0.75652711833919339</v>
      </c>
      <c r="F799">
        <f t="shared" si="145"/>
        <v>0.77533339017463077</v>
      </c>
      <c r="G799">
        <f t="shared" si="148"/>
        <v>-3.0000000000001137E-3</v>
      </c>
      <c r="H799">
        <f>IF(MOD(COUNTA($C$7:C799)-1,$J$2),H798,ROUND(F799*P799,-2))</f>
        <v>7800</v>
      </c>
      <c r="I799">
        <f t="shared" si="149"/>
        <v>-100</v>
      </c>
      <c r="J799">
        <f t="shared" si="150"/>
        <v>0</v>
      </c>
      <c r="K799">
        <f t="shared" si="151"/>
        <v>-16337.699794958067</v>
      </c>
      <c r="L799">
        <f t="shared" si="152"/>
        <v>1844.100205041932</v>
      </c>
      <c r="M799">
        <f t="shared" si="153"/>
        <v>-23.71048950000295</v>
      </c>
      <c r="N799">
        <f t="shared" si="155"/>
        <v>1844.100205041932</v>
      </c>
      <c r="O799" s="5">
        <f t="shared" si="146"/>
        <v>2.5846934961674006E-2</v>
      </c>
      <c r="P799">
        <f t="shared" si="154"/>
        <v>10000</v>
      </c>
      <c r="Q799">
        <f t="shared" si="147"/>
        <v>258.46934961674009</v>
      </c>
    </row>
    <row r="800" spans="1:17" x14ac:dyDescent="0.15">
      <c r="A800" s="10">
        <v>45896.548611111008</v>
      </c>
      <c r="B800">
        <f>COUNT(A800:$A$1158)/(48*252)</f>
        <v>2.9679232804232805E-2</v>
      </c>
      <c r="C800">
        <v>2.33</v>
      </c>
      <c r="D800">
        <v>0.123</v>
      </c>
      <c r="E800">
        <f t="shared" si="144"/>
        <v>0.75220114465407251</v>
      </c>
      <c r="F800">
        <f t="shared" si="145"/>
        <v>0.77403494730508637</v>
      </c>
      <c r="G800">
        <f t="shared" si="148"/>
        <v>-9.9999999999988987E-4</v>
      </c>
      <c r="H800">
        <f>IF(MOD(COUNTA($C$7:C800)-1,$J$2),H799,ROUND(F800*P800,-2))</f>
        <v>7800</v>
      </c>
      <c r="I800">
        <f t="shared" si="149"/>
        <v>0</v>
      </c>
      <c r="J800">
        <f t="shared" si="150"/>
        <v>0</v>
      </c>
      <c r="K800">
        <f t="shared" si="151"/>
        <v>-16337.699794958067</v>
      </c>
      <c r="L800">
        <f t="shared" si="152"/>
        <v>1836.3002050419327</v>
      </c>
      <c r="M800">
        <f t="shared" si="153"/>
        <v>-7.7999999999992724</v>
      </c>
      <c r="N800">
        <f t="shared" si="155"/>
        <v>1836.3002050419327</v>
      </c>
      <c r="O800" s="5">
        <f t="shared" si="146"/>
        <v>2.5993810076922697E-2</v>
      </c>
      <c r="P800">
        <f t="shared" si="154"/>
        <v>10000</v>
      </c>
      <c r="Q800">
        <f t="shared" si="147"/>
        <v>259.93810076922699</v>
      </c>
    </row>
    <row r="801" spans="1:17" x14ac:dyDescent="0.15">
      <c r="A801" s="10">
        <v>45896.552083333023</v>
      </c>
      <c r="B801">
        <f>COUNT(A801:$A$1158)/(48*252)</f>
        <v>2.9596560846560847E-2</v>
      </c>
      <c r="C801">
        <v>2.3239999999999998</v>
      </c>
      <c r="D801">
        <v>0.12</v>
      </c>
      <c r="E801">
        <f t="shared" si="144"/>
        <v>0.72160834462383883</v>
      </c>
      <c r="F801">
        <f t="shared" si="145"/>
        <v>0.76473234635500109</v>
      </c>
      <c r="G801">
        <f t="shared" si="148"/>
        <v>-6.0000000000002274E-3</v>
      </c>
      <c r="H801">
        <f>IF(MOD(COUNTA($C$7:C801)-1,$J$2),H800,ROUND(F801*P801,-2))</f>
        <v>7800</v>
      </c>
      <c r="I801">
        <f t="shared" si="149"/>
        <v>0</v>
      </c>
      <c r="J801">
        <f t="shared" si="150"/>
        <v>0</v>
      </c>
      <c r="K801">
        <f t="shared" si="151"/>
        <v>-16337.699794958067</v>
      </c>
      <c r="L801">
        <f t="shared" si="152"/>
        <v>1789.5002050419298</v>
      </c>
      <c r="M801">
        <f t="shared" si="153"/>
        <v>-46.80000000000291</v>
      </c>
      <c r="N801">
        <f t="shared" si="155"/>
        <v>1789.5002050419298</v>
      </c>
      <c r="O801" s="5">
        <f t="shared" si="146"/>
        <v>2.7297934051426775E-2</v>
      </c>
      <c r="P801">
        <f t="shared" si="154"/>
        <v>10000</v>
      </c>
      <c r="Q801">
        <f t="shared" si="147"/>
        <v>272.97934051426773</v>
      </c>
    </row>
    <row r="802" spans="1:17" x14ac:dyDescent="0.15">
      <c r="A802" s="10">
        <v>45896.555555555969</v>
      </c>
      <c r="B802">
        <f>COUNT(A802:$A$1158)/(48*252)</f>
        <v>2.9513888888888888E-2</v>
      </c>
      <c r="C802">
        <v>2.3210000000000002</v>
      </c>
      <c r="D802">
        <v>0.11899999999999999</v>
      </c>
      <c r="E802">
        <f t="shared" si="144"/>
        <v>0.70667187103785734</v>
      </c>
      <c r="F802">
        <f t="shared" si="145"/>
        <v>0.76011479304401475</v>
      </c>
      <c r="G802">
        <f t="shared" si="148"/>
        <v>-2.9999999999996696E-3</v>
      </c>
      <c r="H802">
        <f>IF(MOD(COUNTA($C$7:C802)-1,$J$2),H801,ROUND(F802*P802,-2))</f>
        <v>7800</v>
      </c>
      <c r="I802">
        <f t="shared" si="149"/>
        <v>0</v>
      </c>
      <c r="J802">
        <f t="shared" si="150"/>
        <v>0</v>
      </c>
      <c r="K802">
        <f t="shared" si="151"/>
        <v>-16337.699794958067</v>
      </c>
      <c r="L802">
        <f t="shared" si="152"/>
        <v>1766.1002050419356</v>
      </c>
      <c r="M802">
        <f t="shared" si="153"/>
        <v>-23.399999999994179</v>
      </c>
      <c r="N802">
        <f t="shared" si="155"/>
        <v>1766.1002050419356</v>
      </c>
      <c r="O802" s="5">
        <f t="shared" si="146"/>
        <v>2.7929938348580596E-2</v>
      </c>
      <c r="P802">
        <f t="shared" si="154"/>
        <v>10000</v>
      </c>
      <c r="Q802">
        <f t="shared" si="147"/>
        <v>279.29938348580595</v>
      </c>
    </row>
    <row r="803" spans="1:17" x14ac:dyDescent="0.15">
      <c r="A803" s="10">
        <v>45896.559027777985</v>
      </c>
      <c r="B803">
        <f>COUNT(A803:$A$1158)/(48*252)</f>
        <v>2.943121693121693E-2</v>
      </c>
      <c r="C803">
        <v>2.3180000000000001</v>
      </c>
      <c r="D803">
        <v>0.115</v>
      </c>
      <c r="E803">
        <f t="shared" si="144"/>
        <v>0.6916744217733789</v>
      </c>
      <c r="F803">
        <f t="shared" si="145"/>
        <v>0.75542909326866603</v>
      </c>
      <c r="G803">
        <f t="shared" si="148"/>
        <v>-3.0000000000001137E-3</v>
      </c>
      <c r="H803">
        <f>IF(MOD(COUNTA($C$7:C803)-1,$J$2),H802,ROUND(F803*P803,-2))</f>
        <v>7800</v>
      </c>
      <c r="I803">
        <f t="shared" si="149"/>
        <v>0</v>
      </c>
      <c r="J803">
        <f t="shared" si="150"/>
        <v>0</v>
      </c>
      <c r="K803">
        <f t="shared" si="151"/>
        <v>-16337.699794958067</v>
      </c>
      <c r="L803">
        <f t="shared" si="152"/>
        <v>1742.7002050419342</v>
      </c>
      <c r="M803">
        <f t="shared" si="153"/>
        <v>-23.400000000001455</v>
      </c>
      <c r="N803">
        <f t="shared" si="155"/>
        <v>1742.7002050419342</v>
      </c>
      <c r="O803" s="5">
        <f t="shared" si="146"/>
        <v>2.8575041681312863E-2</v>
      </c>
      <c r="P803">
        <f t="shared" si="154"/>
        <v>10000</v>
      </c>
      <c r="Q803">
        <f t="shared" si="147"/>
        <v>285.75041681312865</v>
      </c>
    </row>
    <row r="804" spans="1:17" x14ac:dyDescent="0.15">
      <c r="A804" s="10">
        <v>45896.5625</v>
      </c>
      <c r="B804">
        <f>COUNT(A804:$A$1158)/(48*252)</f>
        <v>2.9348544973544975E-2</v>
      </c>
      <c r="C804">
        <v>2.319</v>
      </c>
      <c r="D804">
        <v>0.115</v>
      </c>
      <c r="E804">
        <f t="shared" si="144"/>
        <v>0.69779381515221639</v>
      </c>
      <c r="F804">
        <f t="shared" si="145"/>
        <v>0.75734692622956101</v>
      </c>
      <c r="G804">
        <f t="shared" si="148"/>
        <v>9.9999999999988987E-4</v>
      </c>
      <c r="H804">
        <f>IF(MOD(COUNTA($C$7:C804)-1,$J$2),H803,ROUND(F804*P804,-2))</f>
        <v>7800</v>
      </c>
      <c r="I804">
        <f t="shared" si="149"/>
        <v>0</v>
      </c>
      <c r="J804">
        <f t="shared" si="150"/>
        <v>0</v>
      </c>
      <c r="K804">
        <f t="shared" si="151"/>
        <v>-16337.699794958067</v>
      </c>
      <c r="L804">
        <f t="shared" si="152"/>
        <v>1750.5002050419334</v>
      </c>
      <c r="M804">
        <f t="shared" si="153"/>
        <v>7.7999999999992724</v>
      </c>
      <c r="N804">
        <f t="shared" si="155"/>
        <v>1750.5002050419334</v>
      </c>
      <c r="O804" s="5">
        <f t="shared" si="146"/>
        <v>2.8249534929526532E-2</v>
      </c>
      <c r="P804">
        <f t="shared" si="154"/>
        <v>10000</v>
      </c>
      <c r="Q804">
        <f t="shared" si="147"/>
        <v>282.49534929526533</v>
      </c>
    </row>
    <row r="805" spans="1:17" x14ac:dyDescent="0.15">
      <c r="A805" s="10">
        <v>45896.565972222015</v>
      </c>
      <c r="B805">
        <f>COUNT(A805:$A$1158)/(48*252)</f>
        <v>2.9265873015873016E-2</v>
      </c>
      <c r="C805">
        <v>2.3199999999999998</v>
      </c>
      <c r="D805">
        <v>0.11700000000000001</v>
      </c>
      <c r="E805">
        <f t="shared" si="144"/>
        <v>0.70392957243075649</v>
      </c>
      <c r="F805">
        <f t="shared" si="145"/>
        <v>0.75926168303131947</v>
      </c>
      <c r="G805">
        <f t="shared" si="148"/>
        <v>9.9999999999988987E-4</v>
      </c>
      <c r="H805">
        <f>IF(MOD(COUNTA($C$7:C805)-1,$J$2),H804,ROUND(F805*P805,-2))</f>
        <v>7600</v>
      </c>
      <c r="I805">
        <f t="shared" si="149"/>
        <v>-200</v>
      </c>
      <c r="J805">
        <f t="shared" si="150"/>
        <v>0</v>
      </c>
      <c r="K805">
        <f t="shared" si="151"/>
        <v>-15873.720674958067</v>
      </c>
      <c r="L805">
        <f t="shared" si="152"/>
        <v>1758.2793250419327</v>
      </c>
      <c r="M805">
        <f t="shared" si="153"/>
        <v>7.7791199999992386</v>
      </c>
      <c r="N805">
        <f t="shared" si="155"/>
        <v>1758.2793250419327</v>
      </c>
      <c r="O805" s="5">
        <f t="shared" si="146"/>
        <v>2.7926136096960597E-2</v>
      </c>
      <c r="P805">
        <f t="shared" si="154"/>
        <v>10000</v>
      </c>
      <c r="Q805">
        <f t="shared" si="147"/>
        <v>279.26136096960596</v>
      </c>
    </row>
    <row r="806" spans="1:17" x14ac:dyDescent="0.15">
      <c r="A806" s="10">
        <v>45896.569444444962</v>
      </c>
      <c r="B806">
        <f>COUNT(A806:$A$1158)/(48*252)</f>
        <v>2.9183201058201057E-2</v>
      </c>
      <c r="C806">
        <v>2.3199999999999998</v>
      </c>
      <c r="D806">
        <v>0.11600000000000001</v>
      </c>
      <c r="E806">
        <f t="shared" si="144"/>
        <v>0.70478028675439297</v>
      </c>
      <c r="F806">
        <f t="shared" si="145"/>
        <v>0.75952651085569545</v>
      </c>
      <c r="G806">
        <f t="shared" si="148"/>
        <v>0</v>
      </c>
      <c r="H806">
        <f>IF(MOD(COUNTA($C$7:C806)-1,$J$2),H805,ROUND(F806*P806,-2))</f>
        <v>7600</v>
      </c>
      <c r="I806">
        <f t="shared" si="149"/>
        <v>0</v>
      </c>
      <c r="J806">
        <f t="shared" si="150"/>
        <v>0</v>
      </c>
      <c r="K806">
        <f t="shared" si="151"/>
        <v>-15873.720674958067</v>
      </c>
      <c r="L806">
        <f t="shared" si="152"/>
        <v>1758.2793250419327</v>
      </c>
      <c r="M806">
        <f t="shared" si="153"/>
        <v>0</v>
      </c>
      <c r="N806">
        <f t="shared" si="155"/>
        <v>1758.2793250419327</v>
      </c>
      <c r="O806" s="5">
        <f t="shared" si="146"/>
        <v>2.7844494879784021E-2</v>
      </c>
      <c r="P806">
        <f t="shared" si="154"/>
        <v>10000</v>
      </c>
      <c r="Q806">
        <f t="shared" si="147"/>
        <v>278.4449487978402</v>
      </c>
    </row>
    <row r="807" spans="1:17" x14ac:dyDescent="0.15">
      <c r="A807" s="10">
        <v>45896.572916666977</v>
      </c>
      <c r="B807">
        <f>COUNT(A807:$A$1158)/(48*252)</f>
        <v>2.9100529100529099E-2</v>
      </c>
      <c r="C807">
        <v>2.3199999999999998</v>
      </c>
      <c r="D807">
        <v>0.11899999999999999</v>
      </c>
      <c r="E807">
        <f t="shared" si="144"/>
        <v>0.70563483045098574</v>
      </c>
      <c r="F807">
        <f t="shared" si="145"/>
        <v>0.7597923709580473</v>
      </c>
      <c r="G807">
        <f t="shared" si="148"/>
        <v>0</v>
      </c>
      <c r="H807">
        <f>IF(MOD(COUNTA($C$7:C807)-1,$J$2),H806,ROUND(F807*P807,-2))</f>
        <v>7600</v>
      </c>
      <c r="I807">
        <f t="shared" si="149"/>
        <v>0</v>
      </c>
      <c r="J807">
        <f t="shared" si="150"/>
        <v>0</v>
      </c>
      <c r="K807">
        <f t="shared" si="151"/>
        <v>-15873.720674958067</v>
      </c>
      <c r="L807">
        <f t="shared" si="152"/>
        <v>1758.2793250419327</v>
      </c>
      <c r="M807">
        <f t="shared" si="153"/>
        <v>0</v>
      </c>
      <c r="N807">
        <f t="shared" si="155"/>
        <v>1758.2793250419327</v>
      </c>
      <c r="O807" s="5">
        <f t="shared" si="146"/>
        <v>2.7762784140368368E-2</v>
      </c>
      <c r="P807">
        <f t="shared" si="154"/>
        <v>10000</v>
      </c>
      <c r="Q807">
        <f t="shared" si="147"/>
        <v>277.6278414036837</v>
      </c>
    </row>
    <row r="808" spans="1:17" x14ac:dyDescent="0.15">
      <c r="A808" s="10">
        <v>45896.576388888992</v>
      </c>
      <c r="B808">
        <f>COUNT(A808:$A$1158)/(48*252)</f>
        <v>2.9017857142857144E-2</v>
      </c>
      <c r="C808">
        <v>2.3199999999999998</v>
      </c>
      <c r="D808">
        <v>0.121</v>
      </c>
      <c r="E808">
        <f t="shared" si="144"/>
        <v>0.70649323107018303</v>
      </c>
      <c r="F808">
        <f t="shared" si="145"/>
        <v>0.76005926965020765</v>
      </c>
      <c r="G808">
        <f t="shared" si="148"/>
        <v>0</v>
      </c>
      <c r="H808">
        <f>IF(MOD(COUNTA($C$7:C808)-1,$J$2),H807,ROUND(F808*P808,-2))</f>
        <v>7600</v>
      </c>
      <c r="I808">
        <f t="shared" si="149"/>
        <v>0</v>
      </c>
      <c r="J808">
        <f t="shared" si="150"/>
        <v>0</v>
      </c>
      <c r="K808">
        <f t="shared" si="151"/>
        <v>-15873.720674958067</v>
      </c>
      <c r="L808">
        <f t="shared" si="152"/>
        <v>1758.2793250419327</v>
      </c>
      <c r="M808">
        <f t="shared" si="153"/>
        <v>0</v>
      </c>
      <c r="N808">
        <f t="shared" si="155"/>
        <v>1758.2793250419327</v>
      </c>
      <c r="O808" s="5">
        <f t="shared" si="146"/>
        <v>2.7681003768709189E-2</v>
      </c>
      <c r="P808">
        <f t="shared" si="154"/>
        <v>10000</v>
      </c>
      <c r="Q808">
        <f t="shared" si="147"/>
        <v>276.81003768709189</v>
      </c>
    </row>
    <row r="809" spans="1:17" x14ac:dyDescent="0.15">
      <c r="A809" s="10">
        <v>45896.579861111008</v>
      </c>
      <c r="B809">
        <f>COUNT(A809:$A$1158)/(48*252)</f>
        <v>2.8935185185185185E-2</v>
      </c>
      <c r="C809">
        <v>2.3180000000000001</v>
      </c>
      <c r="D809">
        <v>0.11799999999999999</v>
      </c>
      <c r="E809">
        <f t="shared" si="144"/>
        <v>0.69670024194934099</v>
      </c>
      <c r="F809">
        <f t="shared" si="145"/>
        <v>0.75700479632142137</v>
      </c>
      <c r="G809">
        <f t="shared" si="148"/>
        <v>-1.9999999999997797E-3</v>
      </c>
      <c r="H809">
        <f>IF(MOD(COUNTA($C$7:C809)-1,$J$2),H808,ROUND(F809*P809,-2))</f>
        <v>7600</v>
      </c>
      <c r="I809">
        <f t="shared" si="149"/>
        <v>0</v>
      </c>
      <c r="J809">
        <f t="shared" si="150"/>
        <v>0</v>
      </c>
      <c r="K809">
        <f t="shared" si="151"/>
        <v>-15873.720674958067</v>
      </c>
      <c r="L809">
        <f t="shared" si="152"/>
        <v>1743.079325041932</v>
      </c>
      <c r="M809">
        <f t="shared" si="153"/>
        <v>-15.200000000000728</v>
      </c>
      <c r="N809">
        <f t="shared" si="155"/>
        <v>1743.079325041932</v>
      </c>
      <c r="O809" s="5">
        <f t="shared" si="146"/>
        <v>2.8081817025866984E-2</v>
      </c>
      <c r="P809">
        <f t="shared" si="154"/>
        <v>10000</v>
      </c>
      <c r="Q809">
        <f t="shared" si="147"/>
        <v>280.81817025866985</v>
      </c>
    </row>
    <row r="810" spans="1:17" x14ac:dyDescent="0.15">
      <c r="A810" s="10">
        <v>45896.583333333023</v>
      </c>
      <c r="B810">
        <f>COUNT(A810:$A$1158)/(48*252)</f>
        <v>2.8852513227513227E-2</v>
      </c>
      <c r="C810">
        <v>2.3170000000000002</v>
      </c>
      <c r="D810">
        <v>0.11700000000000001</v>
      </c>
      <c r="E810">
        <f t="shared" si="144"/>
        <v>0.69221246815541349</v>
      </c>
      <c r="F810">
        <f t="shared" si="145"/>
        <v>0.75559804505113837</v>
      </c>
      <c r="G810">
        <f t="shared" si="148"/>
        <v>-9.9999999999988987E-4</v>
      </c>
      <c r="H810">
        <f>IF(MOD(COUNTA($C$7:C810)-1,$J$2),H809,ROUND(F810*P810,-2))</f>
        <v>7600</v>
      </c>
      <c r="I810">
        <f t="shared" si="149"/>
        <v>0</v>
      </c>
      <c r="J810">
        <f t="shared" si="150"/>
        <v>0</v>
      </c>
      <c r="K810">
        <f t="shared" si="151"/>
        <v>-15873.720674958067</v>
      </c>
      <c r="L810">
        <f t="shared" si="152"/>
        <v>1735.4793250419334</v>
      </c>
      <c r="M810">
        <f t="shared" si="153"/>
        <v>-7.5999999999985448</v>
      </c>
      <c r="N810">
        <f t="shared" si="155"/>
        <v>1735.4793250419334</v>
      </c>
      <c r="O810" s="5">
        <f t="shared" si="146"/>
        <v>2.8242926686338987E-2</v>
      </c>
      <c r="P810">
        <f t="shared" si="154"/>
        <v>10000</v>
      </c>
      <c r="Q810">
        <f t="shared" si="147"/>
        <v>282.4292668633899</v>
      </c>
    </row>
    <row r="811" spans="1:17" x14ac:dyDescent="0.15">
      <c r="A811" s="10">
        <v>45896.586805555969</v>
      </c>
      <c r="B811">
        <f>COUNT(A811:$A$1158)/(48*252)</f>
        <v>2.8769841269841268E-2</v>
      </c>
      <c r="C811">
        <v>2.3109999999999999</v>
      </c>
      <c r="D811">
        <v>0.114</v>
      </c>
      <c r="E811">
        <f t="shared" si="144"/>
        <v>0.6609327899573737</v>
      </c>
      <c r="F811">
        <f t="shared" si="145"/>
        <v>0.74567229170774674</v>
      </c>
      <c r="G811">
        <f t="shared" si="148"/>
        <v>-6.0000000000002274E-3</v>
      </c>
      <c r="H811">
        <f>IF(MOD(COUNTA($C$7:C811)-1,$J$2),H810,ROUND(F811*P811,-2))</f>
        <v>7500</v>
      </c>
      <c r="I811">
        <f t="shared" si="149"/>
        <v>-100</v>
      </c>
      <c r="J811">
        <f t="shared" si="150"/>
        <v>0</v>
      </c>
      <c r="K811">
        <f t="shared" si="151"/>
        <v>-15642.631074458068</v>
      </c>
      <c r="L811">
        <f t="shared" si="152"/>
        <v>1689.8689255419322</v>
      </c>
      <c r="M811">
        <f t="shared" si="153"/>
        <v>-45.610399500001222</v>
      </c>
      <c r="N811">
        <f t="shared" si="155"/>
        <v>1689.8689255419322</v>
      </c>
      <c r="O811" s="5">
        <f t="shared" si="146"/>
        <v>2.9655400088250849E-2</v>
      </c>
      <c r="P811">
        <f t="shared" si="154"/>
        <v>10000</v>
      </c>
      <c r="Q811">
        <f t="shared" si="147"/>
        <v>296.55400088250849</v>
      </c>
    </row>
    <row r="812" spans="1:17" x14ac:dyDescent="0.15">
      <c r="A812" s="10">
        <v>45896.590277777985</v>
      </c>
      <c r="B812">
        <f>COUNT(A812:$A$1158)/(48*252)</f>
        <v>2.8687169312169313E-2</v>
      </c>
      <c r="C812">
        <v>2.3149999999999999</v>
      </c>
      <c r="D812">
        <v>0.114</v>
      </c>
      <c r="E812">
        <f t="shared" si="144"/>
        <v>0.68319554981244535</v>
      </c>
      <c r="F812">
        <f t="shared" si="145"/>
        <v>0.75275835784377465</v>
      </c>
      <c r="G812">
        <f t="shared" si="148"/>
        <v>4.0000000000000036E-3</v>
      </c>
      <c r="H812">
        <f>IF(MOD(COUNTA($C$7:C812)-1,$J$2),H811,ROUND(F812*P812,-2))</f>
        <v>7500</v>
      </c>
      <c r="I812">
        <f t="shared" si="149"/>
        <v>0</v>
      </c>
      <c r="J812">
        <f t="shared" si="150"/>
        <v>0</v>
      </c>
      <c r="K812">
        <f t="shared" si="151"/>
        <v>-15642.631074458068</v>
      </c>
      <c r="L812">
        <f t="shared" si="152"/>
        <v>1719.8689255419322</v>
      </c>
      <c r="M812">
        <f t="shared" si="153"/>
        <v>30</v>
      </c>
      <c r="N812">
        <f t="shared" si="155"/>
        <v>1719.8689255419322</v>
      </c>
      <c r="O812" s="5">
        <f t="shared" si="146"/>
        <v>2.8568371796496739E-2</v>
      </c>
      <c r="P812">
        <f t="shared" si="154"/>
        <v>10000</v>
      </c>
      <c r="Q812">
        <f t="shared" si="147"/>
        <v>285.6837179649674</v>
      </c>
    </row>
    <row r="813" spans="1:17" x14ac:dyDescent="0.15">
      <c r="A813" s="10">
        <v>45896.59375</v>
      </c>
      <c r="B813">
        <f>COUNT(A813:$A$1158)/(48*252)</f>
        <v>2.8604497354497355E-2</v>
      </c>
      <c r="C813">
        <v>2.302</v>
      </c>
      <c r="D813">
        <v>0.107</v>
      </c>
      <c r="E813">
        <f t="shared" si="144"/>
        <v>0.6140595082349678</v>
      </c>
      <c r="F813">
        <f t="shared" si="145"/>
        <v>0.73041199784817379</v>
      </c>
      <c r="G813">
        <f t="shared" si="148"/>
        <v>-1.2999999999999901E-2</v>
      </c>
      <c r="H813">
        <f>IF(MOD(COUNTA($C$7:C813)-1,$J$2),H812,ROUND(F813*P813,-2))</f>
        <v>7500</v>
      </c>
      <c r="I813">
        <f t="shared" si="149"/>
        <v>0</v>
      </c>
      <c r="J813">
        <f t="shared" si="150"/>
        <v>0</v>
      </c>
      <c r="K813">
        <f t="shared" si="151"/>
        <v>-15642.631074458068</v>
      </c>
      <c r="L813">
        <f t="shared" si="152"/>
        <v>1622.3689255419322</v>
      </c>
      <c r="M813">
        <f t="shared" si="153"/>
        <v>-97.5</v>
      </c>
      <c r="N813">
        <f t="shared" si="155"/>
        <v>1622.3689255419322</v>
      </c>
      <c r="O813" s="5">
        <f t="shared" si="146"/>
        <v>3.1841317354524334E-2</v>
      </c>
      <c r="P813">
        <f t="shared" si="154"/>
        <v>10000</v>
      </c>
      <c r="Q813">
        <f t="shared" si="147"/>
        <v>318.41317354524335</v>
      </c>
    </row>
    <row r="814" spans="1:17" x14ac:dyDescent="0.15">
      <c r="A814" s="10">
        <v>45896.597222222015</v>
      </c>
      <c r="B814">
        <f>COUNT(A814:$A$1158)/(48*252)</f>
        <v>2.8521825396825396E-2</v>
      </c>
      <c r="C814">
        <v>2.3079999999999998</v>
      </c>
      <c r="D814">
        <v>0.109</v>
      </c>
      <c r="E814">
        <f t="shared" si="144"/>
        <v>0.64719367594971566</v>
      </c>
      <c r="F814">
        <f t="shared" si="145"/>
        <v>0.74124669812694788</v>
      </c>
      <c r="G814">
        <f t="shared" si="148"/>
        <v>5.9999999999997833E-3</v>
      </c>
      <c r="H814">
        <f>IF(MOD(COUNTA($C$7:C814)-1,$J$2),H813,ROUND(F814*P814,-2))</f>
        <v>7500</v>
      </c>
      <c r="I814">
        <f t="shared" si="149"/>
        <v>0</v>
      </c>
      <c r="J814">
        <f t="shared" si="150"/>
        <v>0</v>
      </c>
      <c r="K814">
        <f t="shared" si="151"/>
        <v>-15642.631074458068</v>
      </c>
      <c r="L814">
        <f t="shared" si="152"/>
        <v>1667.3689255419322</v>
      </c>
      <c r="M814">
        <f t="shared" si="153"/>
        <v>45</v>
      </c>
      <c r="N814">
        <f t="shared" si="155"/>
        <v>1667.3689255419322</v>
      </c>
      <c r="O814" s="5">
        <f t="shared" si="146"/>
        <v>3.0170274065320579E-2</v>
      </c>
      <c r="P814">
        <f t="shared" si="154"/>
        <v>10000</v>
      </c>
      <c r="Q814">
        <f t="shared" si="147"/>
        <v>301.70274065320581</v>
      </c>
    </row>
    <row r="815" spans="1:17" x14ac:dyDescent="0.15">
      <c r="A815" s="10">
        <v>45896.600694444962</v>
      </c>
      <c r="B815">
        <f>COUNT(A815:$A$1158)/(48*252)</f>
        <v>2.8439153439153438E-2</v>
      </c>
      <c r="C815">
        <v>2.3079999999999998</v>
      </c>
      <c r="D815">
        <v>0.109</v>
      </c>
      <c r="E815">
        <f t="shared" si="144"/>
        <v>0.64798614088814144</v>
      </c>
      <c r="F815">
        <f t="shared" si="145"/>
        <v>0.74150304291583291</v>
      </c>
      <c r="G815">
        <f t="shared" si="148"/>
        <v>0</v>
      </c>
      <c r="H815">
        <f>IF(MOD(COUNTA($C$7:C815)-1,$J$2),H814,ROUND(F815*P815,-2))</f>
        <v>7500</v>
      </c>
      <c r="I815">
        <f t="shared" si="149"/>
        <v>0</v>
      </c>
      <c r="J815">
        <f t="shared" si="150"/>
        <v>0</v>
      </c>
      <c r="K815">
        <f t="shared" si="151"/>
        <v>-15642.631074458068</v>
      </c>
      <c r="L815">
        <f t="shared" si="152"/>
        <v>1667.3689255419322</v>
      </c>
      <c r="M815">
        <f t="shared" si="153"/>
        <v>0</v>
      </c>
      <c r="N815">
        <f t="shared" si="155"/>
        <v>1667.3689255419322</v>
      </c>
      <c r="O815" s="5">
        <f t="shared" si="146"/>
        <v>3.0084815755097138E-2</v>
      </c>
      <c r="P815">
        <f t="shared" si="154"/>
        <v>10000</v>
      </c>
      <c r="Q815">
        <f t="shared" si="147"/>
        <v>300.84815755097139</v>
      </c>
    </row>
    <row r="816" spans="1:17" x14ac:dyDescent="0.15">
      <c r="A816" s="10">
        <v>45896.604166666977</v>
      </c>
      <c r="B816">
        <f>COUNT(A816:$A$1158)/(48*252)</f>
        <v>2.8356481481481483E-2</v>
      </c>
      <c r="C816">
        <v>2.3130000000000002</v>
      </c>
      <c r="D816">
        <v>0.112</v>
      </c>
      <c r="E816">
        <f t="shared" si="144"/>
        <v>0.67578991729205673</v>
      </c>
      <c r="F816">
        <f t="shared" si="145"/>
        <v>0.75041298141893087</v>
      </c>
      <c r="G816">
        <f t="shared" si="148"/>
        <v>5.0000000000003375E-3</v>
      </c>
      <c r="H816">
        <f>IF(MOD(COUNTA($C$7:C816)-1,$J$2),H815,ROUND(F816*P816,-2))</f>
        <v>7500</v>
      </c>
      <c r="I816">
        <f t="shared" si="149"/>
        <v>0</v>
      </c>
      <c r="J816">
        <f t="shared" si="150"/>
        <v>0</v>
      </c>
      <c r="K816">
        <f t="shared" si="151"/>
        <v>-15642.631074458068</v>
      </c>
      <c r="L816">
        <f t="shared" si="152"/>
        <v>1704.8689255419322</v>
      </c>
      <c r="M816">
        <f t="shared" si="153"/>
        <v>37.5</v>
      </c>
      <c r="N816">
        <f t="shared" si="155"/>
        <v>1704.8689255419322</v>
      </c>
      <c r="O816" s="5">
        <f t="shared" si="146"/>
        <v>2.872977988810721E-2</v>
      </c>
      <c r="P816">
        <f t="shared" si="154"/>
        <v>10000</v>
      </c>
      <c r="Q816">
        <f t="shared" si="147"/>
        <v>287.29779888107208</v>
      </c>
    </row>
    <row r="817" spans="1:17" x14ac:dyDescent="0.15">
      <c r="A817" s="10">
        <v>45896.607638888992</v>
      </c>
      <c r="B817">
        <f>COUNT(A817:$A$1158)/(48*252)</f>
        <v>2.8273809523809524E-2</v>
      </c>
      <c r="C817">
        <v>2.3109999999999999</v>
      </c>
      <c r="D817">
        <v>0.112</v>
      </c>
      <c r="E817">
        <f t="shared" si="144"/>
        <v>0.66581740829313796</v>
      </c>
      <c r="F817">
        <f t="shared" si="145"/>
        <v>0.74723609177807249</v>
      </c>
      <c r="G817">
        <f t="shared" si="148"/>
        <v>-2.0000000000002238E-3</v>
      </c>
      <c r="H817">
        <f>IF(MOD(COUNTA($C$7:C817)-1,$J$2),H816,ROUND(F817*P817,-2))</f>
        <v>7500</v>
      </c>
      <c r="I817">
        <f t="shared" si="149"/>
        <v>0</v>
      </c>
      <c r="J817">
        <f t="shared" si="150"/>
        <v>0</v>
      </c>
      <c r="K817">
        <f t="shared" si="151"/>
        <v>-15642.631074458068</v>
      </c>
      <c r="L817">
        <f t="shared" si="152"/>
        <v>1689.8689255419322</v>
      </c>
      <c r="M817">
        <f t="shared" si="153"/>
        <v>-15</v>
      </c>
      <c r="N817">
        <f t="shared" si="155"/>
        <v>1689.8689255419322</v>
      </c>
      <c r="O817" s="5">
        <f t="shared" si="146"/>
        <v>2.9147546846251871E-2</v>
      </c>
      <c r="P817">
        <f t="shared" si="154"/>
        <v>10000</v>
      </c>
      <c r="Q817">
        <f t="shared" si="147"/>
        <v>291.47546846251873</v>
      </c>
    </row>
    <row r="818" spans="1:17" x14ac:dyDescent="0.15">
      <c r="A818" s="10">
        <v>45896.611111111008</v>
      </c>
      <c r="B818">
        <f>COUNT(A818:$A$1158)/(48*252)</f>
        <v>2.8191137566137565E-2</v>
      </c>
      <c r="C818">
        <v>2.3180000000000001</v>
      </c>
      <c r="D818">
        <v>0.113</v>
      </c>
      <c r="E818">
        <f t="shared" si="144"/>
        <v>0.70450066049715065</v>
      </c>
      <c r="F818">
        <f t="shared" si="145"/>
        <v>0.7594394805601592</v>
      </c>
      <c r="G818">
        <f t="shared" si="148"/>
        <v>7.0000000000001172E-3</v>
      </c>
      <c r="H818">
        <f>IF(MOD(COUNTA($C$7:C818)-1,$J$2),H817,ROUND(F818*P818,-2))</f>
        <v>7500</v>
      </c>
      <c r="I818">
        <f t="shared" si="149"/>
        <v>0</v>
      </c>
      <c r="J818">
        <f t="shared" si="150"/>
        <v>0</v>
      </c>
      <c r="K818">
        <f t="shared" si="151"/>
        <v>-15642.631074458068</v>
      </c>
      <c r="L818">
        <f t="shared" si="152"/>
        <v>1742.3689255419322</v>
      </c>
      <c r="M818">
        <f t="shared" si="153"/>
        <v>52.5</v>
      </c>
      <c r="N818">
        <f t="shared" si="155"/>
        <v>1742.3689255419322</v>
      </c>
      <c r="O818" s="5">
        <f t="shared" si="146"/>
        <v>2.7337115296117043E-2</v>
      </c>
      <c r="P818">
        <f t="shared" si="154"/>
        <v>10000</v>
      </c>
      <c r="Q818">
        <f t="shared" si="147"/>
        <v>273.37115296117042</v>
      </c>
    </row>
    <row r="819" spans="1:17" x14ac:dyDescent="0.15">
      <c r="A819" s="10">
        <v>45896.614583333023</v>
      </c>
      <c r="B819">
        <f>COUNT(A819:$A$1158)/(48*252)</f>
        <v>2.8108465608465607E-2</v>
      </c>
      <c r="C819">
        <v>2.3149999999999999</v>
      </c>
      <c r="D819">
        <v>0.113</v>
      </c>
      <c r="E819">
        <f t="shared" si="144"/>
        <v>0.68915377063741556</v>
      </c>
      <c r="F819">
        <f t="shared" si="145"/>
        <v>0.75463674735943265</v>
      </c>
      <c r="G819">
        <f t="shared" si="148"/>
        <v>-3.0000000000001137E-3</v>
      </c>
      <c r="H819">
        <f>IF(MOD(COUNTA($C$7:C819)-1,$J$2),H818,ROUND(F819*P819,-2))</f>
        <v>7500</v>
      </c>
      <c r="I819">
        <f t="shared" si="149"/>
        <v>0</v>
      </c>
      <c r="J819">
        <f t="shared" si="150"/>
        <v>0</v>
      </c>
      <c r="K819">
        <f t="shared" si="151"/>
        <v>-15642.631074458068</v>
      </c>
      <c r="L819">
        <f t="shared" si="152"/>
        <v>1719.8689255419322</v>
      </c>
      <c r="M819">
        <f t="shared" si="153"/>
        <v>-22.5</v>
      </c>
      <c r="N819">
        <f t="shared" si="155"/>
        <v>1719.8689255419322</v>
      </c>
      <c r="O819" s="5">
        <f t="shared" si="146"/>
        <v>2.7982462771802163E-2</v>
      </c>
      <c r="P819">
        <f t="shared" si="154"/>
        <v>10000</v>
      </c>
      <c r="Q819">
        <f t="shared" si="147"/>
        <v>279.82462771802165</v>
      </c>
    </row>
    <row r="820" spans="1:17" x14ac:dyDescent="0.15">
      <c r="A820" s="10">
        <v>45896.618055555969</v>
      </c>
      <c r="B820">
        <f>COUNT(A820:$A$1158)/(48*252)</f>
        <v>2.8025793650793652E-2</v>
      </c>
      <c r="C820">
        <v>2.3180000000000001</v>
      </c>
      <c r="D820">
        <v>0.113</v>
      </c>
      <c r="E820">
        <f t="shared" si="144"/>
        <v>0.70627852744745734</v>
      </c>
      <c r="F820">
        <f t="shared" si="145"/>
        <v>0.75999252797731676</v>
      </c>
      <c r="G820">
        <f t="shared" si="148"/>
        <v>3.0000000000001137E-3</v>
      </c>
      <c r="H820">
        <f>IF(MOD(COUNTA($C$7:C820)-1,$J$2),H819,ROUND(F820*P820,-2))</f>
        <v>7500</v>
      </c>
      <c r="I820">
        <f t="shared" si="149"/>
        <v>0</v>
      </c>
      <c r="J820">
        <f t="shared" si="150"/>
        <v>0</v>
      </c>
      <c r="K820">
        <f t="shared" si="151"/>
        <v>-15642.631074458068</v>
      </c>
      <c r="L820">
        <f t="shared" si="152"/>
        <v>1742.3689255419322</v>
      </c>
      <c r="M820">
        <f t="shared" si="153"/>
        <v>22.5</v>
      </c>
      <c r="N820">
        <f t="shared" si="155"/>
        <v>1742.3689255419322</v>
      </c>
      <c r="O820" s="5">
        <f t="shared" si="146"/>
        <v>2.7170825707775736E-2</v>
      </c>
      <c r="P820">
        <f t="shared" si="154"/>
        <v>10000</v>
      </c>
      <c r="Q820">
        <f t="shared" si="147"/>
        <v>271.70825707775737</v>
      </c>
    </row>
    <row r="821" spans="1:17" x14ac:dyDescent="0.15">
      <c r="A821" s="10">
        <v>45896.621527777985</v>
      </c>
      <c r="B821">
        <f>COUNT(A821:$A$1158)/(48*252)</f>
        <v>2.7943121693121693E-2</v>
      </c>
      <c r="C821">
        <v>2.319</v>
      </c>
      <c r="D821">
        <v>0.112</v>
      </c>
      <c r="E821">
        <f t="shared" si="144"/>
        <v>0.71259625662679715</v>
      </c>
      <c r="F821">
        <f t="shared" si="145"/>
        <v>0.76195218559017586</v>
      </c>
      <c r="G821">
        <f t="shared" si="148"/>
        <v>9.9999999999988987E-4</v>
      </c>
      <c r="H821">
        <f>IF(MOD(COUNTA($C$7:C821)-1,$J$2),H820,ROUND(F821*P821,-2))</f>
        <v>7500</v>
      </c>
      <c r="I821">
        <f t="shared" si="149"/>
        <v>0</v>
      </c>
      <c r="J821">
        <f t="shared" si="150"/>
        <v>0</v>
      </c>
      <c r="K821">
        <f t="shared" si="151"/>
        <v>-15642.631074458068</v>
      </c>
      <c r="L821">
        <f t="shared" si="152"/>
        <v>1749.8689255419322</v>
      </c>
      <c r="M821">
        <f t="shared" si="153"/>
        <v>7.5</v>
      </c>
      <c r="N821">
        <f t="shared" si="155"/>
        <v>1749.8689255419322</v>
      </c>
      <c r="O821" s="5">
        <f t="shared" si="146"/>
        <v>2.6848683120469619E-2</v>
      </c>
      <c r="P821">
        <f t="shared" si="154"/>
        <v>10000</v>
      </c>
      <c r="Q821">
        <f t="shared" si="147"/>
        <v>268.48683120469616</v>
      </c>
    </row>
    <row r="822" spans="1:17" x14ac:dyDescent="0.15">
      <c r="A822" s="10">
        <v>45896.625</v>
      </c>
      <c r="B822">
        <f>COUNT(A822:$A$1158)/(48*252)</f>
        <v>2.7860449735449735E-2</v>
      </c>
      <c r="C822">
        <v>2.3199999999999998</v>
      </c>
      <c r="D822">
        <v>0.112</v>
      </c>
      <c r="E822">
        <f t="shared" si="144"/>
        <v>0.7189319254563884</v>
      </c>
      <c r="F822">
        <f t="shared" si="145"/>
        <v>0.76390856772740001</v>
      </c>
      <c r="G822">
        <f t="shared" si="148"/>
        <v>9.9999999999988987E-4</v>
      </c>
      <c r="H822">
        <f>IF(MOD(COUNTA($C$7:C822)-1,$J$2),H821,ROUND(F822*P822,-2))</f>
        <v>7500</v>
      </c>
      <c r="I822">
        <f t="shared" si="149"/>
        <v>0</v>
      </c>
      <c r="J822">
        <f t="shared" si="150"/>
        <v>0</v>
      </c>
      <c r="K822">
        <f t="shared" si="151"/>
        <v>-15642.631074458068</v>
      </c>
      <c r="L822">
        <f t="shared" si="152"/>
        <v>1757.3689255419322</v>
      </c>
      <c r="M822">
        <f t="shared" si="153"/>
        <v>7.5</v>
      </c>
      <c r="N822">
        <f t="shared" si="155"/>
        <v>1757.3689255419322</v>
      </c>
      <c r="O822" s="5">
        <f t="shared" si="146"/>
        <v>2.652870647467398E-2</v>
      </c>
      <c r="P822">
        <f t="shared" si="154"/>
        <v>10000</v>
      </c>
      <c r="Q822">
        <f t="shared" si="147"/>
        <v>265.28706474673982</v>
      </c>
    </row>
    <row r="823" spans="1:17" x14ac:dyDescent="0.15">
      <c r="A823" s="10">
        <v>45897.399305555969</v>
      </c>
      <c r="B823">
        <f>COUNT(A823:$A$1158)/(48*252)</f>
        <v>2.7777777777777776E-2</v>
      </c>
      <c r="C823">
        <v>2.3159999999999998</v>
      </c>
      <c r="D823">
        <v>0.111</v>
      </c>
      <c r="E823">
        <f t="shared" si="144"/>
        <v>0.69809230769230424</v>
      </c>
      <c r="F823">
        <f t="shared" si="145"/>
        <v>0.75744026580085755</v>
      </c>
      <c r="G823">
        <f t="shared" si="148"/>
        <v>-4.0000000000000036E-3</v>
      </c>
      <c r="H823">
        <f>IF(MOD(COUNTA($C$7:C823)-1,$J$2),H822,ROUND(F823*P823,-2))</f>
        <v>7600</v>
      </c>
      <c r="I823">
        <f t="shared" si="149"/>
        <v>100</v>
      </c>
      <c r="J823">
        <f t="shared" si="150"/>
        <v>0</v>
      </c>
      <c r="K823">
        <f t="shared" si="151"/>
        <v>-15874.241496458068</v>
      </c>
      <c r="L823">
        <f t="shared" si="152"/>
        <v>1727.358503541931</v>
      </c>
      <c r="M823">
        <f t="shared" si="153"/>
        <v>-30.010422000001199</v>
      </c>
      <c r="N823">
        <f t="shared" si="155"/>
        <v>1727.358503541931</v>
      </c>
      <c r="O823" s="5">
        <f t="shared" si="146"/>
        <v>2.7402565870670359E-2</v>
      </c>
      <c r="P823">
        <f t="shared" si="154"/>
        <v>10000</v>
      </c>
      <c r="Q823">
        <f t="shared" si="147"/>
        <v>274.02565870670361</v>
      </c>
    </row>
    <row r="824" spans="1:17" x14ac:dyDescent="0.15">
      <c r="A824" s="10">
        <v>45897.402777777985</v>
      </c>
      <c r="B824">
        <f>COUNT(A824:$A$1158)/(48*252)</f>
        <v>2.7695105820105821E-2</v>
      </c>
      <c r="C824">
        <v>2.3159999999999998</v>
      </c>
      <c r="D824">
        <v>0.114</v>
      </c>
      <c r="E824">
        <f t="shared" si="144"/>
        <v>0.69898395045600203</v>
      </c>
      <c r="F824">
        <f t="shared" si="145"/>
        <v>0.75771896951308126</v>
      </c>
      <c r="G824">
        <f t="shared" si="148"/>
        <v>0</v>
      </c>
      <c r="H824">
        <f>IF(MOD(COUNTA($C$7:C824)-1,$J$2),H823,ROUND(F824*P824,-2))</f>
        <v>7600</v>
      </c>
      <c r="I824">
        <f t="shared" si="149"/>
        <v>0</v>
      </c>
      <c r="J824">
        <f t="shared" si="150"/>
        <v>0</v>
      </c>
      <c r="K824">
        <f t="shared" si="151"/>
        <v>-15874.241496458068</v>
      </c>
      <c r="L824">
        <f t="shared" si="152"/>
        <v>1727.358503541931</v>
      </c>
      <c r="M824">
        <f t="shared" si="153"/>
        <v>0</v>
      </c>
      <c r="N824">
        <f t="shared" si="155"/>
        <v>1727.358503541931</v>
      </c>
      <c r="O824" s="5">
        <f t="shared" si="146"/>
        <v>2.731853036774512E-2</v>
      </c>
      <c r="P824">
        <f t="shared" si="154"/>
        <v>10000</v>
      </c>
      <c r="Q824">
        <f t="shared" si="147"/>
        <v>273.1853036774512</v>
      </c>
    </row>
    <row r="825" spans="1:17" x14ac:dyDescent="0.15">
      <c r="A825" s="10">
        <v>45897.40625</v>
      </c>
      <c r="B825">
        <f>COUNT(A825:$A$1158)/(48*252)</f>
        <v>2.7612433862433863E-2</v>
      </c>
      <c r="C825">
        <v>2.3170000000000002</v>
      </c>
      <c r="D825">
        <v>0.114</v>
      </c>
      <c r="E825">
        <f t="shared" si="144"/>
        <v>0.7053394564020139</v>
      </c>
      <c r="F825">
        <f t="shared" si="145"/>
        <v>0.75970049421530561</v>
      </c>
      <c r="G825">
        <f t="shared" si="148"/>
        <v>1.000000000000334E-3</v>
      </c>
      <c r="H825">
        <f>IF(MOD(COUNTA($C$7:C825)-1,$J$2),H824,ROUND(F825*P825,-2))</f>
        <v>7600</v>
      </c>
      <c r="I825">
        <f t="shared" si="149"/>
        <v>0</v>
      </c>
      <c r="J825">
        <f t="shared" si="150"/>
        <v>0</v>
      </c>
      <c r="K825">
        <f t="shared" si="151"/>
        <v>-15874.241496458068</v>
      </c>
      <c r="L825">
        <f t="shared" si="152"/>
        <v>1734.9585035419332</v>
      </c>
      <c r="M825">
        <f t="shared" si="153"/>
        <v>7.6000000000021828</v>
      </c>
      <c r="N825">
        <f t="shared" si="155"/>
        <v>1734.9585035419332</v>
      </c>
      <c r="O825" s="5">
        <f t="shared" si="146"/>
        <v>2.6993269086718841E-2</v>
      </c>
      <c r="P825">
        <f t="shared" si="154"/>
        <v>10000</v>
      </c>
      <c r="Q825">
        <f t="shared" si="147"/>
        <v>269.9326908671884</v>
      </c>
    </row>
    <row r="826" spans="1:17" x14ac:dyDescent="0.15">
      <c r="A826" s="10">
        <v>45897.409722222015</v>
      </c>
      <c r="B826">
        <f>COUNT(A826:$A$1158)/(48*252)</f>
        <v>2.7529761904761904E-2</v>
      </c>
      <c r="C826">
        <v>2.3149999999999999</v>
      </c>
      <c r="D826">
        <v>0.114</v>
      </c>
      <c r="E826">
        <f t="shared" si="144"/>
        <v>0.6953097520878645</v>
      </c>
      <c r="F826">
        <f t="shared" si="145"/>
        <v>0.75656939798425848</v>
      </c>
      <c r="G826">
        <f t="shared" si="148"/>
        <v>-2.0000000000002238E-3</v>
      </c>
      <c r="H826">
        <f>IF(MOD(COUNTA($C$7:C826)-1,$J$2),H825,ROUND(F826*P826,-2))</f>
        <v>7600</v>
      </c>
      <c r="I826">
        <f t="shared" si="149"/>
        <v>0</v>
      </c>
      <c r="J826">
        <f t="shared" si="150"/>
        <v>0</v>
      </c>
      <c r="K826">
        <f t="shared" si="151"/>
        <v>-15874.241496458068</v>
      </c>
      <c r="L826">
        <f t="shared" si="152"/>
        <v>1719.7585035419324</v>
      </c>
      <c r="M826">
        <f t="shared" si="153"/>
        <v>-15.200000000000728</v>
      </c>
      <c r="N826">
        <f t="shared" si="155"/>
        <v>1719.7585035419324</v>
      </c>
      <c r="O826" s="5">
        <f t="shared" si="146"/>
        <v>2.7392805895475658E-2</v>
      </c>
      <c r="P826">
        <f t="shared" si="154"/>
        <v>10000</v>
      </c>
      <c r="Q826">
        <f t="shared" si="147"/>
        <v>273.92805895475658</v>
      </c>
    </row>
    <row r="827" spans="1:17" x14ac:dyDescent="0.15">
      <c r="A827" s="10">
        <v>45897.413194444962</v>
      </c>
      <c r="B827">
        <f>COUNT(A827:$A$1158)/(48*252)</f>
        <v>2.7447089947089946E-2</v>
      </c>
      <c r="C827">
        <v>2.3140000000000001</v>
      </c>
      <c r="D827">
        <v>0.113</v>
      </c>
      <c r="E827">
        <f t="shared" si="144"/>
        <v>0.69072514426614684</v>
      </c>
      <c r="F827">
        <f t="shared" si="145"/>
        <v>0.75513085758648901</v>
      </c>
      <c r="G827">
        <f t="shared" si="148"/>
        <v>-9.9999999999988987E-4</v>
      </c>
      <c r="H827">
        <f>IF(MOD(COUNTA($C$7:C827)-1,$J$2),H826,ROUND(F827*P827,-2))</f>
        <v>7600</v>
      </c>
      <c r="I827">
        <f t="shared" si="149"/>
        <v>0</v>
      </c>
      <c r="J827">
        <f t="shared" si="150"/>
        <v>0</v>
      </c>
      <c r="K827">
        <f t="shared" si="151"/>
        <v>-15874.241496458068</v>
      </c>
      <c r="L827">
        <f t="shared" si="152"/>
        <v>1712.1585035419339</v>
      </c>
      <c r="M827">
        <f t="shared" si="153"/>
        <v>-7.5999999999985448</v>
      </c>
      <c r="N827">
        <f t="shared" si="155"/>
        <v>1712.1585035419339</v>
      </c>
      <c r="O827" s="5">
        <f t="shared" si="146"/>
        <v>2.755226939576183E-2</v>
      </c>
      <c r="P827">
        <f t="shared" si="154"/>
        <v>10000</v>
      </c>
      <c r="Q827">
        <f t="shared" si="147"/>
        <v>275.52269395761829</v>
      </c>
    </row>
    <row r="828" spans="1:17" x14ac:dyDescent="0.15">
      <c r="A828" s="10">
        <v>45897.416666666977</v>
      </c>
      <c r="B828">
        <f>COUNT(A828:$A$1158)/(48*252)</f>
        <v>2.7364417989417991E-2</v>
      </c>
      <c r="C828">
        <v>2.3109999999999999</v>
      </c>
      <c r="D828">
        <v>0.113</v>
      </c>
      <c r="E828">
        <f t="shared" si="144"/>
        <v>0.67513590559587555</v>
      </c>
      <c r="F828">
        <f t="shared" si="145"/>
        <v>0.75020528829592592</v>
      </c>
      <c r="G828">
        <f t="shared" si="148"/>
        <v>-3.0000000000001137E-3</v>
      </c>
      <c r="H828">
        <f>IF(MOD(COUNTA($C$7:C828)-1,$J$2),H827,ROUND(F828*P828,-2))</f>
        <v>7600</v>
      </c>
      <c r="I828">
        <f t="shared" si="149"/>
        <v>0</v>
      </c>
      <c r="J828">
        <f t="shared" si="150"/>
        <v>0</v>
      </c>
      <c r="K828">
        <f t="shared" si="151"/>
        <v>-15874.241496458068</v>
      </c>
      <c r="L828">
        <f t="shared" si="152"/>
        <v>1689.358503541931</v>
      </c>
      <c r="M828">
        <f t="shared" si="153"/>
        <v>-22.80000000000291</v>
      </c>
      <c r="N828">
        <f t="shared" si="155"/>
        <v>1689.358503541931</v>
      </c>
      <c r="O828" s="5">
        <f t="shared" si="146"/>
        <v>2.8208924266051594E-2</v>
      </c>
      <c r="P828">
        <f t="shared" si="154"/>
        <v>10000</v>
      </c>
      <c r="Q828">
        <f t="shared" si="147"/>
        <v>282.08924266051594</v>
      </c>
    </row>
    <row r="829" spans="1:17" x14ac:dyDescent="0.15">
      <c r="A829" s="10">
        <v>45897.420138888992</v>
      </c>
      <c r="B829">
        <f>COUNT(A829:$A$1158)/(48*252)</f>
        <v>2.7281746031746032E-2</v>
      </c>
      <c r="C829">
        <v>2.3039999999999998</v>
      </c>
      <c r="D829">
        <v>0.109</v>
      </c>
      <c r="E829">
        <f t="shared" si="144"/>
        <v>0.63740904641130314</v>
      </c>
      <c r="F829">
        <f t="shared" si="145"/>
        <v>0.73807078133484594</v>
      </c>
      <c r="G829">
        <f t="shared" si="148"/>
        <v>-7.0000000000001172E-3</v>
      </c>
      <c r="H829">
        <f>IF(MOD(COUNTA($C$7:C829)-1,$J$2),H828,ROUND(F829*P829,-2))</f>
        <v>7400</v>
      </c>
      <c r="I829">
        <f t="shared" si="149"/>
        <v>-200</v>
      </c>
      <c r="J829">
        <f t="shared" si="150"/>
        <v>0</v>
      </c>
      <c r="K829">
        <f t="shared" si="151"/>
        <v>-15413.462232458069</v>
      </c>
      <c r="L829">
        <f t="shared" si="152"/>
        <v>1636.1377675419299</v>
      </c>
      <c r="M829">
        <f t="shared" si="153"/>
        <v>-53.220736000001125</v>
      </c>
      <c r="N829">
        <f t="shared" si="155"/>
        <v>1636.1377675419299</v>
      </c>
      <c r="O829" s="5">
        <f t="shared" si="146"/>
        <v>2.9912963535040693E-2</v>
      </c>
      <c r="P829">
        <f t="shared" si="154"/>
        <v>10000</v>
      </c>
      <c r="Q829">
        <f t="shared" si="147"/>
        <v>299.12963535040694</v>
      </c>
    </row>
    <row r="830" spans="1:17" x14ac:dyDescent="0.15">
      <c r="A830" s="10">
        <v>45897.423611111008</v>
      </c>
      <c r="B830">
        <f>COUNT(A830:$A$1158)/(48*252)</f>
        <v>2.7199074074074073E-2</v>
      </c>
      <c r="C830">
        <v>2.3029999999999999</v>
      </c>
      <c r="D830">
        <v>0.109</v>
      </c>
      <c r="E830">
        <f t="shared" si="144"/>
        <v>0.63269413787977014</v>
      </c>
      <c r="F830">
        <f t="shared" si="145"/>
        <v>0.73653330063422917</v>
      </c>
      <c r="G830">
        <f t="shared" si="148"/>
        <v>-9.9999999999988987E-4</v>
      </c>
      <c r="H830">
        <f>IF(MOD(COUNTA($C$7:C830)-1,$J$2),H829,ROUND(F830*P830,-2))</f>
        <v>7400</v>
      </c>
      <c r="I830">
        <f t="shared" si="149"/>
        <v>0</v>
      </c>
      <c r="J830">
        <f t="shared" si="150"/>
        <v>0</v>
      </c>
      <c r="K830">
        <f t="shared" si="151"/>
        <v>-15413.462232458069</v>
      </c>
      <c r="L830">
        <f t="shared" si="152"/>
        <v>1628.737767541932</v>
      </c>
      <c r="M830">
        <f t="shared" si="153"/>
        <v>-7.3999999999978172</v>
      </c>
      <c r="N830">
        <f t="shared" si="155"/>
        <v>1628.737767541932</v>
      </c>
      <c r="O830" s="5">
        <f t="shared" si="146"/>
        <v>3.0087720577515631E-2</v>
      </c>
      <c r="P830">
        <f t="shared" si="154"/>
        <v>10000</v>
      </c>
      <c r="Q830">
        <f t="shared" si="147"/>
        <v>300.87720577515631</v>
      </c>
    </row>
    <row r="831" spans="1:17" x14ac:dyDescent="0.15">
      <c r="A831" s="10">
        <v>45897.427083333023</v>
      </c>
      <c r="B831">
        <f>COUNT(A831:$A$1158)/(48*252)</f>
        <v>2.7116402116402115E-2</v>
      </c>
      <c r="C831">
        <v>2.306</v>
      </c>
      <c r="D831">
        <v>0.111</v>
      </c>
      <c r="E831">
        <f t="shared" si="144"/>
        <v>0.6501208896773879</v>
      </c>
      <c r="F831">
        <f t="shared" si="145"/>
        <v>0.74219293168443956</v>
      </c>
      <c r="G831">
        <f t="shared" si="148"/>
        <v>3.0000000000001137E-3</v>
      </c>
      <c r="H831">
        <f>IF(MOD(COUNTA($C$7:C831)-1,$J$2),H830,ROUND(F831*P831,-2))</f>
        <v>7400</v>
      </c>
      <c r="I831">
        <f t="shared" si="149"/>
        <v>0</v>
      </c>
      <c r="J831">
        <f t="shared" si="150"/>
        <v>0</v>
      </c>
      <c r="K831">
        <f t="shared" si="151"/>
        <v>-15413.462232458069</v>
      </c>
      <c r="L831">
        <f t="shared" si="152"/>
        <v>1650.9377675419328</v>
      </c>
      <c r="M831">
        <f t="shared" si="153"/>
        <v>22.200000000000728</v>
      </c>
      <c r="N831">
        <f t="shared" si="155"/>
        <v>1650.9377675419328</v>
      </c>
      <c r="O831" s="5">
        <f t="shared" si="146"/>
        <v>2.9218059588655532E-2</v>
      </c>
      <c r="P831">
        <f t="shared" si="154"/>
        <v>10000</v>
      </c>
      <c r="Q831">
        <f t="shared" si="147"/>
        <v>292.1805958865553</v>
      </c>
    </row>
    <row r="832" spans="1:17" x14ac:dyDescent="0.15">
      <c r="A832" s="10">
        <v>45897.430555555969</v>
      </c>
      <c r="B832">
        <f>COUNT(A832:$A$1158)/(48*252)</f>
        <v>2.703373015873016E-2</v>
      </c>
      <c r="C832">
        <v>2.302</v>
      </c>
      <c r="D832">
        <v>0.11</v>
      </c>
      <c r="E832">
        <f t="shared" si="144"/>
        <v>0.62877206280571329</v>
      </c>
      <c r="F832">
        <f t="shared" si="145"/>
        <v>0.73525085381813593</v>
      </c>
      <c r="G832">
        <f t="shared" si="148"/>
        <v>-4.0000000000000036E-3</v>
      </c>
      <c r="H832">
        <f>IF(MOD(COUNTA($C$7:C832)-1,$J$2),H831,ROUND(F832*P832,-2))</f>
        <v>7400</v>
      </c>
      <c r="I832">
        <f t="shared" si="149"/>
        <v>0</v>
      </c>
      <c r="J832">
        <f t="shared" si="150"/>
        <v>0</v>
      </c>
      <c r="K832">
        <f t="shared" si="151"/>
        <v>-15413.462232458069</v>
      </c>
      <c r="L832">
        <f t="shared" si="152"/>
        <v>1621.3377675419306</v>
      </c>
      <c r="M832">
        <f t="shared" si="153"/>
        <v>-29.600000000002183</v>
      </c>
      <c r="N832">
        <f t="shared" si="155"/>
        <v>1621.3377675419306</v>
      </c>
      <c r="O832" s="5">
        <f t="shared" si="146"/>
        <v>3.0175140820346114E-2</v>
      </c>
      <c r="P832">
        <f t="shared" si="154"/>
        <v>10000</v>
      </c>
      <c r="Q832">
        <f t="shared" si="147"/>
        <v>301.75140820346115</v>
      </c>
    </row>
    <row r="833" spans="1:17" x14ac:dyDescent="0.15">
      <c r="A833" s="10">
        <v>45897.434027777985</v>
      </c>
      <c r="B833">
        <f>COUNT(A833:$A$1158)/(48*252)</f>
        <v>2.6951058201058201E-2</v>
      </c>
      <c r="C833">
        <v>2.302</v>
      </c>
      <c r="D833">
        <v>0.108</v>
      </c>
      <c r="E833">
        <f t="shared" si="144"/>
        <v>0.629584139330162</v>
      </c>
      <c r="F833">
        <f t="shared" si="145"/>
        <v>0.73551664832680108</v>
      </c>
      <c r="G833">
        <f t="shared" si="148"/>
        <v>0</v>
      </c>
      <c r="H833">
        <f>IF(MOD(COUNTA($C$7:C833)-1,$J$2),H832,ROUND(F833*P833,-2))</f>
        <v>7400</v>
      </c>
      <c r="I833">
        <f t="shared" si="149"/>
        <v>0</v>
      </c>
      <c r="J833">
        <f t="shared" si="150"/>
        <v>0</v>
      </c>
      <c r="K833">
        <f t="shared" si="151"/>
        <v>-15413.462232458069</v>
      </c>
      <c r="L833">
        <f t="shared" si="152"/>
        <v>1621.3377675419306</v>
      </c>
      <c r="M833">
        <f t="shared" si="153"/>
        <v>0</v>
      </c>
      <c r="N833">
        <f t="shared" si="155"/>
        <v>1621.3377675419306</v>
      </c>
      <c r="O833" s="5">
        <f t="shared" si="146"/>
        <v>3.0086524868187303E-2</v>
      </c>
      <c r="P833">
        <f t="shared" si="154"/>
        <v>10000</v>
      </c>
      <c r="Q833">
        <f t="shared" si="147"/>
        <v>300.86524868187303</v>
      </c>
    </row>
    <row r="834" spans="1:17" x14ac:dyDescent="0.15">
      <c r="A834" s="10">
        <v>45897.4375</v>
      </c>
      <c r="B834">
        <f>COUNT(A834:$A$1158)/(48*252)</f>
        <v>2.6868386243386243E-2</v>
      </c>
      <c r="C834">
        <v>2.3010000000000002</v>
      </c>
      <c r="D834">
        <v>0.107</v>
      </c>
      <c r="E834">
        <f t="shared" si="144"/>
        <v>0.62482940465374148</v>
      </c>
      <c r="F834">
        <f t="shared" si="145"/>
        <v>0.73395848523290852</v>
      </c>
      <c r="G834">
        <f t="shared" si="148"/>
        <v>-9.9999999999988987E-4</v>
      </c>
      <c r="H834">
        <f>IF(MOD(COUNTA($C$7:C834)-1,$J$2),H833,ROUND(F834*P834,-2))</f>
        <v>7400</v>
      </c>
      <c r="I834">
        <f t="shared" si="149"/>
        <v>0</v>
      </c>
      <c r="J834">
        <f t="shared" si="150"/>
        <v>0</v>
      </c>
      <c r="K834">
        <f t="shared" si="151"/>
        <v>-15413.462232458069</v>
      </c>
      <c r="L834">
        <f t="shared" si="152"/>
        <v>1613.9377675419328</v>
      </c>
      <c r="M834">
        <f t="shared" si="153"/>
        <v>-7.3999999999978172</v>
      </c>
      <c r="N834">
        <f t="shared" si="155"/>
        <v>1613.9377675419328</v>
      </c>
      <c r="O834" s="5">
        <f t="shared" si="146"/>
        <v>3.02629433679662E-2</v>
      </c>
      <c r="P834">
        <f t="shared" si="154"/>
        <v>10000</v>
      </c>
      <c r="Q834">
        <f t="shared" si="147"/>
        <v>302.62943367966199</v>
      </c>
    </row>
    <row r="835" spans="1:17" x14ac:dyDescent="0.15">
      <c r="A835" s="10">
        <v>45897.440972222015</v>
      </c>
      <c r="B835">
        <f>COUNT(A835:$A$1158)/(48*252)</f>
        <v>2.6785714285714284E-2</v>
      </c>
      <c r="C835">
        <v>2.306</v>
      </c>
      <c r="D835">
        <v>0.109</v>
      </c>
      <c r="E835">
        <f t="shared" si="144"/>
        <v>0.65351356560533946</v>
      </c>
      <c r="F835">
        <f t="shared" si="145"/>
        <v>0.74328737660308675</v>
      </c>
      <c r="G835">
        <f t="shared" si="148"/>
        <v>4.9999999999998934E-3</v>
      </c>
      <c r="H835">
        <f>IF(MOD(COUNTA($C$7:C835)-1,$J$2),H834,ROUND(F835*P835,-2))</f>
        <v>7400</v>
      </c>
      <c r="I835">
        <f t="shared" si="149"/>
        <v>0</v>
      </c>
      <c r="J835">
        <f t="shared" si="150"/>
        <v>0</v>
      </c>
      <c r="K835">
        <f t="shared" si="151"/>
        <v>-15413.462232458069</v>
      </c>
      <c r="L835">
        <f t="shared" si="152"/>
        <v>1650.9377675419328</v>
      </c>
      <c r="M835">
        <f t="shared" si="153"/>
        <v>37</v>
      </c>
      <c r="N835">
        <f t="shared" si="155"/>
        <v>1650.9377675419328</v>
      </c>
      <c r="O835" s="5">
        <f t="shared" si="146"/>
        <v>2.8867727974161816E-2</v>
      </c>
      <c r="P835">
        <f t="shared" si="154"/>
        <v>10000</v>
      </c>
      <c r="Q835">
        <f t="shared" si="147"/>
        <v>288.67727974161818</v>
      </c>
    </row>
    <row r="836" spans="1:17" x14ac:dyDescent="0.15">
      <c r="A836" s="10">
        <v>45897.444444444962</v>
      </c>
      <c r="B836">
        <f>COUNT(A836:$A$1158)/(48*252)</f>
        <v>2.6703042328042329E-2</v>
      </c>
      <c r="C836">
        <v>2.3069999999999999</v>
      </c>
      <c r="D836">
        <v>0.109</v>
      </c>
      <c r="E836">
        <f t="shared" si="144"/>
        <v>0.659948049284938</v>
      </c>
      <c r="F836">
        <f t="shared" si="145"/>
        <v>0.74535641593885393</v>
      </c>
      <c r="G836">
        <f t="shared" si="148"/>
        <v>9.9999999999988987E-4</v>
      </c>
      <c r="H836">
        <f>IF(MOD(COUNTA($C$7:C836)-1,$J$2),H835,ROUND(F836*P836,-2))</f>
        <v>7400</v>
      </c>
      <c r="I836">
        <f t="shared" si="149"/>
        <v>0</v>
      </c>
      <c r="J836">
        <f t="shared" si="150"/>
        <v>0</v>
      </c>
      <c r="K836">
        <f t="shared" si="151"/>
        <v>-15413.462232458069</v>
      </c>
      <c r="L836">
        <f t="shared" si="152"/>
        <v>1658.3377675419306</v>
      </c>
      <c r="M836">
        <f t="shared" si="153"/>
        <v>7.3999999999978172</v>
      </c>
      <c r="N836">
        <f t="shared" si="155"/>
        <v>1658.3377675419306</v>
      </c>
      <c r="O836" s="5">
        <f t="shared" si="146"/>
        <v>2.8524382335621157E-2</v>
      </c>
      <c r="P836">
        <f t="shared" si="154"/>
        <v>10000</v>
      </c>
      <c r="Q836">
        <f t="shared" si="147"/>
        <v>285.24382335621158</v>
      </c>
    </row>
    <row r="837" spans="1:17" x14ac:dyDescent="0.15">
      <c r="A837" s="10">
        <v>45897.447916666977</v>
      </c>
      <c r="B837">
        <f>COUNT(A837:$A$1158)/(48*252)</f>
        <v>2.6620370370370371E-2</v>
      </c>
      <c r="C837">
        <v>2.3079999999999998</v>
      </c>
      <c r="D837">
        <v>0.109</v>
      </c>
      <c r="E837">
        <f t="shared" si="144"/>
        <v>0.66640164859667939</v>
      </c>
      <c r="F837">
        <f t="shared" si="145"/>
        <v>0.74742279548097779</v>
      </c>
      <c r="G837">
        <f t="shared" si="148"/>
        <v>9.9999999999988987E-4</v>
      </c>
      <c r="H837">
        <f>IF(MOD(COUNTA($C$7:C837)-1,$J$2),H836,ROUND(F837*P837,-2))</f>
        <v>7400</v>
      </c>
      <c r="I837">
        <f t="shared" si="149"/>
        <v>0</v>
      </c>
      <c r="J837">
        <f t="shared" si="150"/>
        <v>0</v>
      </c>
      <c r="K837">
        <f t="shared" si="151"/>
        <v>-15413.462232458069</v>
      </c>
      <c r="L837">
        <f t="shared" si="152"/>
        <v>1665.7377675419284</v>
      </c>
      <c r="M837">
        <f t="shared" si="153"/>
        <v>7.3999999999978172</v>
      </c>
      <c r="N837">
        <f t="shared" si="155"/>
        <v>1665.7377675419284</v>
      </c>
      <c r="O837" s="5">
        <f t="shared" si="146"/>
        <v>2.8183294737968545E-2</v>
      </c>
      <c r="P837">
        <f t="shared" si="154"/>
        <v>10000</v>
      </c>
      <c r="Q837">
        <f t="shared" si="147"/>
        <v>281.83294737968544</v>
      </c>
    </row>
    <row r="838" spans="1:17" x14ac:dyDescent="0.15">
      <c r="A838" s="10">
        <v>45897.451388888992</v>
      </c>
      <c r="B838">
        <f>COUNT(A838:$A$1158)/(48*252)</f>
        <v>2.6537698412698412E-2</v>
      </c>
      <c r="C838">
        <v>2.3079999999999998</v>
      </c>
      <c r="D838">
        <v>0.11</v>
      </c>
      <c r="E838">
        <f t="shared" si="144"/>
        <v>0.66728611503951651</v>
      </c>
      <c r="F838">
        <f t="shared" si="145"/>
        <v>0.74770530313414663</v>
      </c>
      <c r="G838">
        <f t="shared" si="148"/>
        <v>0</v>
      </c>
      <c r="H838">
        <f>IF(MOD(COUNTA($C$7:C838)-1,$J$2),H837,ROUND(F838*P838,-2))</f>
        <v>7400</v>
      </c>
      <c r="I838">
        <f t="shared" si="149"/>
        <v>0</v>
      </c>
      <c r="J838">
        <f t="shared" si="150"/>
        <v>0</v>
      </c>
      <c r="K838">
        <f t="shared" si="151"/>
        <v>-15413.462232458069</v>
      </c>
      <c r="L838">
        <f t="shared" si="152"/>
        <v>1665.7377675419284</v>
      </c>
      <c r="M838">
        <f t="shared" si="153"/>
        <v>0</v>
      </c>
      <c r="N838">
        <f t="shared" si="155"/>
        <v>1665.7377675419284</v>
      </c>
      <c r="O838" s="5">
        <f t="shared" si="146"/>
        <v>2.8095869961798803E-2</v>
      </c>
      <c r="P838">
        <f t="shared" si="154"/>
        <v>10000</v>
      </c>
      <c r="Q838">
        <f t="shared" si="147"/>
        <v>280.95869961798803</v>
      </c>
    </row>
    <row r="839" spans="1:17" x14ac:dyDescent="0.15">
      <c r="A839" s="10">
        <v>45897.454861111008</v>
      </c>
      <c r="B839">
        <f>COUNT(A839:$A$1158)/(48*252)</f>
        <v>2.6455026455026454E-2</v>
      </c>
      <c r="C839">
        <v>2.306</v>
      </c>
      <c r="D839">
        <v>0.109</v>
      </c>
      <c r="E839">
        <f t="shared" si="144"/>
        <v>0.65697344598274499</v>
      </c>
      <c r="F839">
        <f t="shared" si="145"/>
        <v>0.74440100462282843</v>
      </c>
      <c r="G839">
        <f t="shared" si="148"/>
        <v>-1.9999999999997797E-3</v>
      </c>
      <c r="H839">
        <f>IF(MOD(COUNTA($C$7:C839)-1,$J$2),H838,ROUND(F839*P839,-2))</f>
        <v>7400</v>
      </c>
      <c r="I839">
        <f t="shared" si="149"/>
        <v>0</v>
      </c>
      <c r="J839">
        <f t="shared" si="150"/>
        <v>0</v>
      </c>
      <c r="K839">
        <f t="shared" si="151"/>
        <v>-15413.462232458069</v>
      </c>
      <c r="L839">
        <f t="shared" si="152"/>
        <v>1650.9377675419328</v>
      </c>
      <c r="M839">
        <f t="shared" si="153"/>
        <v>-14.799999999995634</v>
      </c>
      <c r="N839">
        <f t="shared" si="155"/>
        <v>1650.9377675419328</v>
      </c>
      <c r="O839" s="5">
        <f t="shared" si="146"/>
        <v>2.8515962388926175E-2</v>
      </c>
      <c r="P839">
        <f t="shared" si="154"/>
        <v>10000</v>
      </c>
      <c r="Q839">
        <f t="shared" si="147"/>
        <v>285.15962388926175</v>
      </c>
    </row>
    <row r="840" spans="1:17" x14ac:dyDescent="0.15">
      <c r="A840" s="10">
        <v>45897.458333333023</v>
      </c>
      <c r="B840">
        <f>COUNT(A840:$A$1158)/(48*252)</f>
        <v>2.6372354497354498E-2</v>
      </c>
      <c r="C840">
        <v>2.3039999999999998</v>
      </c>
      <c r="D840">
        <v>0.108</v>
      </c>
      <c r="E840">
        <f t="shared" ref="E840:E903" si="156">(LN(C840/$B$2)+($B$1+0.5*$D$1*$D$1)*B840)/($D$1*SQRT(B840))</f>
        <v>0.64662037123497051</v>
      </c>
      <c r="F840">
        <f t="shared" ref="F840:F903" si="157">NORMSDIST(E840)</f>
        <v>0.74106116480964956</v>
      </c>
      <c r="G840">
        <f t="shared" si="148"/>
        <v>-2.0000000000002238E-3</v>
      </c>
      <c r="H840">
        <f>IF(MOD(COUNTA($C$7:C840)-1,$J$2),H839,ROUND(F840*P840,-2))</f>
        <v>7400</v>
      </c>
      <c r="I840">
        <f t="shared" si="149"/>
        <v>0</v>
      </c>
      <c r="J840">
        <f t="shared" si="150"/>
        <v>0</v>
      </c>
      <c r="K840">
        <f t="shared" si="151"/>
        <v>-15413.462232458069</v>
      </c>
      <c r="L840">
        <f t="shared" si="152"/>
        <v>1636.1377675419299</v>
      </c>
      <c r="M840">
        <f t="shared" si="153"/>
        <v>-14.80000000000291</v>
      </c>
      <c r="N840">
        <f t="shared" si="155"/>
        <v>1636.1377675419299</v>
      </c>
      <c r="O840" s="5">
        <f t="shared" ref="O840:O903" si="158">put_bs($B$1,$J$1,C840,$B$2,B840)</f>
        <v>2.8942046791596621E-2</v>
      </c>
      <c r="P840">
        <f t="shared" si="154"/>
        <v>10000</v>
      </c>
      <c r="Q840">
        <f t="shared" ref="Q840:Q903" si="159">P840*O840</f>
        <v>289.42046791596619</v>
      </c>
    </row>
    <row r="841" spans="1:17" x14ac:dyDescent="0.15">
      <c r="A841" s="10">
        <v>45897.461805555969</v>
      </c>
      <c r="B841">
        <f>COUNT(A841:$A$1158)/(48*252)</f>
        <v>2.628968253968254E-2</v>
      </c>
      <c r="C841">
        <v>2.3029999999999999</v>
      </c>
      <c r="D841">
        <v>0.107</v>
      </c>
      <c r="E841">
        <f t="shared" si="156"/>
        <v>0.64185593836943133</v>
      </c>
      <c r="F841">
        <f t="shared" si="157"/>
        <v>0.73951663733390993</v>
      </c>
      <c r="G841">
        <f t="shared" ref="G841:G904" si="160">C841-C840</f>
        <v>-9.9999999999988987E-4</v>
      </c>
      <c r="H841">
        <f>IF(MOD(COUNTA($C$7:C841)-1,$J$2),H840,ROUND(F841*P841,-2))</f>
        <v>7400</v>
      </c>
      <c r="I841">
        <f t="shared" ref="I841:I904" si="161">H841-H840</f>
        <v>0</v>
      </c>
      <c r="J841">
        <f t="shared" ref="J841:J904" si="162">J840</f>
        <v>0</v>
      </c>
      <c r="K841">
        <f t="shared" ref="K841:K904" si="163">K840-I841*C841-ABS(I841*C841*$F$2)</f>
        <v>-15413.462232458069</v>
      </c>
      <c r="L841">
        <f t="shared" ref="L841:L904" si="164">K841+H841*C841</f>
        <v>1628.737767541932</v>
      </c>
      <c r="M841">
        <f t="shared" ref="M841:M904" si="165">L841-L840</f>
        <v>-7.3999999999978172</v>
      </c>
      <c r="N841">
        <f t="shared" si="155"/>
        <v>1628.737767541932</v>
      </c>
      <c r="O841" s="5">
        <f t="shared" si="158"/>
        <v>2.9112798245139127E-2</v>
      </c>
      <c r="P841">
        <f t="shared" ref="P841:P904" si="166">P840</f>
        <v>10000</v>
      </c>
      <c r="Q841">
        <f t="shared" si="159"/>
        <v>291.12798245139129</v>
      </c>
    </row>
    <row r="842" spans="1:17" x14ac:dyDescent="0.15">
      <c r="A842" s="10">
        <v>45897.465277777985</v>
      </c>
      <c r="B842">
        <f>COUNT(A842:$A$1158)/(48*252)</f>
        <v>2.6207010582010581E-2</v>
      </c>
      <c r="C842">
        <v>2.302</v>
      </c>
      <c r="D842">
        <v>0.108</v>
      </c>
      <c r="E842">
        <f t="shared" si="156"/>
        <v>0.63707564102422853</v>
      </c>
      <c r="F842">
        <f t="shared" si="157"/>
        <v>0.73796221279361895</v>
      </c>
      <c r="G842">
        <f t="shared" si="160"/>
        <v>-9.9999999999988987E-4</v>
      </c>
      <c r="H842">
        <f>IF(MOD(COUNTA($C$7:C842)-1,$J$2),H841,ROUND(F842*P842,-2))</f>
        <v>7400</v>
      </c>
      <c r="I842">
        <f t="shared" si="161"/>
        <v>0</v>
      </c>
      <c r="J842">
        <f t="shared" si="162"/>
        <v>0</v>
      </c>
      <c r="K842">
        <f t="shared" si="163"/>
        <v>-15413.462232458069</v>
      </c>
      <c r="L842">
        <f t="shared" si="164"/>
        <v>1621.3377675419306</v>
      </c>
      <c r="M842">
        <f t="shared" si="165"/>
        <v>-7.4000000000014552</v>
      </c>
      <c r="N842">
        <f t="shared" ref="N842:N905" si="167">L842-$F$1</f>
        <v>1621.3377675419306</v>
      </c>
      <c r="O842" s="5">
        <f t="shared" si="158"/>
        <v>2.9284726723986299E-2</v>
      </c>
      <c r="P842">
        <f t="shared" si="166"/>
        <v>10000</v>
      </c>
      <c r="Q842">
        <f t="shared" si="159"/>
        <v>292.84726723986296</v>
      </c>
    </row>
    <row r="843" spans="1:17" x14ac:dyDescent="0.15">
      <c r="A843" s="10">
        <v>45897.46875</v>
      </c>
      <c r="B843">
        <f>COUNT(A843:$A$1158)/(48*252)</f>
        <v>2.6124338624338623E-2</v>
      </c>
      <c r="C843">
        <v>2.3029999999999999</v>
      </c>
      <c r="D843">
        <v>0.108</v>
      </c>
      <c r="E843">
        <f t="shared" si="156"/>
        <v>0.64357604667073953</v>
      </c>
      <c r="F843">
        <f t="shared" si="157"/>
        <v>0.74007480645710388</v>
      </c>
      <c r="G843">
        <f t="shared" si="160"/>
        <v>9.9999999999988987E-4</v>
      </c>
      <c r="H843">
        <f>IF(MOD(COUNTA($C$7:C843)-1,$J$2),H842,ROUND(F843*P843,-2))</f>
        <v>7400</v>
      </c>
      <c r="I843">
        <f t="shared" si="161"/>
        <v>0</v>
      </c>
      <c r="J843">
        <f t="shared" si="162"/>
        <v>0</v>
      </c>
      <c r="K843">
        <f t="shared" si="163"/>
        <v>-15413.462232458069</v>
      </c>
      <c r="L843">
        <f t="shared" si="164"/>
        <v>1628.737767541932</v>
      </c>
      <c r="M843">
        <f t="shared" si="165"/>
        <v>7.4000000000014552</v>
      </c>
      <c r="N843">
        <f t="shared" si="167"/>
        <v>1628.737767541932</v>
      </c>
      <c r="O843" s="5">
        <f t="shared" si="158"/>
        <v>2.8934318910002532E-2</v>
      </c>
      <c r="P843">
        <f t="shared" si="166"/>
        <v>10000</v>
      </c>
      <c r="Q843">
        <f t="shared" si="159"/>
        <v>289.34318910002531</v>
      </c>
    </row>
    <row r="844" spans="1:17" x14ac:dyDescent="0.15">
      <c r="A844" s="10">
        <v>45897.472222222015</v>
      </c>
      <c r="B844">
        <f>COUNT(A844:$A$1158)/(48*252)</f>
        <v>2.6041666666666668E-2</v>
      </c>
      <c r="C844">
        <v>2.306</v>
      </c>
      <c r="D844">
        <v>0.108</v>
      </c>
      <c r="E844">
        <f t="shared" si="156"/>
        <v>0.66139607801031097</v>
      </c>
      <c r="F844">
        <f t="shared" si="157"/>
        <v>0.74582082977381992</v>
      </c>
      <c r="G844">
        <f t="shared" si="160"/>
        <v>3.0000000000001137E-3</v>
      </c>
      <c r="H844">
        <f>IF(MOD(COUNTA($C$7:C844)-1,$J$2),H843,ROUND(F844*P844,-2))</f>
        <v>7400</v>
      </c>
      <c r="I844">
        <f t="shared" si="161"/>
        <v>0</v>
      </c>
      <c r="J844">
        <f t="shared" si="162"/>
        <v>0</v>
      </c>
      <c r="K844">
        <f t="shared" si="163"/>
        <v>-15413.462232458069</v>
      </c>
      <c r="L844">
        <f t="shared" si="164"/>
        <v>1650.9377675419328</v>
      </c>
      <c r="M844">
        <f t="shared" si="165"/>
        <v>22.200000000000728</v>
      </c>
      <c r="N844">
        <f t="shared" si="167"/>
        <v>1650.9377675419328</v>
      </c>
      <c r="O844" s="5">
        <f t="shared" si="158"/>
        <v>2.8074218544387963E-2</v>
      </c>
      <c r="P844">
        <f t="shared" si="166"/>
        <v>10000</v>
      </c>
      <c r="Q844">
        <f t="shared" si="159"/>
        <v>280.74218544387963</v>
      </c>
    </row>
    <row r="845" spans="1:17" x14ac:dyDescent="0.15">
      <c r="A845" s="10">
        <v>45897.475694444962</v>
      </c>
      <c r="B845">
        <f>COUNT(A845:$A$1158)/(48*252)</f>
        <v>2.5958994708994709E-2</v>
      </c>
      <c r="C845">
        <v>2.3029999999999999</v>
      </c>
      <c r="D845">
        <v>0.108</v>
      </c>
      <c r="E845">
        <f t="shared" si="156"/>
        <v>0.64531354201960833</v>
      </c>
      <c r="F845">
        <f t="shared" si="157"/>
        <v>0.74063799065531399</v>
      </c>
      <c r="G845">
        <f t="shared" si="160"/>
        <v>-3.0000000000001137E-3</v>
      </c>
      <c r="H845">
        <f>IF(MOD(COUNTA($C$7:C845)-1,$J$2),H844,ROUND(F845*P845,-2))</f>
        <v>7400</v>
      </c>
      <c r="I845">
        <f t="shared" si="161"/>
        <v>0</v>
      </c>
      <c r="J845">
        <f t="shared" si="162"/>
        <v>0</v>
      </c>
      <c r="K845">
        <f t="shared" si="163"/>
        <v>-15413.462232458069</v>
      </c>
      <c r="L845">
        <f t="shared" si="164"/>
        <v>1628.737767541932</v>
      </c>
      <c r="M845">
        <f t="shared" si="165"/>
        <v>-22.200000000000728</v>
      </c>
      <c r="N845">
        <f t="shared" si="167"/>
        <v>1628.737767541932</v>
      </c>
      <c r="O845" s="5">
        <f t="shared" si="158"/>
        <v>2.8755459271869843E-2</v>
      </c>
      <c r="P845">
        <f t="shared" si="166"/>
        <v>10000</v>
      </c>
      <c r="Q845">
        <f t="shared" si="159"/>
        <v>287.55459271869842</v>
      </c>
    </row>
    <row r="846" spans="1:17" x14ac:dyDescent="0.15">
      <c r="A846" s="10">
        <v>45897.479166666977</v>
      </c>
      <c r="B846">
        <f>COUNT(A846:$A$1158)/(48*252)</f>
        <v>2.5876322751322751E-2</v>
      </c>
      <c r="C846">
        <v>2.3050000000000002</v>
      </c>
      <c r="D846">
        <v>0.108</v>
      </c>
      <c r="E846">
        <f t="shared" si="156"/>
        <v>0.65752972565723156</v>
      </c>
      <c r="F846">
        <f t="shared" si="157"/>
        <v>0.7445798180248645</v>
      </c>
      <c r="G846">
        <f t="shared" si="160"/>
        <v>2.0000000000002238E-3</v>
      </c>
      <c r="H846">
        <f>IF(MOD(COUNTA($C$7:C846)-1,$J$2),H845,ROUND(F846*P846,-2))</f>
        <v>7400</v>
      </c>
      <c r="I846">
        <f t="shared" si="161"/>
        <v>0</v>
      </c>
      <c r="J846">
        <f t="shared" si="162"/>
        <v>0</v>
      </c>
      <c r="K846">
        <f t="shared" si="163"/>
        <v>-15413.462232458069</v>
      </c>
      <c r="L846">
        <f t="shared" si="164"/>
        <v>1643.5377675419313</v>
      </c>
      <c r="M846">
        <f t="shared" si="165"/>
        <v>14.799999999999272</v>
      </c>
      <c r="N846">
        <f t="shared" si="167"/>
        <v>1643.5377675419313</v>
      </c>
      <c r="O846" s="5">
        <f t="shared" si="158"/>
        <v>2.815139258873689E-2</v>
      </c>
      <c r="P846">
        <f t="shared" si="166"/>
        <v>10000</v>
      </c>
      <c r="Q846">
        <f t="shared" si="159"/>
        <v>281.51392588736888</v>
      </c>
    </row>
    <row r="847" spans="1:17" x14ac:dyDescent="0.15">
      <c r="A847" s="10">
        <v>45897.545138888992</v>
      </c>
      <c r="B847">
        <f>COUNT(A847:$A$1158)/(48*252)</f>
        <v>2.5793650793650792E-2</v>
      </c>
      <c r="C847">
        <v>2.3050000000000002</v>
      </c>
      <c r="D847">
        <v>0.109</v>
      </c>
      <c r="E847">
        <f t="shared" si="156"/>
        <v>0.6584276937601099</v>
      </c>
      <c r="F847">
        <f t="shared" si="157"/>
        <v>0.74486832752188437</v>
      </c>
      <c r="G847">
        <f t="shared" si="160"/>
        <v>0</v>
      </c>
      <c r="H847">
        <f>IF(MOD(COUNTA($C$7:C847)-1,$J$2),H846,ROUND(F847*P847,-2))</f>
        <v>7400</v>
      </c>
      <c r="I847">
        <f t="shared" si="161"/>
        <v>0</v>
      </c>
      <c r="J847">
        <f t="shared" si="162"/>
        <v>0</v>
      </c>
      <c r="K847">
        <f t="shared" si="163"/>
        <v>-15413.462232458069</v>
      </c>
      <c r="L847">
        <f t="shared" si="164"/>
        <v>1643.5377675419313</v>
      </c>
      <c r="M847">
        <f t="shared" si="165"/>
        <v>0</v>
      </c>
      <c r="N847">
        <f t="shared" si="167"/>
        <v>1643.5377675419313</v>
      </c>
      <c r="O847" s="5">
        <f t="shared" si="158"/>
        <v>2.8062297083430443E-2</v>
      </c>
      <c r="P847">
        <f t="shared" si="166"/>
        <v>10000</v>
      </c>
      <c r="Q847">
        <f t="shared" si="159"/>
        <v>280.62297083430445</v>
      </c>
    </row>
    <row r="848" spans="1:17" x14ac:dyDescent="0.15">
      <c r="A848" s="10">
        <v>45897.548611111008</v>
      </c>
      <c r="B848">
        <f>COUNT(A848:$A$1158)/(48*252)</f>
        <v>2.5710978835978837E-2</v>
      </c>
      <c r="C848">
        <v>2.306</v>
      </c>
      <c r="D848">
        <v>0.108</v>
      </c>
      <c r="E848">
        <f t="shared" si="156"/>
        <v>0.66501515461073668</v>
      </c>
      <c r="F848">
        <f t="shared" si="157"/>
        <v>0.74697959992348484</v>
      </c>
      <c r="G848">
        <f t="shared" si="160"/>
        <v>9.9999999999988987E-4</v>
      </c>
      <c r="H848">
        <f>IF(MOD(COUNTA($C$7:C848)-1,$J$2),H847,ROUND(F848*P848,-2))</f>
        <v>7400</v>
      </c>
      <c r="I848">
        <f t="shared" si="161"/>
        <v>0</v>
      </c>
      <c r="J848">
        <f t="shared" si="162"/>
        <v>0</v>
      </c>
      <c r="K848">
        <f t="shared" si="163"/>
        <v>-15413.462232458069</v>
      </c>
      <c r="L848">
        <f t="shared" si="164"/>
        <v>1650.9377675419328</v>
      </c>
      <c r="M848">
        <f t="shared" si="165"/>
        <v>7.4000000000014552</v>
      </c>
      <c r="N848">
        <f t="shared" si="167"/>
        <v>1650.9377675419328</v>
      </c>
      <c r="O848" s="5">
        <f t="shared" si="158"/>
        <v>2.7719177648752646E-2</v>
      </c>
      <c r="P848">
        <f t="shared" si="166"/>
        <v>10000</v>
      </c>
      <c r="Q848">
        <f t="shared" si="159"/>
        <v>277.19177648752645</v>
      </c>
    </row>
    <row r="849" spans="1:17" x14ac:dyDescent="0.15">
      <c r="A849" s="10">
        <v>45897.552083333023</v>
      </c>
      <c r="B849">
        <f>COUNT(A849:$A$1158)/(48*252)</f>
        <v>2.5628306878306879E-2</v>
      </c>
      <c r="C849">
        <v>2.3050000000000002</v>
      </c>
      <c r="D849">
        <v>0.108</v>
      </c>
      <c r="E849">
        <f t="shared" si="156"/>
        <v>0.66023739654491354</v>
      </c>
      <c r="F849">
        <f t="shared" si="157"/>
        <v>0.74544925131928652</v>
      </c>
      <c r="G849">
        <f t="shared" si="160"/>
        <v>-9.9999999999988987E-4</v>
      </c>
      <c r="H849">
        <f>IF(MOD(COUNTA($C$7:C849)-1,$J$2),H848,ROUND(F849*P849,-2))</f>
        <v>7400</v>
      </c>
      <c r="I849">
        <f t="shared" si="161"/>
        <v>0</v>
      </c>
      <c r="J849">
        <f t="shared" si="162"/>
        <v>0</v>
      </c>
      <c r="K849">
        <f t="shared" si="163"/>
        <v>-15413.462232458069</v>
      </c>
      <c r="L849">
        <f t="shared" si="164"/>
        <v>1643.5377675419313</v>
      </c>
      <c r="M849">
        <f t="shared" si="165"/>
        <v>-7.4000000000014552</v>
      </c>
      <c r="N849">
        <f t="shared" si="167"/>
        <v>1643.5377675419313</v>
      </c>
      <c r="O849" s="5">
        <f t="shared" si="158"/>
        <v>2.7883825550583774E-2</v>
      </c>
      <c r="P849">
        <f t="shared" si="166"/>
        <v>10000</v>
      </c>
      <c r="Q849">
        <f t="shared" si="159"/>
        <v>278.83825550583776</v>
      </c>
    </row>
    <row r="850" spans="1:17" x14ac:dyDescent="0.15">
      <c r="A850" s="10">
        <v>45897.555555555969</v>
      </c>
      <c r="B850">
        <f>COUNT(A850:$A$1158)/(48*252)</f>
        <v>2.554563492063492E-2</v>
      </c>
      <c r="C850">
        <v>2.3010000000000002</v>
      </c>
      <c r="D850">
        <v>0.108</v>
      </c>
      <c r="E850">
        <f t="shared" si="156"/>
        <v>0.63831129852613289</v>
      </c>
      <c r="F850">
        <f t="shared" si="157"/>
        <v>0.73836447070196254</v>
      </c>
      <c r="G850">
        <f t="shared" si="160"/>
        <v>-4.0000000000000036E-3</v>
      </c>
      <c r="H850">
        <f>IF(MOD(COUNTA($C$7:C850)-1,$J$2),H849,ROUND(F850*P850,-2))</f>
        <v>7400</v>
      </c>
      <c r="I850">
        <f t="shared" si="161"/>
        <v>0</v>
      </c>
      <c r="J850">
        <f t="shared" si="162"/>
        <v>0</v>
      </c>
      <c r="K850">
        <f t="shared" si="163"/>
        <v>-15413.462232458069</v>
      </c>
      <c r="L850">
        <f t="shared" si="164"/>
        <v>1613.9377675419328</v>
      </c>
      <c r="M850">
        <f t="shared" si="165"/>
        <v>-29.599999999998545</v>
      </c>
      <c r="N850">
        <f t="shared" si="167"/>
        <v>1613.9377675419328</v>
      </c>
      <c r="O850" s="5">
        <f t="shared" si="158"/>
        <v>2.8826196015622085E-2</v>
      </c>
      <c r="P850">
        <f t="shared" si="166"/>
        <v>10000</v>
      </c>
      <c r="Q850">
        <f t="shared" si="159"/>
        <v>288.26196015622088</v>
      </c>
    </row>
    <row r="851" spans="1:17" x14ac:dyDescent="0.15">
      <c r="A851" s="10">
        <v>45897.559027777985</v>
      </c>
      <c r="B851">
        <f>COUNT(A851:$A$1158)/(48*252)</f>
        <v>2.5462962962962962E-2</v>
      </c>
      <c r="C851">
        <v>2.3029999999999999</v>
      </c>
      <c r="D851">
        <v>0.107</v>
      </c>
      <c r="E851">
        <f t="shared" si="156"/>
        <v>0.65063319567217026</v>
      </c>
      <c r="F851">
        <f t="shared" si="157"/>
        <v>0.74235835180188481</v>
      </c>
      <c r="G851">
        <f t="shared" si="160"/>
        <v>1.9999999999997797E-3</v>
      </c>
      <c r="H851">
        <f>IF(MOD(COUNTA($C$7:C851)-1,$J$2),H850,ROUND(F851*P851,-2))</f>
        <v>7400</v>
      </c>
      <c r="I851">
        <f t="shared" si="161"/>
        <v>0</v>
      </c>
      <c r="J851">
        <f t="shared" si="162"/>
        <v>0</v>
      </c>
      <c r="K851">
        <f t="shared" si="163"/>
        <v>-15413.462232458069</v>
      </c>
      <c r="L851">
        <f t="shared" si="164"/>
        <v>1628.737767541932</v>
      </c>
      <c r="M851">
        <f t="shared" si="165"/>
        <v>14.799999999999272</v>
      </c>
      <c r="N851">
        <f t="shared" si="167"/>
        <v>1628.737767541932</v>
      </c>
      <c r="O851" s="5">
        <f t="shared" si="158"/>
        <v>2.8216579600193858E-2</v>
      </c>
      <c r="P851">
        <f t="shared" si="166"/>
        <v>10000</v>
      </c>
      <c r="Q851">
        <f t="shared" si="159"/>
        <v>282.16579600193859</v>
      </c>
    </row>
    <row r="852" spans="1:17" x14ac:dyDescent="0.15">
      <c r="A852" s="10">
        <v>45897.5625</v>
      </c>
      <c r="B852">
        <f>COUNT(A852:$A$1158)/(48*252)</f>
        <v>2.5380291005291006E-2</v>
      </c>
      <c r="C852">
        <v>2.3029999999999999</v>
      </c>
      <c r="D852">
        <v>0.108</v>
      </c>
      <c r="E852">
        <f t="shared" si="156"/>
        <v>0.65153581840939589</v>
      </c>
      <c r="F852">
        <f t="shared" si="157"/>
        <v>0.74264966839000024</v>
      </c>
      <c r="G852">
        <f t="shared" si="160"/>
        <v>0</v>
      </c>
      <c r="H852">
        <f>IF(MOD(COUNTA($C$7:C852)-1,$J$2),H851,ROUND(F852*P852,-2))</f>
        <v>7400</v>
      </c>
      <c r="I852">
        <f t="shared" si="161"/>
        <v>0</v>
      </c>
      <c r="J852">
        <f t="shared" si="162"/>
        <v>0</v>
      </c>
      <c r="K852">
        <f t="shared" si="163"/>
        <v>-15413.462232458069</v>
      </c>
      <c r="L852">
        <f t="shared" si="164"/>
        <v>1628.737767541932</v>
      </c>
      <c r="M852">
        <f t="shared" si="165"/>
        <v>0</v>
      </c>
      <c r="N852">
        <f t="shared" si="167"/>
        <v>1628.737767541932</v>
      </c>
      <c r="O852" s="5">
        <f t="shared" si="158"/>
        <v>2.8126428298780648E-2</v>
      </c>
      <c r="P852">
        <f t="shared" si="166"/>
        <v>10000</v>
      </c>
      <c r="Q852">
        <f t="shared" si="159"/>
        <v>281.2642829878065</v>
      </c>
    </row>
    <row r="853" spans="1:17" x14ac:dyDescent="0.15">
      <c r="A853" s="10">
        <v>45897.565972222015</v>
      </c>
      <c r="B853">
        <f>COUNT(A853:$A$1158)/(48*252)</f>
        <v>2.5297619047619048E-2</v>
      </c>
      <c r="C853">
        <v>2.3109999999999999</v>
      </c>
      <c r="D853">
        <v>0.11</v>
      </c>
      <c r="E853">
        <f t="shared" si="156"/>
        <v>0.69826273942109363</v>
      </c>
      <c r="F853">
        <f t="shared" si="157"/>
        <v>0.75749355162529897</v>
      </c>
      <c r="G853">
        <f t="shared" si="160"/>
        <v>8.0000000000000071E-3</v>
      </c>
      <c r="H853">
        <f>IF(MOD(COUNTA($C$7:C853)-1,$J$2),H852,ROUND(F853*P853,-2))</f>
        <v>7600</v>
      </c>
      <c r="I853">
        <f t="shared" si="161"/>
        <v>200</v>
      </c>
      <c r="J853">
        <f t="shared" si="162"/>
        <v>0</v>
      </c>
      <c r="K853">
        <f t="shared" si="163"/>
        <v>-15875.683031458069</v>
      </c>
      <c r="L853">
        <f t="shared" si="164"/>
        <v>1687.9169685419292</v>
      </c>
      <c r="M853">
        <f t="shared" si="165"/>
        <v>59.179200999997192</v>
      </c>
      <c r="N853">
        <f t="shared" si="167"/>
        <v>1687.9169685419292</v>
      </c>
      <c r="O853" s="5">
        <f t="shared" si="158"/>
        <v>2.6038257076731797E-2</v>
      </c>
      <c r="P853">
        <f t="shared" si="166"/>
        <v>10000</v>
      </c>
      <c r="Q853">
        <f t="shared" si="159"/>
        <v>260.38257076731799</v>
      </c>
    </row>
    <row r="854" spans="1:17" x14ac:dyDescent="0.15">
      <c r="A854" s="10">
        <v>45897.569444444962</v>
      </c>
      <c r="B854">
        <f>COUNT(A854:$A$1158)/(48*252)</f>
        <v>2.5214947089947089E-2</v>
      </c>
      <c r="C854">
        <v>2.3090000000000002</v>
      </c>
      <c r="D854">
        <v>0.11</v>
      </c>
      <c r="E854">
        <f t="shared" si="156"/>
        <v>0.68779104844089722</v>
      </c>
      <c r="F854">
        <f t="shared" si="157"/>
        <v>0.75420781300381912</v>
      </c>
      <c r="G854">
        <f t="shared" si="160"/>
        <v>-1.9999999999997797E-3</v>
      </c>
      <c r="H854">
        <f>IF(MOD(COUNTA($C$7:C854)-1,$J$2),H853,ROUND(F854*P854,-2))</f>
        <v>7600</v>
      </c>
      <c r="I854">
        <f t="shared" si="161"/>
        <v>0</v>
      </c>
      <c r="J854">
        <f t="shared" si="162"/>
        <v>0</v>
      </c>
      <c r="K854">
        <f t="shared" si="163"/>
        <v>-15875.683031458069</v>
      </c>
      <c r="L854">
        <f t="shared" si="164"/>
        <v>1672.7169685419321</v>
      </c>
      <c r="M854">
        <f t="shared" si="165"/>
        <v>-15.19999999999709</v>
      </c>
      <c r="N854">
        <f t="shared" si="167"/>
        <v>1672.7169685419321</v>
      </c>
      <c r="O854" s="5">
        <f t="shared" si="158"/>
        <v>2.6438307160025265E-2</v>
      </c>
      <c r="P854">
        <f t="shared" si="166"/>
        <v>10000</v>
      </c>
      <c r="Q854">
        <f t="shared" si="159"/>
        <v>264.38307160025266</v>
      </c>
    </row>
    <row r="855" spans="1:17" x14ac:dyDescent="0.15">
      <c r="A855" s="10">
        <v>45897.572916666977</v>
      </c>
      <c r="B855">
        <f>COUNT(A855:$A$1158)/(48*252)</f>
        <v>2.5132275132275131E-2</v>
      </c>
      <c r="C855">
        <v>2.31</v>
      </c>
      <c r="D855">
        <v>0.113</v>
      </c>
      <c r="E855">
        <f t="shared" si="156"/>
        <v>0.6945044435887221</v>
      </c>
      <c r="F855">
        <f t="shared" si="157"/>
        <v>0.75631704244878017</v>
      </c>
      <c r="G855">
        <f t="shared" si="160"/>
        <v>9.9999999999988987E-4</v>
      </c>
      <c r="H855">
        <f>IF(MOD(COUNTA($C$7:C855)-1,$J$2),H854,ROUND(F855*P855,-2))</f>
        <v>7600</v>
      </c>
      <c r="I855">
        <f t="shared" si="161"/>
        <v>0</v>
      </c>
      <c r="J855">
        <f t="shared" si="162"/>
        <v>0</v>
      </c>
      <c r="K855">
        <f t="shared" si="163"/>
        <v>-15875.683031458069</v>
      </c>
      <c r="L855">
        <f t="shared" si="164"/>
        <v>1680.3169685419307</v>
      </c>
      <c r="M855">
        <f t="shared" si="165"/>
        <v>7.5999999999985448</v>
      </c>
      <c r="N855">
        <f t="shared" si="167"/>
        <v>1680.3169685419307</v>
      </c>
      <c r="O855" s="5">
        <f t="shared" si="158"/>
        <v>2.610508564803049E-2</v>
      </c>
      <c r="P855">
        <f t="shared" si="166"/>
        <v>10000</v>
      </c>
      <c r="Q855">
        <f t="shared" si="159"/>
        <v>261.0508564803049</v>
      </c>
    </row>
    <row r="856" spans="1:17" x14ac:dyDescent="0.15">
      <c r="A856" s="10">
        <v>45897.576388888992</v>
      </c>
      <c r="B856">
        <f>COUNT(A856:$A$1158)/(48*252)</f>
        <v>2.5049603174603176E-2</v>
      </c>
      <c r="C856">
        <v>2.3130000000000002</v>
      </c>
      <c r="D856">
        <v>0.114</v>
      </c>
      <c r="E856">
        <f t="shared" si="156"/>
        <v>0.71272591963940557</v>
      </c>
      <c r="F856">
        <f t="shared" si="157"/>
        <v>0.7619923129113092</v>
      </c>
      <c r="G856">
        <f t="shared" si="160"/>
        <v>3.0000000000001137E-3</v>
      </c>
      <c r="H856">
        <f>IF(MOD(COUNTA($C$7:C856)-1,$J$2),H855,ROUND(F856*P856,-2))</f>
        <v>7600</v>
      </c>
      <c r="I856">
        <f t="shared" si="161"/>
        <v>0</v>
      </c>
      <c r="J856">
        <f t="shared" si="162"/>
        <v>0</v>
      </c>
      <c r="K856">
        <f t="shared" si="163"/>
        <v>-15875.683031458069</v>
      </c>
      <c r="L856">
        <f t="shared" si="164"/>
        <v>1703.1169685419336</v>
      </c>
      <c r="M856">
        <f t="shared" si="165"/>
        <v>22.80000000000291</v>
      </c>
      <c r="N856">
        <f t="shared" si="167"/>
        <v>1703.1169685419336</v>
      </c>
      <c r="O856" s="5">
        <f t="shared" si="158"/>
        <v>2.5294613240341657E-2</v>
      </c>
      <c r="P856">
        <f t="shared" si="166"/>
        <v>10000</v>
      </c>
      <c r="Q856">
        <f t="shared" si="159"/>
        <v>252.94613240341656</v>
      </c>
    </row>
    <row r="857" spans="1:17" x14ac:dyDescent="0.15">
      <c r="A857" s="10">
        <v>45897.579861111008</v>
      </c>
      <c r="B857">
        <f>COUNT(A857:$A$1158)/(48*252)</f>
        <v>2.4966931216931217E-2</v>
      </c>
      <c r="C857">
        <v>2.3119999999999998</v>
      </c>
      <c r="D857">
        <v>0.114</v>
      </c>
      <c r="E857">
        <f t="shared" si="156"/>
        <v>0.70799594720343095</v>
      </c>
      <c r="F857">
        <f t="shared" si="157"/>
        <v>0.76052611286391747</v>
      </c>
      <c r="G857">
        <f t="shared" si="160"/>
        <v>-1.000000000000334E-3</v>
      </c>
      <c r="H857">
        <f>IF(MOD(COUNTA($C$7:C857)-1,$J$2),H856,ROUND(F857*P857,-2))</f>
        <v>7600</v>
      </c>
      <c r="I857">
        <f t="shared" si="161"/>
        <v>0</v>
      </c>
      <c r="J857">
        <f t="shared" si="162"/>
        <v>0</v>
      </c>
      <c r="K857">
        <f t="shared" si="163"/>
        <v>-15875.683031458069</v>
      </c>
      <c r="L857">
        <f t="shared" si="164"/>
        <v>1695.5169685419278</v>
      </c>
      <c r="M857">
        <f t="shared" si="165"/>
        <v>-7.6000000000058208</v>
      </c>
      <c r="N857">
        <f t="shared" si="167"/>
        <v>1695.5169685419278</v>
      </c>
      <c r="O857" s="5">
        <f t="shared" si="158"/>
        <v>2.5445628649850338E-2</v>
      </c>
      <c r="P857">
        <f t="shared" si="166"/>
        <v>10000</v>
      </c>
      <c r="Q857">
        <f t="shared" si="159"/>
        <v>254.45628649850337</v>
      </c>
    </row>
    <row r="858" spans="1:17" x14ac:dyDescent="0.15">
      <c r="A858" s="10">
        <v>45897.583333333023</v>
      </c>
      <c r="B858">
        <f>COUNT(A858:$A$1158)/(48*252)</f>
        <v>2.4884259259259259E-2</v>
      </c>
      <c r="C858">
        <v>2.31</v>
      </c>
      <c r="D858">
        <v>0.113</v>
      </c>
      <c r="E858">
        <f t="shared" si="156"/>
        <v>0.69748366462193578</v>
      </c>
      <c r="F858">
        <f t="shared" si="157"/>
        <v>0.75724992057024987</v>
      </c>
      <c r="G858">
        <f t="shared" si="160"/>
        <v>-1.9999999999997797E-3</v>
      </c>
      <c r="H858">
        <f>IF(MOD(COUNTA($C$7:C858)-1,$J$2),H857,ROUND(F858*P858,-2))</f>
        <v>7600</v>
      </c>
      <c r="I858">
        <f t="shared" si="161"/>
        <v>0</v>
      </c>
      <c r="J858">
        <f t="shared" si="162"/>
        <v>0</v>
      </c>
      <c r="K858">
        <f t="shared" si="163"/>
        <v>-15875.683031458069</v>
      </c>
      <c r="L858">
        <f t="shared" si="164"/>
        <v>1680.3169685419307</v>
      </c>
      <c r="M858">
        <f t="shared" si="165"/>
        <v>-15.19999999999709</v>
      </c>
      <c r="N858">
        <f t="shared" si="167"/>
        <v>1680.3169685419307</v>
      </c>
      <c r="O858" s="5">
        <f t="shared" si="158"/>
        <v>2.5839563798920939E-2</v>
      </c>
      <c r="P858">
        <f t="shared" si="166"/>
        <v>10000</v>
      </c>
      <c r="Q858">
        <f t="shared" si="159"/>
        <v>258.39563798920938</v>
      </c>
    </row>
    <row r="859" spans="1:17" x14ac:dyDescent="0.15">
      <c r="A859" s="10">
        <v>45897.586805555969</v>
      </c>
      <c r="B859">
        <f>COUNT(A859:$A$1158)/(48*252)</f>
        <v>2.48015873015873E-2</v>
      </c>
      <c r="C859">
        <v>2.3130000000000002</v>
      </c>
      <c r="D859">
        <v>0.113</v>
      </c>
      <c r="E859">
        <f t="shared" si="156"/>
        <v>0.71580671289206166</v>
      </c>
      <c r="F859">
        <f t="shared" si="157"/>
        <v>0.76294464659378436</v>
      </c>
      <c r="G859">
        <f t="shared" si="160"/>
        <v>3.0000000000001137E-3</v>
      </c>
      <c r="H859">
        <f>IF(MOD(COUNTA($C$7:C859)-1,$J$2),H858,ROUND(F859*P859,-2))</f>
        <v>7600</v>
      </c>
      <c r="I859">
        <f t="shared" si="161"/>
        <v>0</v>
      </c>
      <c r="J859">
        <f t="shared" si="162"/>
        <v>0</v>
      </c>
      <c r="K859">
        <f t="shared" si="163"/>
        <v>-15875.683031458069</v>
      </c>
      <c r="L859">
        <f t="shared" si="164"/>
        <v>1703.1169685419336</v>
      </c>
      <c r="M859">
        <f t="shared" si="165"/>
        <v>22.80000000000291</v>
      </c>
      <c r="N859">
        <f t="shared" si="167"/>
        <v>1703.1169685419336</v>
      </c>
      <c r="O859" s="5">
        <f t="shared" si="158"/>
        <v>2.5031659948089868E-2</v>
      </c>
      <c r="P859">
        <f t="shared" si="166"/>
        <v>10000</v>
      </c>
      <c r="Q859">
        <f t="shared" si="159"/>
        <v>250.31659948089867</v>
      </c>
    </row>
    <row r="860" spans="1:17" x14ac:dyDescent="0.15">
      <c r="A860" s="10">
        <v>45897.590277777985</v>
      </c>
      <c r="B860">
        <f>COUNT(A860:$A$1158)/(48*252)</f>
        <v>2.4718915343915345E-2</v>
      </c>
      <c r="C860">
        <v>2.3149999999999999</v>
      </c>
      <c r="D860">
        <v>0.11600000000000001</v>
      </c>
      <c r="E860">
        <f t="shared" si="156"/>
        <v>0.72839761181229112</v>
      </c>
      <c r="F860">
        <f t="shared" si="157"/>
        <v>0.76681488761406857</v>
      </c>
      <c r="G860">
        <f t="shared" si="160"/>
        <v>1.9999999999997797E-3</v>
      </c>
      <c r="H860">
        <f>IF(MOD(COUNTA($C$7:C860)-1,$J$2),H859,ROUND(F860*P860,-2))</f>
        <v>7600</v>
      </c>
      <c r="I860">
        <f t="shared" si="161"/>
        <v>0</v>
      </c>
      <c r="J860">
        <f t="shared" si="162"/>
        <v>0</v>
      </c>
      <c r="K860">
        <f t="shared" si="163"/>
        <v>-15875.683031458069</v>
      </c>
      <c r="L860">
        <f t="shared" si="164"/>
        <v>1718.3169685419307</v>
      </c>
      <c r="M860">
        <f t="shared" si="165"/>
        <v>15.19999999999709</v>
      </c>
      <c r="N860">
        <f t="shared" si="167"/>
        <v>1718.3169685419307</v>
      </c>
      <c r="O860" s="5">
        <f t="shared" si="158"/>
        <v>2.4473925073162928E-2</v>
      </c>
      <c r="P860">
        <f t="shared" si="166"/>
        <v>10000</v>
      </c>
      <c r="Q860">
        <f t="shared" si="159"/>
        <v>244.73925073162928</v>
      </c>
    </row>
    <row r="861" spans="1:17" x14ac:dyDescent="0.15">
      <c r="A861" s="10">
        <v>45897.59375</v>
      </c>
      <c r="B861">
        <f>COUNT(A861:$A$1158)/(48*252)</f>
        <v>2.4636243386243387E-2</v>
      </c>
      <c r="C861">
        <v>2.3149999999999999</v>
      </c>
      <c r="D861">
        <v>0.11600000000000001</v>
      </c>
      <c r="E861">
        <f t="shared" si="156"/>
        <v>0.72946021208824741</v>
      </c>
      <c r="F861">
        <f t="shared" si="157"/>
        <v>0.76713990121781139</v>
      </c>
      <c r="G861">
        <f t="shared" si="160"/>
        <v>0</v>
      </c>
      <c r="H861">
        <f>IF(MOD(COUNTA($C$7:C861)-1,$J$2),H860,ROUND(F861*P861,-2))</f>
        <v>7600</v>
      </c>
      <c r="I861">
        <f t="shared" si="161"/>
        <v>0</v>
      </c>
      <c r="J861">
        <f t="shared" si="162"/>
        <v>0</v>
      </c>
      <c r="K861">
        <f t="shared" si="163"/>
        <v>-15875.683031458069</v>
      </c>
      <c r="L861">
        <f t="shared" si="164"/>
        <v>1718.3169685419307</v>
      </c>
      <c r="M861">
        <f t="shared" si="165"/>
        <v>0</v>
      </c>
      <c r="N861">
        <f t="shared" si="167"/>
        <v>1718.3169685419307</v>
      </c>
      <c r="O861" s="5">
        <f t="shared" si="158"/>
        <v>2.4386666931363599E-2</v>
      </c>
      <c r="P861">
        <f t="shared" si="166"/>
        <v>10000</v>
      </c>
      <c r="Q861">
        <f t="shared" si="159"/>
        <v>243.86666931363598</v>
      </c>
    </row>
    <row r="862" spans="1:17" x14ac:dyDescent="0.15">
      <c r="A862" s="10">
        <v>45897.597222222015</v>
      </c>
      <c r="B862">
        <f>COUNT(A862:$A$1158)/(48*252)</f>
        <v>2.4553571428571428E-2</v>
      </c>
      <c r="C862">
        <v>2.3140000000000001</v>
      </c>
      <c r="D862">
        <v>0.11600000000000001</v>
      </c>
      <c r="E862">
        <f t="shared" si="156"/>
        <v>0.7247337007357455</v>
      </c>
      <c r="F862">
        <f t="shared" si="157"/>
        <v>0.76569229195877009</v>
      </c>
      <c r="G862">
        <f t="shared" si="160"/>
        <v>-9.9999999999988987E-4</v>
      </c>
      <c r="H862">
        <f>IF(MOD(COUNTA($C$7:C862)-1,$J$2),H861,ROUND(F862*P862,-2))</f>
        <v>7600</v>
      </c>
      <c r="I862">
        <f t="shared" si="161"/>
        <v>0</v>
      </c>
      <c r="J862">
        <f t="shared" si="162"/>
        <v>0</v>
      </c>
      <c r="K862">
        <f t="shared" si="163"/>
        <v>-15875.683031458069</v>
      </c>
      <c r="L862">
        <f t="shared" si="164"/>
        <v>1710.7169685419321</v>
      </c>
      <c r="M862">
        <f t="shared" si="165"/>
        <v>-7.5999999999985448</v>
      </c>
      <c r="N862">
        <f t="shared" si="167"/>
        <v>1710.7169685419321</v>
      </c>
      <c r="O862" s="5">
        <f t="shared" si="158"/>
        <v>2.4532746791031901E-2</v>
      </c>
      <c r="P862">
        <f t="shared" si="166"/>
        <v>10000</v>
      </c>
      <c r="Q862">
        <f t="shared" si="159"/>
        <v>245.327467910319</v>
      </c>
    </row>
    <row r="863" spans="1:17" x14ac:dyDescent="0.15">
      <c r="A863" s="10">
        <v>45897.600694444962</v>
      </c>
      <c r="B863">
        <f>COUNT(A863:$A$1158)/(48*252)</f>
        <v>2.447089947089947E-2</v>
      </c>
      <c r="C863">
        <v>2.3149999999999999</v>
      </c>
      <c r="D863">
        <v>0.11600000000000001</v>
      </c>
      <c r="E863">
        <f t="shared" si="156"/>
        <v>0.73160234700642379</v>
      </c>
      <c r="F863">
        <f t="shared" si="157"/>
        <v>0.76779434235022681</v>
      </c>
      <c r="G863">
        <f t="shared" si="160"/>
        <v>9.9999999999988987E-4</v>
      </c>
      <c r="H863">
        <f>IF(MOD(COUNTA($C$7:C863)-1,$J$2),H862,ROUND(F863*P863,-2))</f>
        <v>7600</v>
      </c>
      <c r="I863">
        <f t="shared" si="161"/>
        <v>0</v>
      </c>
      <c r="J863">
        <f t="shared" si="162"/>
        <v>0</v>
      </c>
      <c r="K863">
        <f t="shared" si="163"/>
        <v>-15875.683031458069</v>
      </c>
      <c r="L863">
        <f t="shared" si="164"/>
        <v>1718.3169685419307</v>
      </c>
      <c r="M863">
        <f t="shared" si="165"/>
        <v>7.5999999999985448</v>
      </c>
      <c r="N863">
        <f t="shared" si="167"/>
        <v>1718.3169685419307</v>
      </c>
      <c r="O863" s="5">
        <f t="shared" si="158"/>
        <v>2.4211904611236901E-2</v>
      </c>
      <c r="P863">
        <f t="shared" si="166"/>
        <v>10000</v>
      </c>
      <c r="Q863">
        <f t="shared" si="159"/>
        <v>242.11904611236901</v>
      </c>
    </row>
    <row r="864" spans="1:17" x14ac:dyDescent="0.15">
      <c r="A864" s="10">
        <v>45897.604166666977</v>
      </c>
      <c r="B864">
        <f>COUNT(A864:$A$1158)/(48*252)</f>
        <v>2.4388227513227514E-2</v>
      </c>
      <c r="C864">
        <v>2.3149999999999999</v>
      </c>
      <c r="D864">
        <v>0.11600000000000001</v>
      </c>
      <c r="E864">
        <f t="shared" si="156"/>
        <v>0.73268197812051405</v>
      </c>
      <c r="F864">
        <f t="shared" si="157"/>
        <v>0.76812379085931937</v>
      </c>
      <c r="G864">
        <f t="shared" si="160"/>
        <v>0</v>
      </c>
      <c r="H864">
        <f>IF(MOD(COUNTA($C$7:C864)-1,$J$2),H863,ROUND(F864*P864,-2))</f>
        <v>7600</v>
      </c>
      <c r="I864">
        <f t="shared" si="161"/>
        <v>0</v>
      </c>
      <c r="J864">
        <f t="shared" si="162"/>
        <v>0</v>
      </c>
      <c r="K864">
        <f t="shared" si="163"/>
        <v>-15875.683031458069</v>
      </c>
      <c r="L864">
        <f t="shared" si="164"/>
        <v>1718.3169685419307</v>
      </c>
      <c r="M864">
        <f t="shared" si="165"/>
        <v>0</v>
      </c>
      <c r="N864">
        <f t="shared" si="167"/>
        <v>1718.3169685419307</v>
      </c>
      <c r="O864" s="5">
        <f t="shared" si="158"/>
        <v>2.412440020494766E-2</v>
      </c>
      <c r="P864">
        <f t="shared" si="166"/>
        <v>10000</v>
      </c>
      <c r="Q864">
        <f t="shared" si="159"/>
        <v>241.24400204947659</v>
      </c>
    </row>
    <row r="865" spans="1:17" x14ac:dyDescent="0.15">
      <c r="A865" s="10">
        <v>45897.607638888992</v>
      </c>
      <c r="B865">
        <f>COUNT(A865:$A$1158)/(48*252)</f>
        <v>2.4305555555555556E-2</v>
      </c>
      <c r="C865">
        <v>2.31</v>
      </c>
      <c r="D865">
        <v>0.112</v>
      </c>
      <c r="E865">
        <f t="shared" si="156"/>
        <v>0.7046210348631885</v>
      </c>
      <c r="F865">
        <f t="shared" si="157"/>
        <v>0.75947694772990171</v>
      </c>
      <c r="G865">
        <f t="shared" si="160"/>
        <v>-4.9999999999998934E-3</v>
      </c>
      <c r="H865">
        <f>IF(MOD(COUNTA($C$7:C865)-1,$J$2),H864,ROUND(F865*P865,-2))</f>
        <v>7600</v>
      </c>
      <c r="I865">
        <f t="shared" si="161"/>
        <v>0</v>
      </c>
      <c r="J865">
        <f t="shared" si="162"/>
        <v>0</v>
      </c>
      <c r="K865">
        <f t="shared" si="163"/>
        <v>-15875.683031458069</v>
      </c>
      <c r="L865">
        <f t="shared" si="164"/>
        <v>1680.3169685419307</v>
      </c>
      <c r="M865">
        <f t="shared" si="165"/>
        <v>-38</v>
      </c>
      <c r="N865">
        <f t="shared" si="167"/>
        <v>1680.3169685419307</v>
      </c>
      <c r="O865" s="5">
        <f t="shared" si="158"/>
        <v>2.5216897769643531E-2</v>
      </c>
      <c r="P865">
        <f t="shared" si="166"/>
        <v>10000</v>
      </c>
      <c r="Q865">
        <f t="shared" si="159"/>
        <v>252.16897769643532</v>
      </c>
    </row>
    <row r="866" spans="1:17" x14ac:dyDescent="0.15">
      <c r="A866" s="10">
        <v>45897.611111111008</v>
      </c>
      <c r="B866">
        <f>COUNT(A866:$A$1158)/(48*252)</f>
        <v>2.4222883597883597E-2</v>
      </c>
      <c r="C866">
        <v>2.3109999999999999</v>
      </c>
      <c r="D866">
        <v>0.112</v>
      </c>
      <c r="E866">
        <f t="shared" si="156"/>
        <v>0.71150683014009086</v>
      </c>
      <c r="F866">
        <f t="shared" si="157"/>
        <v>0.76161489008369054</v>
      </c>
      <c r="G866">
        <f t="shared" si="160"/>
        <v>9.9999999999988987E-4</v>
      </c>
      <c r="H866">
        <f>IF(MOD(COUNTA($C$7:C866)-1,$J$2),H865,ROUND(F866*P866,-2))</f>
        <v>7600</v>
      </c>
      <c r="I866">
        <f t="shared" si="161"/>
        <v>0</v>
      </c>
      <c r="J866">
        <f t="shared" si="162"/>
        <v>0</v>
      </c>
      <c r="K866">
        <f t="shared" si="163"/>
        <v>-15875.683031458069</v>
      </c>
      <c r="L866">
        <f t="shared" si="164"/>
        <v>1687.9169685419292</v>
      </c>
      <c r="M866">
        <f t="shared" si="165"/>
        <v>7.5999999999985448</v>
      </c>
      <c r="N866">
        <f t="shared" si="167"/>
        <v>1687.9169685419292</v>
      </c>
      <c r="O866" s="5">
        <f t="shared" si="158"/>
        <v>2.4888295656712578E-2</v>
      </c>
      <c r="P866">
        <f t="shared" si="166"/>
        <v>10000</v>
      </c>
      <c r="Q866">
        <f t="shared" si="159"/>
        <v>248.88295656712577</v>
      </c>
    </row>
    <row r="867" spans="1:17" x14ac:dyDescent="0.15">
      <c r="A867" s="10">
        <v>45897.614583333023</v>
      </c>
      <c r="B867">
        <f>COUNT(A867:$A$1158)/(48*252)</f>
        <v>2.4140211640211639E-2</v>
      </c>
      <c r="C867">
        <v>2.3159999999999998</v>
      </c>
      <c r="D867">
        <v>0.115</v>
      </c>
      <c r="E867">
        <f t="shared" si="156"/>
        <v>0.74179733551551696</v>
      </c>
      <c r="F867">
        <f t="shared" si="157"/>
        <v>0.77089493241023921</v>
      </c>
      <c r="G867">
        <f t="shared" si="160"/>
        <v>4.9999999999998934E-3</v>
      </c>
      <c r="H867">
        <f>IF(MOD(COUNTA($C$7:C867)-1,$J$2),H866,ROUND(F867*P867,-2))</f>
        <v>7600</v>
      </c>
      <c r="I867">
        <f t="shared" si="161"/>
        <v>0</v>
      </c>
      <c r="J867">
        <f t="shared" si="162"/>
        <v>0</v>
      </c>
      <c r="K867">
        <f t="shared" si="163"/>
        <v>-15875.683031458069</v>
      </c>
      <c r="L867">
        <f t="shared" si="164"/>
        <v>1725.9169685419292</v>
      </c>
      <c r="M867">
        <f t="shared" si="165"/>
        <v>38</v>
      </c>
      <c r="N867">
        <f t="shared" si="167"/>
        <v>1725.9169685419292</v>
      </c>
      <c r="O867" s="5">
        <f t="shared" si="158"/>
        <v>2.3631401414284658E-2</v>
      </c>
      <c r="P867">
        <f t="shared" si="166"/>
        <v>10000</v>
      </c>
      <c r="Q867">
        <f t="shared" si="159"/>
        <v>236.31401414284659</v>
      </c>
    </row>
    <row r="868" spans="1:17" x14ac:dyDescent="0.15">
      <c r="A868" s="10">
        <v>45897.618055555969</v>
      </c>
      <c r="B868">
        <f>COUNT(A868:$A$1158)/(48*252)</f>
        <v>2.4057539682539684E-2</v>
      </c>
      <c r="C868">
        <v>2.3220000000000001</v>
      </c>
      <c r="D868">
        <v>0.11600000000000001</v>
      </c>
      <c r="E868">
        <f t="shared" si="156"/>
        <v>0.77796730370021172</v>
      </c>
      <c r="F868">
        <f t="shared" si="157"/>
        <v>0.78170585558098438</v>
      </c>
      <c r="G868">
        <f t="shared" si="160"/>
        <v>6.0000000000002274E-3</v>
      </c>
      <c r="H868">
        <f>IF(MOD(COUNTA($C$7:C868)-1,$J$2),H867,ROUND(F868*P868,-2))</f>
        <v>7600</v>
      </c>
      <c r="I868">
        <f t="shared" si="161"/>
        <v>0</v>
      </c>
      <c r="J868">
        <f t="shared" si="162"/>
        <v>0</v>
      </c>
      <c r="K868">
        <f t="shared" si="163"/>
        <v>-15875.683031458069</v>
      </c>
      <c r="L868">
        <f t="shared" si="164"/>
        <v>1771.5169685419314</v>
      </c>
      <c r="M868">
        <f t="shared" si="165"/>
        <v>45.600000000002183</v>
      </c>
      <c r="N868">
        <f t="shared" si="167"/>
        <v>1771.5169685419314</v>
      </c>
      <c r="O868" s="5">
        <f t="shared" si="158"/>
        <v>2.220287021765821E-2</v>
      </c>
      <c r="P868">
        <f t="shared" si="166"/>
        <v>10000</v>
      </c>
      <c r="Q868">
        <f t="shared" si="159"/>
        <v>222.0287021765821</v>
      </c>
    </row>
    <row r="869" spans="1:17" x14ac:dyDescent="0.15">
      <c r="A869" s="10">
        <v>45897.621527777985</v>
      </c>
      <c r="B869">
        <f>COUNT(A869:$A$1158)/(48*252)</f>
        <v>2.3974867724867725E-2</v>
      </c>
      <c r="C869">
        <v>2.3340000000000001</v>
      </c>
      <c r="D869">
        <v>0.121</v>
      </c>
      <c r="E869">
        <f t="shared" si="156"/>
        <v>0.84910997411176026</v>
      </c>
      <c r="F869">
        <f t="shared" si="157"/>
        <v>0.80208994955421886</v>
      </c>
      <c r="G869">
        <f t="shared" si="160"/>
        <v>1.2000000000000011E-2</v>
      </c>
      <c r="H869">
        <f>IF(MOD(COUNTA($C$7:C869)-1,$J$2),H868,ROUND(F869*P869,-2))</f>
        <v>7600</v>
      </c>
      <c r="I869">
        <f t="shared" si="161"/>
        <v>0</v>
      </c>
      <c r="J869">
        <f t="shared" si="162"/>
        <v>0</v>
      </c>
      <c r="K869">
        <f t="shared" si="163"/>
        <v>-15875.683031458069</v>
      </c>
      <c r="L869">
        <f t="shared" si="164"/>
        <v>1862.7169685419321</v>
      </c>
      <c r="M869">
        <f t="shared" si="165"/>
        <v>91.200000000000728</v>
      </c>
      <c r="N869">
        <f t="shared" si="167"/>
        <v>1862.7169685419321</v>
      </c>
      <c r="O869" s="5">
        <f t="shared" si="158"/>
        <v>1.9623454296065157E-2</v>
      </c>
      <c r="P869">
        <f t="shared" si="166"/>
        <v>10000</v>
      </c>
      <c r="Q869">
        <f t="shared" si="159"/>
        <v>196.23454296065157</v>
      </c>
    </row>
    <row r="870" spans="1:17" x14ac:dyDescent="0.15">
      <c r="A870" s="10">
        <v>45897.625</v>
      </c>
      <c r="B870">
        <f>COUNT(A870:$A$1158)/(48*252)</f>
        <v>2.3892195767195767E-2</v>
      </c>
      <c r="C870">
        <v>2.3410000000000002</v>
      </c>
      <c r="D870">
        <v>0.122</v>
      </c>
      <c r="E870">
        <f t="shared" si="156"/>
        <v>0.89113298237255678</v>
      </c>
      <c r="F870">
        <f t="shared" si="157"/>
        <v>0.81357108375231024</v>
      </c>
      <c r="G870">
        <f t="shared" si="160"/>
        <v>7.0000000000001172E-3</v>
      </c>
      <c r="H870">
        <f>IF(MOD(COUNTA($C$7:C870)-1,$J$2),H869,ROUND(F870*P870,-2))</f>
        <v>7600</v>
      </c>
      <c r="I870">
        <f t="shared" si="161"/>
        <v>0</v>
      </c>
      <c r="J870">
        <f t="shared" si="162"/>
        <v>0</v>
      </c>
      <c r="K870">
        <f t="shared" si="163"/>
        <v>-15875.683031458069</v>
      </c>
      <c r="L870">
        <f t="shared" si="164"/>
        <v>1915.9169685419329</v>
      </c>
      <c r="M870">
        <f t="shared" si="165"/>
        <v>53.200000000000728</v>
      </c>
      <c r="N870">
        <f t="shared" si="167"/>
        <v>1915.9169685419329</v>
      </c>
      <c r="O870" s="5">
        <f t="shared" si="158"/>
        <v>1.819847603480923E-2</v>
      </c>
      <c r="P870">
        <f t="shared" si="166"/>
        <v>10000</v>
      </c>
      <c r="Q870">
        <f t="shared" si="159"/>
        <v>181.98476034809229</v>
      </c>
    </row>
    <row r="871" spans="1:17" x14ac:dyDescent="0.15">
      <c r="A871" s="10">
        <v>45898.399305555969</v>
      </c>
      <c r="B871">
        <f>COUNT(A871:$A$1158)/(48*252)</f>
        <v>2.3809523809523808E-2</v>
      </c>
      <c r="C871">
        <v>2.3359999999999999</v>
      </c>
      <c r="D871">
        <v>0.13</v>
      </c>
      <c r="E871">
        <f t="shared" si="156"/>
        <v>0.86339652216828877</v>
      </c>
      <c r="F871">
        <f t="shared" si="157"/>
        <v>0.80604025452709194</v>
      </c>
      <c r="G871">
        <f t="shared" si="160"/>
        <v>-5.0000000000003375E-3</v>
      </c>
      <c r="H871">
        <f>IF(MOD(COUNTA($C$7:C871)-1,$J$2),H870,ROUND(F871*P871,-2))</f>
        <v>8100</v>
      </c>
      <c r="I871">
        <f t="shared" si="161"/>
        <v>500</v>
      </c>
      <c r="J871">
        <f t="shared" si="162"/>
        <v>0</v>
      </c>
      <c r="K871">
        <f t="shared" si="163"/>
        <v>-17043.735591458069</v>
      </c>
      <c r="L871">
        <f t="shared" si="164"/>
        <v>1877.8644085419292</v>
      </c>
      <c r="M871">
        <f t="shared" si="165"/>
        <v>-38.052560000003723</v>
      </c>
      <c r="N871">
        <f t="shared" si="167"/>
        <v>1877.8644085419292</v>
      </c>
      <c r="O871" s="5">
        <f t="shared" si="158"/>
        <v>1.9069639594039678E-2</v>
      </c>
      <c r="P871">
        <f t="shared" si="166"/>
        <v>10000</v>
      </c>
      <c r="Q871">
        <f t="shared" si="159"/>
        <v>190.69639594039677</v>
      </c>
    </row>
    <row r="872" spans="1:17" x14ac:dyDescent="0.15">
      <c r="A872" s="10">
        <v>45898.402777777985</v>
      </c>
      <c r="B872">
        <f>COUNT(A872:$A$1158)/(48*252)</f>
        <v>2.3726851851851853E-2</v>
      </c>
      <c r="C872">
        <v>2.3330000000000002</v>
      </c>
      <c r="D872">
        <v>0.13</v>
      </c>
      <c r="E872">
        <f t="shared" si="156"/>
        <v>0.84720487456699922</v>
      </c>
      <c r="F872">
        <f t="shared" si="157"/>
        <v>0.80155953151080839</v>
      </c>
      <c r="G872">
        <f t="shared" si="160"/>
        <v>-2.9999999999996696E-3</v>
      </c>
      <c r="H872">
        <f>IF(MOD(COUNTA($C$7:C872)-1,$J$2),H871,ROUND(F872*P872,-2))</f>
        <v>8100</v>
      </c>
      <c r="I872">
        <f t="shared" si="161"/>
        <v>0</v>
      </c>
      <c r="J872">
        <f t="shared" si="162"/>
        <v>0</v>
      </c>
      <c r="K872">
        <f t="shared" si="163"/>
        <v>-17043.735591458069</v>
      </c>
      <c r="L872">
        <f t="shared" si="164"/>
        <v>1853.5644085419335</v>
      </c>
      <c r="M872">
        <f t="shared" si="165"/>
        <v>-24.299999999995634</v>
      </c>
      <c r="N872">
        <f t="shared" si="167"/>
        <v>1853.5644085419335</v>
      </c>
      <c r="O872" s="5">
        <f t="shared" si="158"/>
        <v>1.9576983378305934E-2</v>
      </c>
      <c r="P872">
        <f t="shared" si="166"/>
        <v>10000</v>
      </c>
      <c r="Q872">
        <f t="shared" si="159"/>
        <v>195.76983378305934</v>
      </c>
    </row>
    <row r="873" spans="1:17" x14ac:dyDescent="0.15">
      <c r="A873" s="10">
        <v>45898.40625</v>
      </c>
      <c r="B873">
        <f>COUNT(A873:$A$1158)/(48*252)</f>
        <v>2.3644179894179895E-2</v>
      </c>
      <c r="C873">
        <v>2.3330000000000002</v>
      </c>
      <c r="D873">
        <v>0.13</v>
      </c>
      <c r="E873">
        <f t="shared" si="156"/>
        <v>0.84852289832089478</v>
      </c>
      <c r="F873">
        <f t="shared" si="157"/>
        <v>0.80192658720765375</v>
      </c>
      <c r="G873">
        <f t="shared" si="160"/>
        <v>0</v>
      </c>
      <c r="H873">
        <f>IF(MOD(COUNTA($C$7:C873)-1,$J$2),H872,ROUND(F873*P873,-2))</f>
        <v>8100</v>
      </c>
      <c r="I873">
        <f t="shared" si="161"/>
        <v>0</v>
      </c>
      <c r="J873">
        <f t="shared" si="162"/>
        <v>0</v>
      </c>
      <c r="K873">
        <f t="shared" si="163"/>
        <v>-17043.735591458069</v>
      </c>
      <c r="L873">
        <f t="shared" si="164"/>
        <v>1853.5644085419335</v>
      </c>
      <c r="M873">
        <f t="shared" si="165"/>
        <v>0</v>
      </c>
      <c r="N873">
        <f t="shared" si="167"/>
        <v>1853.5644085419335</v>
      </c>
      <c r="O873" s="5">
        <f t="shared" si="158"/>
        <v>1.9495143816578242E-2</v>
      </c>
      <c r="P873">
        <f t="shared" si="166"/>
        <v>10000</v>
      </c>
      <c r="Q873">
        <f t="shared" si="159"/>
        <v>194.95143816578241</v>
      </c>
    </row>
    <row r="874" spans="1:17" x14ac:dyDescent="0.15">
      <c r="A874" s="10">
        <v>45898.409722222015</v>
      </c>
      <c r="B874">
        <f>COUNT(A874:$A$1158)/(48*252)</f>
        <v>2.3561507936507936E-2</v>
      </c>
      <c r="C874">
        <v>2.3290000000000002</v>
      </c>
      <c r="D874">
        <v>0.13</v>
      </c>
      <c r="E874">
        <f t="shared" si="156"/>
        <v>0.82635371355098197</v>
      </c>
      <c r="F874">
        <f t="shared" si="157"/>
        <v>0.79569826403428667</v>
      </c>
      <c r="G874">
        <f t="shared" si="160"/>
        <v>-4.0000000000000036E-3</v>
      </c>
      <c r="H874">
        <f>IF(MOD(COUNTA($C$7:C874)-1,$J$2),H873,ROUND(F874*P874,-2))</f>
        <v>8100</v>
      </c>
      <c r="I874">
        <f t="shared" si="161"/>
        <v>0</v>
      </c>
      <c r="J874">
        <f t="shared" si="162"/>
        <v>0</v>
      </c>
      <c r="K874">
        <f t="shared" si="163"/>
        <v>-17043.735591458069</v>
      </c>
      <c r="L874">
        <f t="shared" si="164"/>
        <v>1821.1644085419321</v>
      </c>
      <c r="M874">
        <f t="shared" si="165"/>
        <v>-32.400000000001455</v>
      </c>
      <c r="N874">
        <f t="shared" si="167"/>
        <v>1821.1644085419321</v>
      </c>
      <c r="O874" s="5">
        <f t="shared" si="158"/>
        <v>2.0217215781655196E-2</v>
      </c>
      <c r="P874">
        <f t="shared" si="166"/>
        <v>10000</v>
      </c>
      <c r="Q874">
        <f t="shared" si="159"/>
        <v>202.17215781655196</v>
      </c>
    </row>
    <row r="875" spans="1:17" x14ac:dyDescent="0.15">
      <c r="A875" s="10">
        <v>45898.413194444962</v>
      </c>
      <c r="B875">
        <f>COUNT(A875:$A$1158)/(48*252)</f>
        <v>2.3478835978835978E-2</v>
      </c>
      <c r="C875">
        <v>2.3239999999999998</v>
      </c>
      <c r="D875">
        <v>0.126</v>
      </c>
      <c r="E875">
        <f t="shared" si="156"/>
        <v>0.79816830685120799</v>
      </c>
      <c r="F875">
        <f t="shared" si="157"/>
        <v>0.78761358671359472</v>
      </c>
      <c r="G875">
        <f t="shared" si="160"/>
        <v>-5.0000000000003375E-3</v>
      </c>
      <c r="H875">
        <f>IF(MOD(COUNTA($C$7:C875)-1,$J$2),H874,ROUND(F875*P875,-2))</f>
        <v>8100</v>
      </c>
      <c r="I875">
        <f t="shared" si="161"/>
        <v>0</v>
      </c>
      <c r="J875">
        <f t="shared" si="162"/>
        <v>0</v>
      </c>
      <c r="K875">
        <f t="shared" si="163"/>
        <v>-17043.735591458069</v>
      </c>
      <c r="L875">
        <f t="shared" si="164"/>
        <v>1780.6644085419284</v>
      </c>
      <c r="M875">
        <f t="shared" si="165"/>
        <v>-40.500000000003638</v>
      </c>
      <c r="N875">
        <f t="shared" si="167"/>
        <v>1780.6644085419284</v>
      </c>
      <c r="O875" s="5">
        <f t="shared" si="158"/>
        <v>2.1174508637308576E-2</v>
      </c>
      <c r="P875">
        <f t="shared" si="166"/>
        <v>10000</v>
      </c>
      <c r="Q875">
        <f t="shared" si="159"/>
        <v>211.74508637308577</v>
      </c>
    </row>
    <row r="876" spans="1:17" x14ac:dyDescent="0.15">
      <c r="A876" s="10">
        <v>45898.416666666977</v>
      </c>
      <c r="B876">
        <f>COUNT(A876:$A$1158)/(48*252)</f>
        <v>2.3396164021164022E-2</v>
      </c>
      <c r="C876">
        <v>2.33</v>
      </c>
      <c r="D876">
        <v>0.128</v>
      </c>
      <c r="E876">
        <f t="shared" si="156"/>
        <v>0.83484133539250982</v>
      </c>
      <c r="F876">
        <f t="shared" si="157"/>
        <v>0.7980964755561164</v>
      </c>
      <c r="G876">
        <f t="shared" si="160"/>
        <v>6.0000000000002274E-3</v>
      </c>
      <c r="H876">
        <f>IF(MOD(COUNTA($C$7:C876)-1,$J$2),H875,ROUND(F876*P876,-2))</f>
        <v>8100</v>
      </c>
      <c r="I876">
        <f t="shared" si="161"/>
        <v>0</v>
      </c>
      <c r="J876">
        <f t="shared" si="162"/>
        <v>0</v>
      </c>
      <c r="K876">
        <f t="shared" si="163"/>
        <v>-17043.735591458069</v>
      </c>
      <c r="L876">
        <f t="shared" si="164"/>
        <v>1829.2644085419306</v>
      </c>
      <c r="M876">
        <f t="shared" si="165"/>
        <v>48.600000000002183</v>
      </c>
      <c r="N876">
        <f t="shared" si="167"/>
        <v>1829.2644085419306</v>
      </c>
      <c r="O876" s="5">
        <f t="shared" si="158"/>
        <v>1.9847578397449883E-2</v>
      </c>
      <c r="P876">
        <f t="shared" si="166"/>
        <v>10000</v>
      </c>
      <c r="Q876">
        <f t="shared" si="159"/>
        <v>198.47578397449882</v>
      </c>
    </row>
    <row r="877" spans="1:17" x14ac:dyDescent="0.15">
      <c r="A877" s="10">
        <v>45898.420138888992</v>
      </c>
      <c r="B877">
        <f>COUNT(A877:$A$1158)/(48*252)</f>
        <v>2.3313492063492064E-2</v>
      </c>
      <c r="C877">
        <v>2.3359999999999999</v>
      </c>
      <c r="D877">
        <v>0.13100000000000001</v>
      </c>
      <c r="E877">
        <f t="shared" si="156"/>
        <v>0.87155551910954465</v>
      </c>
      <c r="F877">
        <f t="shared" si="157"/>
        <v>0.80827454718697678</v>
      </c>
      <c r="G877">
        <f t="shared" si="160"/>
        <v>5.9999999999997833E-3</v>
      </c>
      <c r="H877">
        <f>IF(MOD(COUNTA($C$7:C877)-1,$J$2),H876,ROUND(F877*P877,-2))</f>
        <v>8100</v>
      </c>
      <c r="I877">
        <f t="shared" si="161"/>
        <v>0</v>
      </c>
      <c r="J877">
        <f t="shared" si="162"/>
        <v>0</v>
      </c>
      <c r="K877">
        <f t="shared" si="163"/>
        <v>-17043.735591458069</v>
      </c>
      <c r="L877">
        <f t="shared" si="164"/>
        <v>1877.8644085419292</v>
      </c>
      <c r="M877">
        <f t="shared" si="165"/>
        <v>48.599999999998545</v>
      </c>
      <c r="N877">
        <f t="shared" si="167"/>
        <v>1877.8644085419292</v>
      </c>
      <c r="O877" s="5">
        <f t="shared" si="158"/>
        <v>1.8584790929199291E-2</v>
      </c>
      <c r="P877">
        <f t="shared" si="166"/>
        <v>10000</v>
      </c>
      <c r="Q877">
        <f t="shared" si="159"/>
        <v>185.84790929199292</v>
      </c>
    </row>
    <row r="878" spans="1:17" x14ac:dyDescent="0.15">
      <c r="A878" s="10">
        <v>45898.423611111008</v>
      </c>
      <c r="B878">
        <f>COUNT(A878:$A$1158)/(48*252)</f>
        <v>2.3230820105820105E-2</v>
      </c>
      <c r="C878">
        <v>2.3380000000000001</v>
      </c>
      <c r="D878">
        <v>0.13300000000000001</v>
      </c>
      <c r="E878">
        <f t="shared" si="156"/>
        <v>0.88474185822492923</v>
      </c>
      <c r="F878">
        <f t="shared" si="157"/>
        <v>0.81185206290930945</v>
      </c>
      <c r="G878">
        <f t="shared" si="160"/>
        <v>2.0000000000002238E-3</v>
      </c>
      <c r="H878">
        <f>IF(MOD(COUNTA($C$7:C878)-1,$J$2),H877,ROUND(F878*P878,-2))</f>
        <v>8100</v>
      </c>
      <c r="I878">
        <f t="shared" si="161"/>
        <v>0</v>
      </c>
      <c r="J878">
        <f t="shared" si="162"/>
        <v>0</v>
      </c>
      <c r="K878">
        <f t="shared" si="163"/>
        <v>-17043.735591458069</v>
      </c>
      <c r="L878">
        <f t="shared" si="164"/>
        <v>1894.0644085419299</v>
      </c>
      <c r="M878">
        <f t="shared" si="165"/>
        <v>16.200000000000728</v>
      </c>
      <c r="N878">
        <f t="shared" si="167"/>
        <v>1894.0644085419299</v>
      </c>
      <c r="O878" s="5">
        <f t="shared" si="158"/>
        <v>1.8124320930509474E-2</v>
      </c>
      <c r="P878">
        <f t="shared" si="166"/>
        <v>10000</v>
      </c>
      <c r="Q878">
        <f t="shared" si="159"/>
        <v>181.24320930509475</v>
      </c>
    </row>
    <row r="879" spans="1:17" x14ac:dyDescent="0.15">
      <c r="A879" s="10">
        <v>45898.427083333023</v>
      </c>
      <c r="B879">
        <f>COUNT(A879:$A$1158)/(48*252)</f>
        <v>2.3148148148148147E-2</v>
      </c>
      <c r="C879">
        <v>2.3370000000000002</v>
      </c>
      <c r="D879">
        <v>0.13100000000000001</v>
      </c>
      <c r="E879">
        <f t="shared" si="156"/>
        <v>0.8802474735220237</v>
      </c>
      <c r="F879">
        <f t="shared" si="157"/>
        <v>0.8106373695852569</v>
      </c>
      <c r="G879">
        <f t="shared" si="160"/>
        <v>-9.9999999999988987E-4</v>
      </c>
      <c r="H879">
        <f>IF(MOD(COUNTA($C$7:C879)-1,$J$2),H878,ROUND(F879*P879,-2))</f>
        <v>8100</v>
      </c>
      <c r="I879">
        <f t="shared" si="161"/>
        <v>0</v>
      </c>
      <c r="J879">
        <f t="shared" si="162"/>
        <v>0</v>
      </c>
      <c r="K879">
        <f t="shared" si="163"/>
        <v>-17043.735591458069</v>
      </c>
      <c r="L879">
        <f t="shared" si="164"/>
        <v>1885.9644085419313</v>
      </c>
      <c r="M879">
        <f t="shared" si="165"/>
        <v>-8.0999999999985448</v>
      </c>
      <c r="N879">
        <f t="shared" si="167"/>
        <v>1885.9644085419313</v>
      </c>
      <c r="O879" s="5">
        <f t="shared" si="158"/>
        <v>1.8232616349026787E-2</v>
      </c>
      <c r="P879">
        <f t="shared" si="166"/>
        <v>10000</v>
      </c>
      <c r="Q879">
        <f t="shared" si="159"/>
        <v>182.32616349026787</v>
      </c>
    </row>
    <row r="880" spans="1:17" x14ac:dyDescent="0.15">
      <c r="A880" s="10">
        <v>45898.430555555969</v>
      </c>
      <c r="B880">
        <f>COUNT(A880:$A$1158)/(48*252)</f>
        <v>2.3065476190476192E-2</v>
      </c>
      <c r="C880">
        <v>2.34</v>
      </c>
      <c r="D880">
        <v>0.13100000000000001</v>
      </c>
      <c r="E880">
        <f t="shared" si="156"/>
        <v>0.89941189944261368</v>
      </c>
      <c r="F880">
        <f t="shared" si="157"/>
        <v>0.81578334835819788</v>
      </c>
      <c r="G880">
        <f t="shared" si="160"/>
        <v>2.9999999999996696E-3</v>
      </c>
      <c r="H880">
        <f>IF(MOD(COUNTA($C$7:C880)-1,$J$2),H879,ROUND(F880*P880,-2))</f>
        <v>8100</v>
      </c>
      <c r="I880">
        <f t="shared" si="161"/>
        <v>0</v>
      </c>
      <c r="J880">
        <f t="shared" si="162"/>
        <v>0</v>
      </c>
      <c r="K880">
        <f t="shared" si="163"/>
        <v>-17043.735591458069</v>
      </c>
      <c r="L880">
        <f t="shared" si="164"/>
        <v>1910.2644085419306</v>
      </c>
      <c r="M880">
        <f t="shared" si="165"/>
        <v>24.299999999999272</v>
      </c>
      <c r="N880">
        <f t="shared" si="167"/>
        <v>1910.2644085419306</v>
      </c>
      <c r="O880" s="5">
        <f t="shared" si="158"/>
        <v>1.7592144615243055E-2</v>
      </c>
      <c r="P880">
        <f t="shared" si="166"/>
        <v>10000</v>
      </c>
      <c r="Q880">
        <f t="shared" si="159"/>
        <v>175.92144615243055</v>
      </c>
    </row>
    <row r="881" spans="1:17" x14ac:dyDescent="0.15">
      <c r="A881" s="10">
        <v>45898.434027777985</v>
      </c>
      <c r="B881">
        <f>COUNT(A881:$A$1158)/(48*252)</f>
        <v>2.2982804232804233E-2</v>
      </c>
      <c r="C881">
        <v>2.3450000000000002</v>
      </c>
      <c r="D881">
        <v>0.13600000000000001</v>
      </c>
      <c r="E881">
        <f t="shared" si="156"/>
        <v>0.93045346730929657</v>
      </c>
      <c r="F881">
        <f t="shared" si="157"/>
        <v>0.8239318268652146</v>
      </c>
      <c r="G881">
        <f t="shared" si="160"/>
        <v>5.0000000000003375E-3</v>
      </c>
      <c r="H881">
        <f>IF(MOD(COUNTA($C$7:C881)-1,$J$2),H880,ROUND(F881*P881,-2))</f>
        <v>8100</v>
      </c>
      <c r="I881">
        <f t="shared" si="161"/>
        <v>0</v>
      </c>
      <c r="J881">
        <f t="shared" si="162"/>
        <v>0</v>
      </c>
      <c r="K881">
        <f t="shared" si="163"/>
        <v>-17043.735591458069</v>
      </c>
      <c r="L881">
        <f t="shared" si="164"/>
        <v>1950.7644085419306</v>
      </c>
      <c r="M881">
        <f t="shared" si="165"/>
        <v>40.5</v>
      </c>
      <c r="N881">
        <f t="shared" si="167"/>
        <v>1950.7644085419306</v>
      </c>
      <c r="O881" s="5">
        <f t="shared" si="158"/>
        <v>1.6612904877548851E-2</v>
      </c>
      <c r="P881">
        <f t="shared" si="166"/>
        <v>10000</v>
      </c>
      <c r="Q881">
        <f t="shared" si="159"/>
        <v>166.12904877548851</v>
      </c>
    </row>
    <row r="882" spans="1:17" x14ac:dyDescent="0.15">
      <c r="A882" s="10">
        <v>45898.4375</v>
      </c>
      <c r="B882">
        <f>COUNT(A882:$A$1158)/(48*252)</f>
        <v>2.2900132275132275E-2</v>
      </c>
      <c r="C882">
        <v>2.3450000000000002</v>
      </c>
      <c r="D882">
        <v>0.13600000000000001</v>
      </c>
      <c r="E882">
        <f t="shared" si="156"/>
        <v>0.93196705421634229</v>
      </c>
      <c r="F882">
        <f t="shared" si="157"/>
        <v>0.82432322399717506</v>
      </c>
      <c r="G882">
        <f t="shared" si="160"/>
        <v>0</v>
      </c>
      <c r="H882">
        <f>IF(MOD(COUNTA($C$7:C882)-1,$J$2),H881,ROUND(F882*P882,-2))</f>
        <v>8100</v>
      </c>
      <c r="I882">
        <f t="shared" si="161"/>
        <v>0</v>
      </c>
      <c r="J882">
        <f t="shared" si="162"/>
        <v>0</v>
      </c>
      <c r="K882">
        <f t="shared" si="163"/>
        <v>-17043.735591458069</v>
      </c>
      <c r="L882">
        <f t="shared" si="164"/>
        <v>1950.7644085419306</v>
      </c>
      <c r="M882">
        <f t="shared" si="165"/>
        <v>0</v>
      </c>
      <c r="N882">
        <f t="shared" si="167"/>
        <v>1950.7644085419306</v>
      </c>
      <c r="O882" s="5">
        <f t="shared" si="158"/>
        <v>1.6535223921756104E-2</v>
      </c>
      <c r="P882">
        <f t="shared" si="166"/>
        <v>10000</v>
      </c>
      <c r="Q882">
        <f t="shared" si="159"/>
        <v>165.35223921756105</v>
      </c>
    </row>
    <row r="883" spans="1:17" x14ac:dyDescent="0.15">
      <c r="A883" s="10">
        <v>45898.440972222015</v>
      </c>
      <c r="B883">
        <f>COUNT(A883:$A$1158)/(48*252)</f>
        <v>2.2817460317460316E-2</v>
      </c>
      <c r="C883">
        <v>2.3370000000000002</v>
      </c>
      <c r="D883">
        <v>0.13100000000000001</v>
      </c>
      <c r="E883">
        <f t="shared" si="156"/>
        <v>0.88594426749695188</v>
      </c>
      <c r="F883">
        <f t="shared" si="157"/>
        <v>0.81217621986640365</v>
      </c>
      <c r="G883">
        <f t="shared" si="160"/>
        <v>-8.0000000000000071E-3</v>
      </c>
      <c r="H883">
        <f>IF(MOD(COUNTA($C$7:C883)-1,$J$2),H882,ROUND(F883*P883,-2))</f>
        <v>8100</v>
      </c>
      <c r="I883">
        <f t="shared" si="161"/>
        <v>0</v>
      </c>
      <c r="J883">
        <f t="shared" si="162"/>
        <v>0</v>
      </c>
      <c r="K883">
        <f t="shared" si="163"/>
        <v>-17043.735591458069</v>
      </c>
      <c r="L883">
        <f t="shared" si="164"/>
        <v>1885.9644085419313</v>
      </c>
      <c r="M883">
        <f t="shared" si="165"/>
        <v>-64.799999999999272</v>
      </c>
      <c r="N883">
        <f t="shared" si="167"/>
        <v>1885.9644085419313</v>
      </c>
      <c r="O883" s="5">
        <f t="shared" si="158"/>
        <v>1.790954966868713E-2</v>
      </c>
      <c r="P883">
        <f t="shared" si="166"/>
        <v>10000</v>
      </c>
      <c r="Q883">
        <f t="shared" si="159"/>
        <v>179.09549668687131</v>
      </c>
    </row>
    <row r="884" spans="1:17" x14ac:dyDescent="0.15">
      <c r="A884" s="10">
        <v>45898.444444444962</v>
      </c>
      <c r="B884">
        <f>COUNT(A884:$A$1158)/(48*252)</f>
        <v>2.2734788359788361E-2</v>
      </c>
      <c r="C884">
        <v>2.3359999999999999</v>
      </c>
      <c r="D884">
        <v>0.13</v>
      </c>
      <c r="E884">
        <f t="shared" si="156"/>
        <v>0.88142322949757212</v>
      </c>
      <c r="F884">
        <f t="shared" si="157"/>
        <v>0.8109556053793251</v>
      </c>
      <c r="G884">
        <f t="shared" si="160"/>
        <v>-1.000000000000334E-3</v>
      </c>
      <c r="H884">
        <f>IF(MOD(COUNTA($C$7:C884)-1,$J$2),H883,ROUND(F884*P884,-2))</f>
        <v>8100</v>
      </c>
      <c r="I884">
        <f t="shared" si="161"/>
        <v>0</v>
      </c>
      <c r="J884">
        <f t="shared" si="162"/>
        <v>0</v>
      </c>
      <c r="K884">
        <f t="shared" si="163"/>
        <v>-17043.735591458069</v>
      </c>
      <c r="L884">
        <f t="shared" si="164"/>
        <v>1877.8644085419292</v>
      </c>
      <c r="M884">
        <f t="shared" si="165"/>
        <v>-8.1000000000021828</v>
      </c>
      <c r="N884">
        <f t="shared" si="167"/>
        <v>1877.8644085419292</v>
      </c>
      <c r="O884" s="5">
        <f t="shared" si="158"/>
        <v>1.8016905486554435E-2</v>
      </c>
      <c r="P884">
        <f t="shared" si="166"/>
        <v>10000</v>
      </c>
      <c r="Q884">
        <f t="shared" si="159"/>
        <v>180.16905486554435</v>
      </c>
    </row>
    <row r="885" spans="1:17" x14ac:dyDescent="0.15">
      <c r="A885" s="10">
        <v>45898.447916666977</v>
      </c>
      <c r="B885">
        <f>COUNT(A885:$A$1158)/(48*252)</f>
        <v>2.2652116402116403E-2</v>
      </c>
      <c r="C885">
        <v>2.3359999999999999</v>
      </c>
      <c r="D885">
        <v>0.13</v>
      </c>
      <c r="E885">
        <f t="shared" si="156"/>
        <v>0.88286488460926482</v>
      </c>
      <c r="F885">
        <f t="shared" si="157"/>
        <v>0.81134536083064268</v>
      </c>
      <c r="G885">
        <f t="shared" si="160"/>
        <v>0</v>
      </c>
      <c r="H885">
        <f>IF(MOD(COUNTA($C$7:C885)-1,$J$2),H884,ROUND(F885*P885,-2))</f>
        <v>8100</v>
      </c>
      <c r="I885">
        <f t="shared" si="161"/>
        <v>0</v>
      </c>
      <c r="J885">
        <f t="shared" si="162"/>
        <v>0</v>
      </c>
      <c r="K885">
        <f t="shared" si="163"/>
        <v>-17043.735591458069</v>
      </c>
      <c r="L885">
        <f t="shared" si="164"/>
        <v>1877.8644085419292</v>
      </c>
      <c r="M885">
        <f t="shared" si="165"/>
        <v>0</v>
      </c>
      <c r="N885">
        <f t="shared" si="167"/>
        <v>1877.8644085419292</v>
      </c>
      <c r="O885" s="5">
        <f t="shared" si="158"/>
        <v>1.7935586074052434E-2</v>
      </c>
      <c r="P885">
        <f t="shared" si="166"/>
        <v>10000</v>
      </c>
      <c r="Q885">
        <f t="shared" si="159"/>
        <v>179.35586074052435</v>
      </c>
    </row>
    <row r="886" spans="1:17" x14ac:dyDescent="0.15">
      <c r="A886" s="10">
        <v>45898.451388888992</v>
      </c>
      <c r="B886">
        <f>COUNT(A886:$A$1158)/(48*252)</f>
        <v>2.2569444444444444E-2</v>
      </c>
      <c r="C886">
        <v>2.3319999999999999</v>
      </c>
      <c r="D886">
        <v>0.13</v>
      </c>
      <c r="E886">
        <f t="shared" si="156"/>
        <v>0.86034038014887815</v>
      </c>
      <c r="F886">
        <f t="shared" si="157"/>
        <v>0.80519927999663443</v>
      </c>
      <c r="G886">
        <f t="shared" si="160"/>
        <v>-4.0000000000000036E-3</v>
      </c>
      <c r="H886">
        <f>IF(MOD(COUNTA($C$7:C886)-1,$J$2),H885,ROUND(F886*P886,-2))</f>
        <v>8100</v>
      </c>
      <c r="I886">
        <f t="shared" si="161"/>
        <v>0</v>
      </c>
      <c r="J886">
        <f t="shared" si="162"/>
        <v>0</v>
      </c>
      <c r="K886">
        <f t="shared" si="163"/>
        <v>-17043.735591458069</v>
      </c>
      <c r="L886">
        <f t="shared" si="164"/>
        <v>1845.4644085419277</v>
      </c>
      <c r="M886">
        <f t="shared" si="165"/>
        <v>-32.400000000001455</v>
      </c>
      <c r="N886">
        <f t="shared" si="167"/>
        <v>1845.4644085419277</v>
      </c>
      <c r="O886" s="5">
        <f t="shared" si="158"/>
        <v>1.8620297420299137E-2</v>
      </c>
      <c r="P886">
        <f t="shared" si="166"/>
        <v>10000</v>
      </c>
      <c r="Q886">
        <f t="shared" si="159"/>
        <v>186.20297420299136</v>
      </c>
    </row>
    <row r="887" spans="1:17" x14ac:dyDescent="0.15">
      <c r="A887" s="10">
        <v>45898.454861111008</v>
      </c>
      <c r="B887">
        <f>COUNT(A887:$A$1158)/(48*252)</f>
        <v>2.2486772486772486E-2</v>
      </c>
      <c r="C887">
        <v>2.339</v>
      </c>
      <c r="D887">
        <v>0.13100000000000001</v>
      </c>
      <c r="E887">
        <f t="shared" si="156"/>
        <v>0.90375975030260647</v>
      </c>
      <c r="F887">
        <f t="shared" si="157"/>
        <v>0.81693859572036953</v>
      </c>
      <c r="G887">
        <f t="shared" si="160"/>
        <v>7.0000000000001172E-3</v>
      </c>
      <c r="H887">
        <f>IF(MOD(COUNTA($C$7:C887)-1,$J$2),H886,ROUND(F887*P887,-2))</f>
        <v>8100</v>
      </c>
      <c r="I887">
        <f t="shared" si="161"/>
        <v>0</v>
      </c>
      <c r="J887">
        <f t="shared" si="162"/>
        <v>0</v>
      </c>
      <c r="K887">
        <f t="shared" si="163"/>
        <v>-17043.735591458069</v>
      </c>
      <c r="L887">
        <f t="shared" si="164"/>
        <v>1902.1644085419321</v>
      </c>
      <c r="M887">
        <f t="shared" si="165"/>
        <v>56.700000000004366</v>
      </c>
      <c r="N887">
        <f t="shared" si="167"/>
        <v>1902.1644085419321</v>
      </c>
      <c r="O887" s="5">
        <f t="shared" si="158"/>
        <v>1.7216428198159994E-2</v>
      </c>
      <c r="P887">
        <f t="shared" si="166"/>
        <v>10000</v>
      </c>
      <c r="Q887">
        <f t="shared" si="159"/>
        <v>172.16428198159994</v>
      </c>
    </row>
    <row r="888" spans="1:17" x14ac:dyDescent="0.15">
      <c r="A888" s="10">
        <v>45898.458333333023</v>
      </c>
      <c r="B888">
        <f>COUNT(A888:$A$1158)/(48*252)</f>
        <v>2.240410052910053E-2</v>
      </c>
      <c r="C888">
        <v>2.34</v>
      </c>
      <c r="D888">
        <v>0.13300000000000001</v>
      </c>
      <c r="E888">
        <f t="shared" si="156"/>
        <v>0.91126096536784207</v>
      </c>
      <c r="F888">
        <f t="shared" si="157"/>
        <v>0.81892105581297792</v>
      </c>
      <c r="G888">
        <f t="shared" si="160"/>
        <v>9.9999999999988987E-4</v>
      </c>
      <c r="H888">
        <f>IF(MOD(COUNTA($C$7:C888)-1,$J$2),H887,ROUND(F888*P888,-2))</f>
        <v>8100</v>
      </c>
      <c r="I888">
        <f t="shared" si="161"/>
        <v>0</v>
      </c>
      <c r="J888">
        <f t="shared" si="162"/>
        <v>0</v>
      </c>
      <c r="K888">
        <f t="shared" si="163"/>
        <v>-17043.735591458069</v>
      </c>
      <c r="L888">
        <f t="shared" si="164"/>
        <v>1910.2644085419306</v>
      </c>
      <c r="M888">
        <f t="shared" si="165"/>
        <v>8.0999999999985448</v>
      </c>
      <c r="N888">
        <f t="shared" si="167"/>
        <v>1910.2644085419306</v>
      </c>
      <c r="O888" s="5">
        <f t="shared" si="158"/>
        <v>1.6954284225331406E-2</v>
      </c>
      <c r="P888">
        <f t="shared" si="166"/>
        <v>10000</v>
      </c>
      <c r="Q888">
        <f t="shared" si="159"/>
        <v>169.54284225331406</v>
      </c>
    </row>
    <row r="889" spans="1:17" x14ac:dyDescent="0.15">
      <c r="A889" s="10">
        <v>45898.461805555969</v>
      </c>
      <c r="B889">
        <f>COUNT(A889:$A$1158)/(48*252)</f>
        <v>2.2321428571428572E-2</v>
      </c>
      <c r="C889">
        <v>2.339</v>
      </c>
      <c r="D889">
        <v>0.13200000000000001</v>
      </c>
      <c r="E889">
        <f t="shared" si="156"/>
        <v>0.90676775961512124</v>
      </c>
      <c r="F889">
        <f t="shared" si="157"/>
        <v>0.81773518877082862</v>
      </c>
      <c r="G889">
        <f t="shared" si="160"/>
        <v>-9.9999999999988987E-4</v>
      </c>
      <c r="H889">
        <f>IF(MOD(COUNTA($C$7:C889)-1,$J$2),H888,ROUND(F889*P889,-2))</f>
        <v>8200</v>
      </c>
      <c r="I889">
        <f t="shared" si="161"/>
        <v>100</v>
      </c>
      <c r="J889">
        <f t="shared" si="162"/>
        <v>0</v>
      </c>
      <c r="K889">
        <f t="shared" si="163"/>
        <v>-17277.646116958073</v>
      </c>
      <c r="L889">
        <f t="shared" si="164"/>
        <v>1902.1538830419267</v>
      </c>
      <c r="M889">
        <f t="shared" si="165"/>
        <v>-8.1105255000038596</v>
      </c>
      <c r="N889">
        <f t="shared" si="167"/>
        <v>1902.1538830419267</v>
      </c>
      <c r="O889" s="5">
        <f t="shared" si="158"/>
        <v>1.7055839757581959E-2</v>
      </c>
      <c r="P889">
        <f t="shared" si="166"/>
        <v>10000</v>
      </c>
      <c r="Q889">
        <f t="shared" si="159"/>
        <v>170.55839757581958</v>
      </c>
    </row>
    <row r="890" spans="1:17" x14ac:dyDescent="0.15">
      <c r="A890" s="10">
        <v>45898.465277777985</v>
      </c>
      <c r="B890">
        <f>COUNT(A890:$A$1158)/(48*252)</f>
        <v>2.2238756613756613E-2</v>
      </c>
      <c r="C890">
        <v>2.3380000000000001</v>
      </c>
      <c r="D890">
        <v>0.13200000000000001</v>
      </c>
      <c r="E890">
        <f t="shared" si="156"/>
        <v>0.90225842092151876</v>
      </c>
      <c r="F890">
        <f t="shared" si="157"/>
        <v>0.81654019633069441</v>
      </c>
      <c r="G890">
        <f t="shared" si="160"/>
        <v>-9.9999999999988987E-4</v>
      </c>
      <c r="H890">
        <f>IF(MOD(COUNTA($C$7:C890)-1,$J$2),H889,ROUND(F890*P890,-2))</f>
        <v>8200</v>
      </c>
      <c r="I890">
        <f t="shared" si="161"/>
        <v>0</v>
      </c>
      <c r="J890">
        <f t="shared" si="162"/>
        <v>0</v>
      </c>
      <c r="K890">
        <f t="shared" si="163"/>
        <v>-17277.646116958073</v>
      </c>
      <c r="L890">
        <f t="shared" si="164"/>
        <v>1893.9538830419297</v>
      </c>
      <c r="M890">
        <f t="shared" si="165"/>
        <v>-8.1999999999970896</v>
      </c>
      <c r="N890">
        <f t="shared" si="167"/>
        <v>1893.9538830419297</v>
      </c>
      <c r="O890" s="5">
        <f t="shared" si="158"/>
        <v>1.7158144041321433E-2</v>
      </c>
      <c r="P890">
        <f t="shared" si="166"/>
        <v>10000</v>
      </c>
      <c r="Q890">
        <f t="shared" si="159"/>
        <v>171.58144041321432</v>
      </c>
    </row>
    <row r="891" spans="1:17" x14ac:dyDescent="0.15">
      <c r="A891" s="10">
        <v>45898.46875</v>
      </c>
      <c r="B891">
        <f>COUNT(A891:$A$1158)/(48*252)</f>
        <v>2.2156084656084655E-2</v>
      </c>
      <c r="C891">
        <v>2.3410000000000002</v>
      </c>
      <c r="D891">
        <v>0.13200000000000001</v>
      </c>
      <c r="E891">
        <f t="shared" si="156"/>
        <v>0.9218780867293096</v>
      </c>
      <c r="F891">
        <f t="shared" si="157"/>
        <v>0.82170391473518101</v>
      </c>
      <c r="G891">
        <f t="shared" si="160"/>
        <v>3.0000000000001137E-3</v>
      </c>
      <c r="H891">
        <f>IF(MOD(COUNTA($C$7:C891)-1,$J$2),H890,ROUND(F891*P891,-2))</f>
        <v>8200</v>
      </c>
      <c r="I891">
        <f t="shared" si="161"/>
        <v>0</v>
      </c>
      <c r="J891">
        <f t="shared" si="162"/>
        <v>0</v>
      </c>
      <c r="K891">
        <f t="shared" si="163"/>
        <v>-17277.646116958073</v>
      </c>
      <c r="L891">
        <f t="shared" si="164"/>
        <v>1918.5538830419282</v>
      </c>
      <c r="M891">
        <f t="shared" si="165"/>
        <v>24.599999999998545</v>
      </c>
      <c r="N891">
        <f t="shared" si="167"/>
        <v>1918.5538830419282</v>
      </c>
      <c r="O891" s="5">
        <f t="shared" si="158"/>
        <v>1.6535333815915154E-2</v>
      </c>
      <c r="P891">
        <f t="shared" si="166"/>
        <v>10000</v>
      </c>
      <c r="Q891">
        <f t="shared" si="159"/>
        <v>165.35333815915155</v>
      </c>
    </row>
    <row r="892" spans="1:17" x14ac:dyDescent="0.15">
      <c r="A892" s="10">
        <v>45898.472222222015</v>
      </c>
      <c r="B892">
        <f>COUNT(A892:$A$1158)/(48*252)</f>
        <v>2.20734126984127E-2</v>
      </c>
      <c r="C892">
        <v>2.3370000000000002</v>
      </c>
      <c r="D892">
        <v>0.128</v>
      </c>
      <c r="E892">
        <f t="shared" si="156"/>
        <v>0.89924493455686261</v>
      </c>
      <c r="F892">
        <f t="shared" si="157"/>
        <v>0.81573889461405469</v>
      </c>
      <c r="G892">
        <f t="shared" si="160"/>
        <v>-4.0000000000000036E-3</v>
      </c>
      <c r="H892">
        <f>IF(MOD(COUNTA($C$7:C892)-1,$J$2),H891,ROUND(F892*P892,-2))</f>
        <v>8200</v>
      </c>
      <c r="I892">
        <f t="shared" si="161"/>
        <v>0</v>
      </c>
      <c r="J892">
        <f t="shared" si="162"/>
        <v>0</v>
      </c>
      <c r="K892">
        <f t="shared" si="163"/>
        <v>-17277.646116958073</v>
      </c>
      <c r="L892">
        <f t="shared" si="164"/>
        <v>1885.7538830419289</v>
      </c>
      <c r="M892">
        <f t="shared" si="165"/>
        <v>-32.799999999999272</v>
      </c>
      <c r="N892">
        <f t="shared" si="167"/>
        <v>1885.7538830419289</v>
      </c>
      <c r="O892" s="5">
        <f t="shared" si="158"/>
        <v>1.7179957049661798E-2</v>
      </c>
      <c r="P892">
        <f t="shared" si="166"/>
        <v>10000</v>
      </c>
      <c r="Q892">
        <f t="shared" si="159"/>
        <v>171.79957049661797</v>
      </c>
    </row>
    <row r="893" spans="1:17" x14ac:dyDescent="0.15">
      <c r="A893" s="10">
        <v>45898.475694444962</v>
      </c>
      <c r="B893">
        <f>COUNT(A893:$A$1158)/(48*252)</f>
        <v>2.1990740740740741E-2</v>
      </c>
      <c r="C893">
        <v>2.3460000000000001</v>
      </c>
      <c r="D893">
        <v>0.13300000000000001</v>
      </c>
      <c r="E893">
        <f t="shared" si="156"/>
        <v>0.95523839317678116</v>
      </c>
      <c r="F893">
        <f t="shared" si="157"/>
        <v>0.83027142284401989</v>
      </c>
      <c r="G893">
        <f t="shared" si="160"/>
        <v>8.999999999999897E-3</v>
      </c>
      <c r="H893">
        <f>IF(MOD(COUNTA($C$7:C893)-1,$J$2),H892,ROUND(F893*P893,-2))</f>
        <v>8200</v>
      </c>
      <c r="I893">
        <f t="shared" si="161"/>
        <v>0</v>
      </c>
      <c r="J893">
        <f t="shared" si="162"/>
        <v>0</v>
      </c>
      <c r="K893">
        <f t="shared" si="163"/>
        <v>-17277.646116958073</v>
      </c>
      <c r="L893">
        <f t="shared" si="164"/>
        <v>1959.5538830419282</v>
      </c>
      <c r="M893">
        <f t="shared" si="165"/>
        <v>73.799999999999272</v>
      </c>
      <c r="N893">
        <f t="shared" si="167"/>
        <v>1959.5538830419282</v>
      </c>
      <c r="O893" s="5">
        <f t="shared" si="158"/>
        <v>1.550810974690553E-2</v>
      </c>
      <c r="P893">
        <f t="shared" si="166"/>
        <v>10000</v>
      </c>
      <c r="Q893">
        <f t="shared" si="159"/>
        <v>155.08109746905529</v>
      </c>
    </row>
    <row r="894" spans="1:17" x14ac:dyDescent="0.15">
      <c r="A894" s="10">
        <v>45898.479166666977</v>
      </c>
      <c r="B894">
        <f>COUNT(A894:$A$1158)/(48*252)</f>
        <v>2.1908068783068783E-2</v>
      </c>
      <c r="C894">
        <v>2.3570000000000002</v>
      </c>
      <c r="D894">
        <v>0.14000000000000001</v>
      </c>
      <c r="E894">
        <f t="shared" si="156"/>
        <v>1.0232903321459217</v>
      </c>
      <c r="F894">
        <f t="shared" si="157"/>
        <v>0.84691470326930529</v>
      </c>
      <c r="G894">
        <f t="shared" si="160"/>
        <v>1.1000000000000121E-2</v>
      </c>
      <c r="H894">
        <f>IF(MOD(COUNTA($C$7:C894)-1,$J$2),H893,ROUND(F894*P894,-2))</f>
        <v>8200</v>
      </c>
      <c r="I894">
        <f t="shared" si="161"/>
        <v>0</v>
      </c>
      <c r="J894">
        <f t="shared" si="162"/>
        <v>0</v>
      </c>
      <c r="K894">
        <f t="shared" si="163"/>
        <v>-17277.646116958073</v>
      </c>
      <c r="L894">
        <f t="shared" si="164"/>
        <v>2049.7538830419289</v>
      </c>
      <c r="M894">
        <f t="shared" si="165"/>
        <v>90.200000000000728</v>
      </c>
      <c r="N894">
        <f t="shared" si="167"/>
        <v>2049.7538830419289</v>
      </c>
      <c r="O894" s="5">
        <f t="shared" si="158"/>
        <v>1.3658301064923051E-2</v>
      </c>
      <c r="P894">
        <f t="shared" si="166"/>
        <v>10000</v>
      </c>
      <c r="Q894">
        <f t="shared" si="159"/>
        <v>136.58301064923052</v>
      </c>
    </row>
    <row r="895" spans="1:17" x14ac:dyDescent="0.15">
      <c r="A895" s="10">
        <v>45898.545138888992</v>
      </c>
      <c r="B895">
        <f>COUNT(A895:$A$1158)/(48*252)</f>
        <v>2.1825396825396824E-2</v>
      </c>
      <c r="C895">
        <v>2.36</v>
      </c>
      <c r="D895">
        <v>0.14099999999999999</v>
      </c>
      <c r="E895">
        <f t="shared" si="156"/>
        <v>1.0431528931015153</v>
      </c>
      <c r="F895">
        <f t="shared" si="157"/>
        <v>0.8515612566081695</v>
      </c>
      <c r="G895">
        <f t="shared" si="160"/>
        <v>2.9999999999996696E-3</v>
      </c>
      <c r="H895">
        <f>IF(MOD(COUNTA($C$7:C895)-1,$J$2),H894,ROUND(F895*P895,-2))</f>
        <v>8500</v>
      </c>
      <c r="I895">
        <f t="shared" si="161"/>
        <v>300</v>
      </c>
      <c r="J895">
        <f t="shared" si="162"/>
        <v>0</v>
      </c>
      <c r="K895">
        <f t="shared" si="163"/>
        <v>-17985.677976958072</v>
      </c>
      <c r="L895">
        <f t="shared" si="164"/>
        <v>2074.3220230419283</v>
      </c>
      <c r="M895">
        <f t="shared" si="165"/>
        <v>24.568139999999403</v>
      </c>
      <c r="N895">
        <f t="shared" si="167"/>
        <v>2074.3220230419283</v>
      </c>
      <c r="O895" s="5">
        <f t="shared" si="158"/>
        <v>1.3133563596483711E-2</v>
      </c>
      <c r="P895">
        <f t="shared" si="166"/>
        <v>10000</v>
      </c>
      <c r="Q895">
        <f t="shared" si="159"/>
        <v>131.33563596483711</v>
      </c>
    </row>
    <row r="896" spans="1:17" x14ac:dyDescent="0.15">
      <c r="A896" s="10">
        <v>45898.548611111008</v>
      </c>
      <c r="B896">
        <f>COUNT(A896:$A$1158)/(48*252)</f>
        <v>2.1742724867724869E-2</v>
      </c>
      <c r="C896">
        <v>2.3639999999999999</v>
      </c>
      <c r="D896">
        <v>0.14299999999999999</v>
      </c>
      <c r="E896">
        <f t="shared" si="156"/>
        <v>1.0691018104242993</v>
      </c>
      <c r="F896">
        <f t="shared" si="157"/>
        <v>0.85748810201461401</v>
      </c>
      <c r="G896">
        <f t="shared" si="160"/>
        <v>4.0000000000000036E-3</v>
      </c>
      <c r="H896">
        <f>IF(MOD(COUNTA($C$7:C896)-1,$J$2),H895,ROUND(F896*P896,-2))</f>
        <v>8500</v>
      </c>
      <c r="I896">
        <f t="shared" si="161"/>
        <v>0</v>
      </c>
      <c r="J896">
        <f t="shared" si="162"/>
        <v>0</v>
      </c>
      <c r="K896">
        <f t="shared" si="163"/>
        <v>-17985.677976958072</v>
      </c>
      <c r="L896">
        <f t="shared" si="164"/>
        <v>2108.3220230419283</v>
      </c>
      <c r="M896">
        <f t="shared" si="165"/>
        <v>34</v>
      </c>
      <c r="N896">
        <f t="shared" si="167"/>
        <v>2108.3220230419283</v>
      </c>
      <c r="O896" s="5">
        <f t="shared" si="158"/>
        <v>1.2480701504837988E-2</v>
      </c>
      <c r="P896">
        <f t="shared" si="166"/>
        <v>10000</v>
      </c>
      <c r="Q896">
        <f t="shared" si="159"/>
        <v>124.80701504837988</v>
      </c>
    </row>
    <row r="897" spans="1:17" x14ac:dyDescent="0.15">
      <c r="A897" s="10">
        <v>45898.552083333023</v>
      </c>
      <c r="B897">
        <f>COUNT(A897:$A$1158)/(48*252)</f>
        <v>2.1660052910052911E-2</v>
      </c>
      <c r="C897">
        <v>2.355</v>
      </c>
      <c r="D897">
        <v>0.14000000000000001</v>
      </c>
      <c r="E897">
        <f t="shared" si="156"/>
        <v>1.0165030314732013</v>
      </c>
      <c r="F897">
        <f t="shared" si="157"/>
        <v>0.84530504767237591</v>
      </c>
      <c r="G897">
        <f t="shared" si="160"/>
        <v>-8.999999999999897E-3</v>
      </c>
      <c r="H897">
        <f>IF(MOD(COUNTA($C$7:C897)-1,$J$2),H896,ROUND(F897*P897,-2))</f>
        <v>8500</v>
      </c>
      <c r="I897">
        <f t="shared" si="161"/>
        <v>0</v>
      </c>
      <c r="J897">
        <f t="shared" si="162"/>
        <v>0</v>
      </c>
      <c r="K897">
        <f t="shared" si="163"/>
        <v>-17985.677976958072</v>
      </c>
      <c r="L897">
        <f t="shared" si="164"/>
        <v>2031.8220230419283</v>
      </c>
      <c r="M897">
        <f t="shared" si="165"/>
        <v>-76.5</v>
      </c>
      <c r="N897">
        <f t="shared" si="167"/>
        <v>2031.8220230419283</v>
      </c>
      <c r="O897" s="5">
        <f t="shared" si="158"/>
        <v>1.3745497272474594E-2</v>
      </c>
      <c r="P897">
        <f t="shared" si="166"/>
        <v>10000</v>
      </c>
      <c r="Q897">
        <f t="shared" si="159"/>
        <v>137.45497272474594</v>
      </c>
    </row>
    <row r="898" spans="1:17" x14ac:dyDescent="0.15">
      <c r="A898" s="10">
        <v>45898.555555555969</v>
      </c>
      <c r="B898">
        <f>COUNT(A898:$A$1158)/(48*252)</f>
        <v>2.1577380952380952E-2</v>
      </c>
      <c r="C898">
        <v>2.355</v>
      </c>
      <c r="D898">
        <v>0.14299999999999999</v>
      </c>
      <c r="E898">
        <f t="shared" si="156"/>
        <v>1.0182791099904471</v>
      </c>
      <c r="F898">
        <f t="shared" si="157"/>
        <v>0.8457273334608687</v>
      </c>
      <c r="G898">
        <f t="shared" si="160"/>
        <v>0</v>
      </c>
      <c r="H898">
        <f>IF(MOD(COUNTA($C$7:C898)-1,$J$2),H897,ROUND(F898*P898,-2))</f>
        <v>8500</v>
      </c>
      <c r="I898">
        <f t="shared" si="161"/>
        <v>0</v>
      </c>
      <c r="J898">
        <f t="shared" si="162"/>
        <v>0</v>
      </c>
      <c r="K898">
        <f t="shared" si="163"/>
        <v>-17985.677976958072</v>
      </c>
      <c r="L898">
        <f t="shared" si="164"/>
        <v>2031.8220230419283</v>
      </c>
      <c r="M898">
        <f t="shared" si="165"/>
        <v>0</v>
      </c>
      <c r="N898">
        <f t="shared" si="167"/>
        <v>2031.8220230419283</v>
      </c>
      <c r="O898" s="5">
        <f t="shared" si="158"/>
        <v>1.3671530365133078E-2</v>
      </c>
      <c r="P898">
        <f t="shared" si="166"/>
        <v>10000</v>
      </c>
      <c r="Q898">
        <f t="shared" si="159"/>
        <v>136.71530365133077</v>
      </c>
    </row>
    <row r="899" spans="1:17" x14ac:dyDescent="0.15">
      <c r="A899" s="10">
        <v>45898.559027777985</v>
      </c>
      <c r="B899">
        <f>COUNT(A899:$A$1158)/(48*252)</f>
        <v>2.1494708994708994E-2</v>
      </c>
      <c r="C899">
        <v>2.3460000000000001</v>
      </c>
      <c r="D899">
        <v>0.13500000000000001</v>
      </c>
      <c r="E899">
        <f t="shared" si="156"/>
        <v>0.96517925536943616</v>
      </c>
      <c r="F899">
        <f t="shared" si="157"/>
        <v>0.83277248226156408</v>
      </c>
      <c r="G899">
        <f t="shared" si="160"/>
        <v>-8.999999999999897E-3</v>
      </c>
      <c r="H899">
        <f>IF(MOD(COUNTA($C$7:C899)-1,$J$2),H898,ROUND(F899*P899,-2))</f>
        <v>8500</v>
      </c>
      <c r="I899">
        <f t="shared" si="161"/>
        <v>0</v>
      </c>
      <c r="J899">
        <f t="shared" si="162"/>
        <v>0</v>
      </c>
      <c r="K899">
        <f t="shared" si="163"/>
        <v>-17985.677976958072</v>
      </c>
      <c r="L899">
        <f t="shared" si="164"/>
        <v>1955.3220230419283</v>
      </c>
      <c r="M899">
        <f t="shared" si="165"/>
        <v>-76.5</v>
      </c>
      <c r="N899">
        <f t="shared" si="167"/>
        <v>1955.3220230419283</v>
      </c>
      <c r="O899" s="5">
        <f t="shared" si="158"/>
        <v>1.5041810868953287E-2</v>
      </c>
      <c r="P899">
        <f t="shared" si="166"/>
        <v>10000</v>
      </c>
      <c r="Q899">
        <f t="shared" si="159"/>
        <v>150.41810868953286</v>
      </c>
    </row>
    <row r="900" spans="1:17" x14ac:dyDescent="0.15">
      <c r="A900" s="10">
        <v>45898.5625</v>
      </c>
      <c r="B900">
        <f>COUNT(A900:$A$1158)/(48*252)</f>
        <v>2.1412037037037038E-2</v>
      </c>
      <c r="C900">
        <v>2.3479999999999999</v>
      </c>
      <c r="D900">
        <v>0.13800000000000001</v>
      </c>
      <c r="E900">
        <f t="shared" si="156"/>
        <v>0.9791094368145995</v>
      </c>
      <c r="F900">
        <f t="shared" si="157"/>
        <v>0.83623704531217025</v>
      </c>
      <c r="G900">
        <f t="shared" si="160"/>
        <v>1.9999999999997797E-3</v>
      </c>
      <c r="H900">
        <f>IF(MOD(COUNTA($C$7:C900)-1,$J$2),H899,ROUND(F900*P900,-2))</f>
        <v>8500</v>
      </c>
      <c r="I900">
        <f t="shared" si="161"/>
        <v>0</v>
      </c>
      <c r="J900">
        <f t="shared" si="162"/>
        <v>0</v>
      </c>
      <c r="K900">
        <f t="shared" si="163"/>
        <v>-17985.677976958072</v>
      </c>
      <c r="L900">
        <f t="shared" si="164"/>
        <v>1972.3220230419283</v>
      </c>
      <c r="M900">
        <f t="shared" si="165"/>
        <v>17</v>
      </c>
      <c r="N900">
        <f t="shared" si="167"/>
        <v>1972.3220230419283</v>
      </c>
      <c r="O900" s="5">
        <f t="shared" si="158"/>
        <v>1.4633440612492055E-2</v>
      </c>
      <c r="P900">
        <f t="shared" si="166"/>
        <v>10000</v>
      </c>
      <c r="Q900">
        <f t="shared" si="159"/>
        <v>146.33440612492055</v>
      </c>
    </row>
    <row r="901" spans="1:17" x14ac:dyDescent="0.15">
      <c r="A901" s="10">
        <v>45898.565972222015</v>
      </c>
      <c r="B901">
        <f>COUNT(A901:$A$1158)/(48*252)</f>
        <v>2.132936507936508E-2</v>
      </c>
      <c r="C901">
        <v>2.3319999999999999</v>
      </c>
      <c r="D901">
        <v>0.13</v>
      </c>
      <c r="E901">
        <f t="shared" si="156"/>
        <v>0.88244147403868733</v>
      </c>
      <c r="F901">
        <f t="shared" si="157"/>
        <v>0.8112309420225331</v>
      </c>
      <c r="G901">
        <f t="shared" si="160"/>
        <v>-1.6000000000000014E-2</v>
      </c>
      <c r="H901">
        <f>IF(MOD(COUNTA($C$7:C901)-1,$J$2),H900,ROUND(F901*P901,-2))</f>
        <v>8100</v>
      </c>
      <c r="I901">
        <f t="shared" si="161"/>
        <v>-400</v>
      </c>
      <c r="J901">
        <f t="shared" si="162"/>
        <v>0</v>
      </c>
      <c r="K901">
        <f t="shared" si="163"/>
        <v>-17052.919952958073</v>
      </c>
      <c r="L901">
        <f t="shared" si="164"/>
        <v>1836.2800470419243</v>
      </c>
      <c r="M901">
        <f t="shared" si="165"/>
        <v>-136.04197600000407</v>
      </c>
      <c r="N901">
        <f t="shared" si="167"/>
        <v>1836.2800470419243</v>
      </c>
      <c r="O901" s="5">
        <f t="shared" si="158"/>
        <v>1.7369967191284919E-2</v>
      </c>
      <c r="P901">
        <f t="shared" si="166"/>
        <v>10000</v>
      </c>
      <c r="Q901">
        <f t="shared" si="159"/>
        <v>173.6996719128492</v>
      </c>
    </row>
    <row r="902" spans="1:17" x14ac:dyDescent="0.15">
      <c r="A902" s="10">
        <v>45898.569444444962</v>
      </c>
      <c r="B902">
        <f>COUNT(A902:$A$1158)/(48*252)</f>
        <v>2.1246693121693121E-2</v>
      </c>
      <c r="C902">
        <v>2.3330000000000002</v>
      </c>
      <c r="D902">
        <v>0.128</v>
      </c>
      <c r="E902">
        <f t="shared" si="156"/>
        <v>0.89016724212375931</v>
      </c>
      <c r="F902">
        <f t="shared" si="157"/>
        <v>0.81331195435200609</v>
      </c>
      <c r="G902">
        <f t="shared" si="160"/>
        <v>1.000000000000334E-3</v>
      </c>
      <c r="H902">
        <f>IF(MOD(COUNTA($C$7:C902)-1,$J$2),H901,ROUND(F902*P902,-2))</f>
        <v>8100</v>
      </c>
      <c r="I902">
        <f t="shared" si="161"/>
        <v>0</v>
      </c>
      <c r="J902">
        <f t="shared" si="162"/>
        <v>0</v>
      </c>
      <c r="K902">
        <f t="shared" si="163"/>
        <v>-17052.919952958073</v>
      </c>
      <c r="L902">
        <f t="shared" si="164"/>
        <v>1844.3800470419301</v>
      </c>
      <c r="M902">
        <f t="shared" si="165"/>
        <v>8.1000000000058208</v>
      </c>
      <c r="N902">
        <f t="shared" si="167"/>
        <v>1844.3800470419301</v>
      </c>
      <c r="O902" s="5">
        <f t="shared" si="158"/>
        <v>1.7098671030154222E-2</v>
      </c>
      <c r="P902">
        <f t="shared" si="166"/>
        <v>10000</v>
      </c>
      <c r="Q902">
        <f t="shared" si="159"/>
        <v>170.98671030154222</v>
      </c>
    </row>
    <row r="903" spans="1:17" x14ac:dyDescent="0.15">
      <c r="A903" s="10">
        <v>45898.572916666977</v>
      </c>
      <c r="B903">
        <f>COUNT(A903:$A$1158)/(48*252)</f>
        <v>2.1164021164021163E-2</v>
      </c>
      <c r="C903">
        <v>2.331</v>
      </c>
      <c r="D903">
        <v>0.129</v>
      </c>
      <c r="E903">
        <f t="shared" si="156"/>
        <v>0.87934370834331899</v>
      </c>
      <c r="F903">
        <f t="shared" si="157"/>
        <v>0.81039252812826135</v>
      </c>
      <c r="G903">
        <f t="shared" si="160"/>
        <v>-2.0000000000002238E-3</v>
      </c>
      <c r="H903">
        <f>IF(MOD(COUNTA($C$7:C903)-1,$J$2),H902,ROUND(F903*P903,-2))</f>
        <v>8100</v>
      </c>
      <c r="I903">
        <f t="shared" si="161"/>
        <v>0</v>
      </c>
      <c r="J903">
        <f t="shared" si="162"/>
        <v>0</v>
      </c>
      <c r="K903">
        <f t="shared" si="163"/>
        <v>-17052.919952958073</v>
      </c>
      <c r="L903">
        <f t="shared" si="164"/>
        <v>1828.1800470419257</v>
      </c>
      <c r="M903">
        <f t="shared" si="165"/>
        <v>-16.200000000004366</v>
      </c>
      <c r="N903">
        <f t="shared" si="167"/>
        <v>1828.1800470419257</v>
      </c>
      <c r="O903" s="5">
        <f t="shared" si="158"/>
        <v>1.7391130933682775E-2</v>
      </c>
      <c r="P903">
        <f t="shared" si="166"/>
        <v>10000</v>
      </c>
      <c r="Q903">
        <f t="shared" si="159"/>
        <v>173.91130933682774</v>
      </c>
    </row>
    <row r="904" spans="1:17" x14ac:dyDescent="0.15">
      <c r="A904" s="10">
        <v>45898.576388888992</v>
      </c>
      <c r="B904">
        <f>COUNT(A904:$A$1158)/(48*252)</f>
        <v>2.1081349206349208E-2</v>
      </c>
      <c r="C904">
        <v>2.319</v>
      </c>
      <c r="D904">
        <v>0.121</v>
      </c>
      <c r="E904">
        <f t="shared" ref="E904:E967" si="168">(LN(C904/$B$2)+($B$1+0.5*$D$1*$D$1)*B904)/($D$1*SQRT(B904))</f>
        <v>0.80618833183906535</v>
      </c>
      <c r="F904">
        <f t="shared" ref="F904:F967" si="169">NORMSDIST(E904)</f>
        <v>0.78993286724286482</v>
      </c>
      <c r="G904">
        <f t="shared" si="160"/>
        <v>-1.2000000000000011E-2</v>
      </c>
      <c r="H904">
        <f>IF(MOD(COUNTA($C$7:C904)-1,$J$2),H903,ROUND(F904*P904,-2))</f>
        <v>8100</v>
      </c>
      <c r="I904">
        <f t="shared" si="161"/>
        <v>0</v>
      </c>
      <c r="J904">
        <f t="shared" si="162"/>
        <v>0</v>
      </c>
      <c r="K904">
        <f t="shared" si="163"/>
        <v>-17052.919952958073</v>
      </c>
      <c r="L904">
        <f t="shared" si="164"/>
        <v>1730.980047041925</v>
      </c>
      <c r="M904">
        <f t="shared" si="165"/>
        <v>-97.200000000000728</v>
      </c>
      <c r="N904">
        <f t="shared" si="167"/>
        <v>1730.980047041925</v>
      </c>
      <c r="O904" s="5">
        <f t="shared" ref="O904:O967" si="170">put_bs($B$1,$J$1,C904,$B$2,B904)</f>
        <v>1.9700934187859342E-2</v>
      </c>
      <c r="P904">
        <f t="shared" si="166"/>
        <v>10000</v>
      </c>
      <c r="Q904">
        <f t="shared" ref="Q904:Q967" si="171">P904*O904</f>
        <v>197.00934187859343</v>
      </c>
    </row>
    <row r="905" spans="1:17" x14ac:dyDescent="0.15">
      <c r="A905" s="10">
        <v>45898.579861111008</v>
      </c>
      <c r="B905">
        <f>COUNT(A905:$A$1158)/(48*252)</f>
        <v>2.0998677248677249E-2</v>
      </c>
      <c r="C905">
        <v>2.3050000000000002</v>
      </c>
      <c r="D905">
        <v>0.113</v>
      </c>
      <c r="E905">
        <f t="shared" si="168"/>
        <v>0.71978192822430753</v>
      </c>
      <c r="F905">
        <f t="shared" si="169"/>
        <v>0.7641703632796002</v>
      </c>
      <c r="G905">
        <f t="shared" ref="G905:G968" si="172">C905-C904</f>
        <v>-1.399999999999979E-2</v>
      </c>
      <c r="H905">
        <f>IF(MOD(COUNTA($C$7:C905)-1,$J$2),H904,ROUND(F905*P905,-2))</f>
        <v>8100</v>
      </c>
      <c r="I905">
        <f t="shared" ref="I905:I968" si="173">H905-H904</f>
        <v>0</v>
      </c>
      <c r="J905">
        <f t="shared" ref="J905:J968" si="174">J904</f>
        <v>0</v>
      </c>
      <c r="K905">
        <f t="shared" ref="K905:K968" si="175">K904-I905*C905-ABS(I905*C905*$F$2)</f>
        <v>-17052.919952958073</v>
      </c>
      <c r="L905">
        <f t="shared" ref="L905:L968" si="176">K905+H905*C905</f>
        <v>1617.5800470419272</v>
      </c>
      <c r="M905">
        <f t="shared" ref="M905:M968" si="177">L905-L904</f>
        <v>-113.39999999999782</v>
      </c>
      <c r="N905">
        <f t="shared" si="167"/>
        <v>1617.5800470419272</v>
      </c>
      <c r="O905" s="5">
        <f t="shared" si="170"/>
        <v>2.2727792954629233E-2</v>
      </c>
      <c r="P905">
        <f t="shared" ref="P905:P968" si="178">P904</f>
        <v>10000</v>
      </c>
      <c r="Q905">
        <f t="shared" si="171"/>
        <v>227.27792954629234</v>
      </c>
    </row>
    <row r="906" spans="1:17" x14ac:dyDescent="0.15">
      <c r="A906" s="10">
        <v>45898.583333333023</v>
      </c>
      <c r="B906">
        <f>COUNT(A906:$A$1158)/(48*252)</f>
        <v>2.0916005291005291E-2</v>
      </c>
      <c r="C906">
        <v>2.3050000000000002</v>
      </c>
      <c r="D906">
        <v>0.115</v>
      </c>
      <c r="E906">
        <f t="shared" si="168"/>
        <v>0.72103097852838416</v>
      </c>
      <c r="F906">
        <f t="shared" si="169"/>
        <v>0.76455477243388525</v>
      </c>
      <c r="G906">
        <f t="shared" si="172"/>
        <v>0</v>
      </c>
      <c r="H906">
        <f>IF(MOD(COUNTA($C$7:C906)-1,$J$2),H905,ROUND(F906*P906,-2))</f>
        <v>8100</v>
      </c>
      <c r="I906">
        <f t="shared" si="173"/>
        <v>0</v>
      </c>
      <c r="J906">
        <f t="shared" si="174"/>
        <v>0</v>
      </c>
      <c r="K906">
        <f t="shared" si="175"/>
        <v>-17052.919952958073</v>
      </c>
      <c r="L906">
        <f t="shared" si="176"/>
        <v>1617.5800470419272</v>
      </c>
      <c r="M906">
        <f t="shared" si="177"/>
        <v>0</v>
      </c>
      <c r="N906">
        <f t="shared" ref="N906:N969" si="179">L906-$F$1</f>
        <v>1617.5800470419272</v>
      </c>
      <c r="O906" s="5">
        <f t="shared" si="170"/>
        <v>2.263281411986573E-2</v>
      </c>
      <c r="P906">
        <f t="shared" si="178"/>
        <v>10000</v>
      </c>
      <c r="Q906">
        <f t="shared" si="171"/>
        <v>226.32814119865731</v>
      </c>
    </row>
    <row r="907" spans="1:17" x14ac:dyDescent="0.15">
      <c r="A907" s="10">
        <v>45898.586805555969</v>
      </c>
      <c r="B907">
        <f>COUNT(A907:$A$1158)/(48*252)</f>
        <v>2.0833333333333332E-2</v>
      </c>
      <c r="C907">
        <v>2.3149999999999999</v>
      </c>
      <c r="D907">
        <v>0.11899999999999999</v>
      </c>
      <c r="E907">
        <f t="shared" si="168"/>
        <v>0.78531932281915595</v>
      </c>
      <c r="F907">
        <f t="shared" si="169"/>
        <v>0.78386681530912672</v>
      </c>
      <c r="G907">
        <f t="shared" si="172"/>
        <v>9.9999999999997868E-3</v>
      </c>
      <c r="H907">
        <f>IF(MOD(COUNTA($C$7:C907)-1,$J$2),H906,ROUND(F907*P907,-2))</f>
        <v>7800</v>
      </c>
      <c r="I907">
        <f t="shared" si="173"/>
        <v>-300</v>
      </c>
      <c r="J907">
        <f t="shared" si="174"/>
        <v>0</v>
      </c>
      <c r="K907">
        <f t="shared" si="175"/>
        <v>-16358.451205458074</v>
      </c>
      <c r="L907">
        <f t="shared" si="176"/>
        <v>1698.5487945419263</v>
      </c>
      <c r="M907">
        <f t="shared" si="177"/>
        <v>80.968747499999154</v>
      </c>
      <c r="N907">
        <f t="shared" si="179"/>
        <v>1698.5487945419263</v>
      </c>
      <c r="O907" s="5">
        <f t="shared" si="170"/>
        <v>2.0282587073269132E-2</v>
      </c>
      <c r="P907">
        <f t="shared" si="178"/>
        <v>10000</v>
      </c>
      <c r="Q907">
        <f t="shared" si="171"/>
        <v>202.82587073269133</v>
      </c>
    </row>
    <row r="908" spans="1:17" x14ac:dyDescent="0.15">
      <c r="A908" s="10">
        <v>45898.590277777985</v>
      </c>
      <c r="B908">
        <f>COUNT(A908:$A$1158)/(48*252)</f>
        <v>2.0750661375661377E-2</v>
      </c>
      <c r="C908">
        <v>2.3109999999999999</v>
      </c>
      <c r="D908">
        <v>0.11600000000000001</v>
      </c>
      <c r="E908">
        <f t="shared" si="168"/>
        <v>0.76147943882701152</v>
      </c>
      <c r="F908">
        <f t="shared" si="169"/>
        <v>0.77681462235737597</v>
      </c>
      <c r="G908">
        <f t="shared" si="172"/>
        <v>-4.0000000000000036E-3</v>
      </c>
      <c r="H908">
        <f>IF(MOD(COUNTA($C$7:C908)-1,$J$2),H907,ROUND(F908*P908,-2))</f>
        <v>7800</v>
      </c>
      <c r="I908">
        <f t="shared" si="173"/>
        <v>0</v>
      </c>
      <c r="J908">
        <f t="shared" si="174"/>
        <v>0</v>
      </c>
      <c r="K908">
        <f t="shared" si="175"/>
        <v>-16358.451205458074</v>
      </c>
      <c r="L908">
        <f t="shared" si="176"/>
        <v>1667.3487945419256</v>
      </c>
      <c r="M908">
        <f t="shared" si="177"/>
        <v>-31.200000000000728</v>
      </c>
      <c r="N908">
        <f t="shared" si="179"/>
        <v>1667.3487945419256</v>
      </c>
      <c r="O908" s="5">
        <f t="shared" si="170"/>
        <v>2.1069148259752257E-2</v>
      </c>
      <c r="P908">
        <f t="shared" si="178"/>
        <v>10000</v>
      </c>
      <c r="Q908">
        <f t="shared" si="171"/>
        <v>210.69148259752257</v>
      </c>
    </row>
    <row r="909" spans="1:17" x14ac:dyDescent="0.15">
      <c r="A909" s="10">
        <v>45898.59375</v>
      </c>
      <c r="B909">
        <f>COUNT(A909:$A$1158)/(48*252)</f>
        <v>2.0667989417989419E-2</v>
      </c>
      <c r="C909">
        <v>2.3119999999999998</v>
      </c>
      <c r="D909">
        <v>0.11799999999999999</v>
      </c>
      <c r="E909">
        <f t="shared" si="168"/>
        <v>0.76915200637762438</v>
      </c>
      <c r="F909">
        <f t="shared" si="169"/>
        <v>0.77909846109645109</v>
      </c>
      <c r="G909">
        <f t="shared" si="172"/>
        <v>9.9999999999988987E-4</v>
      </c>
      <c r="H909">
        <f>IF(MOD(COUNTA($C$7:C909)-1,$J$2),H908,ROUND(F909*P909,-2))</f>
        <v>7800</v>
      </c>
      <c r="I909">
        <f t="shared" si="173"/>
        <v>0</v>
      </c>
      <c r="J909">
        <f t="shared" si="174"/>
        <v>0</v>
      </c>
      <c r="K909">
        <f t="shared" si="175"/>
        <v>-16358.451205458074</v>
      </c>
      <c r="L909">
        <f t="shared" si="176"/>
        <v>1675.1487945419249</v>
      </c>
      <c r="M909">
        <f t="shared" si="177"/>
        <v>7.7999999999992724</v>
      </c>
      <c r="N909">
        <f t="shared" si="179"/>
        <v>1675.1487945419249</v>
      </c>
      <c r="O909" s="5">
        <f t="shared" si="170"/>
        <v>2.0754389242010673E-2</v>
      </c>
      <c r="P909">
        <f t="shared" si="178"/>
        <v>10000</v>
      </c>
      <c r="Q909">
        <f t="shared" si="171"/>
        <v>207.54389242010674</v>
      </c>
    </row>
    <row r="910" spans="1:17" x14ac:dyDescent="0.15">
      <c r="A910" s="10">
        <v>45898.597222222015</v>
      </c>
      <c r="B910">
        <f>COUNT(A910:$A$1158)/(48*252)</f>
        <v>2.058531746031746E-2</v>
      </c>
      <c r="C910">
        <v>2.306</v>
      </c>
      <c r="D910">
        <v>0.114</v>
      </c>
      <c r="E910">
        <f t="shared" si="168"/>
        <v>0.73245902637930504</v>
      </c>
      <c r="F910">
        <f t="shared" si="169"/>
        <v>0.76805577866370545</v>
      </c>
      <c r="G910">
        <f t="shared" si="172"/>
        <v>-5.9999999999997833E-3</v>
      </c>
      <c r="H910">
        <f>IF(MOD(COUNTA($C$7:C910)-1,$J$2),H909,ROUND(F910*P910,-2))</f>
        <v>7800</v>
      </c>
      <c r="I910">
        <f t="shared" si="173"/>
        <v>0</v>
      </c>
      <c r="J910">
        <f t="shared" si="174"/>
        <v>0</v>
      </c>
      <c r="K910">
        <f t="shared" si="175"/>
        <v>-16358.451205458074</v>
      </c>
      <c r="L910">
        <f t="shared" si="176"/>
        <v>1628.3487945419256</v>
      </c>
      <c r="M910">
        <f t="shared" si="177"/>
        <v>-46.799999999999272</v>
      </c>
      <c r="N910">
        <f t="shared" si="179"/>
        <v>1628.3487945419256</v>
      </c>
      <c r="O910" s="5">
        <f t="shared" si="170"/>
        <v>2.2018923143004243E-2</v>
      </c>
      <c r="P910">
        <f t="shared" si="178"/>
        <v>10000</v>
      </c>
      <c r="Q910">
        <f t="shared" si="171"/>
        <v>220.18923143004244</v>
      </c>
    </row>
    <row r="911" spans="1:17" x14ac:dyDescent="0.15">
      <c r="A911" s="10">
        <v>45898.600694444962</v>
      </c>
      <c r="B911">
        <f>COUNT(A911:$A$1158)/(48*252)</f>
        <v>2.0502645502645502E-2</v>
      </c>
      <c r="C911">
        <v>2.3039999999999998</v>
      </c>
      <c r="D911">
        <v>0.112</v>
      </c>
      <c r="E911">
        <f t="shared" si="168"/>
        <v>0.72102539793046416</v>
      </c>
      <c r="F911">
        <f t="shared" si="169"/>
        <v>0.76455305571204146</v>
      </c>
      <c r="G911">
        <f t="shared" si="172"/>
        <v>-2.0000000000002238E-3</v>
      </c>
      <c r="H911">
        <f>IF(MOD(COUNTA($C$7:C911)-1,$J$2),H910,ROUND(F911*P911,-2))</f>
        <v>7800</v>
      </c>
      <c r="I911">
        <f t="shared" si="173"/>
        <v>0</v>
      </c>
      <c r="J911">
        <f t="shared" si="174"/>
        <v>0</v>
      </c>
      <c r="K911">
        <f t="shared" si="175"/>
        <v>-16358.451205458074</v>
      </c>
      <c r="L911">
        <f t="shared" si="176"/>
        <v>1612.7487945419234</v>
      </c>
      <c r="M911">
        <f t="shared" si="177"/>
        <v>-15.600000000002183</v>
      </c>
      <c r="N911">
        <f t="shared" si="179"/>
        <v>1612.7487945419234</v>
      </c>
      <c r="O911" s="5">
        <f t="shared" si="170"/>
        <v>2.2390796529048851E-2</v>
      </c>
      <c r="P911">
        <f t="shared" si="178"/>
        <v>10000</v>
      </c>
      <c r="Q911">
        <f t="shared" si="171"/>
        <v>223.90796529048851</v>
      </c>
    </row>
    <row r="912" spans="1:17" x14ac:dyDescent="0.15">
      <c r="A912" s="10">
        <v>45898.604166666977</v>
      </c>
      <c r="B912">
        <f>COUNT(A912:$A$1158)/(48*252)</f>
        <v>2.0419973544973546E-2</v>
      </c>
      <c r="C912">
        <v>2.3039999999999998</v>
      </c>
      <c r="D912">
        <v>0.11</v>
      </c>
      <c r="E912">
        <f t="shared" si="168"/>
        <v>0.72230937140709173</v>
      </c>
      <c r="F912">
        <f t="shared" si="169"/>
        <v>0.76494785375639529</v>
      </c>
      <c r="G912">
        <f t="shared" si="172"/>
        <v>0</v>
      </c>
      <c r="H912">
        <f>IF(MOD(COUNTA($C$7:C912)-1,$J$2),H911,ROUND(F912*P912,-2))</f>
        <v>7800</v>
      </c>
      <c r="I912">
        <f t="shared" si="173"/>
        <v>0</v>
      </c>
      <c r="J912">
        <f t="shared" si="174"/>
        <v>0</v>
      </c>
      <c r="K912">
        <f t="shared" si="175"/>
        <v>-16358.451205458074</v>
      </c>
      <c r="L912">
        <f t="shared" si="176"/>
        <v>1612.7487945419234</v>
      </c>
      <c r="M912">
        <f t="shared" si="177"/>
        <v>0</v>
      </c>
      <c r="N912">
        <f t="shared" si="179"/>
        <v>1612.7487945419234</v>
      </c>
      <c r="O912" s="5">
        <f t="shared" si="170"/>
        <v>2.2294783703444954E-2</v>
      </c>
      <c r="P912">
        <f t="shared" si="178"/>
        <v>10000</v>
      </c>
      <c r="Q912">
        <f t="shared" si="171"/>
        <v>222.94783703444955</v>
      </c>
    </row>
    <row r="913" spans="1:17" x14ac:dyDescent="0.15">
      <c r="A913" s="10">
        <v>45898.607638888992</v>
      </c>
      <c r="B913">
        <f>COUNT(A913:$A$1158)/(48*252)</f>
        <v>2.0337301587301588E-2</v>
      </c>
      <c r="C913">
        <v>2.2749999999999999</v>
      </c>
      <c r="D913">
        <v>9.1999999999999998E-2</v>
      </c>
      <c r="E913">
        <f t="shared" si="168"/>
        <v>0.53693561754409014</v>
      </c>
      <c r="F913">
        <f t="shared" si="169"/>
        <v>0.70434395646554349</v>
      </c>
      <c r="G913">
        <f t="shared" si="172"/>
        <v>-2.8999999999999915E-2</v>
      </c>
      <c r="H913">
        <f>IF(MOD(COUNTA($C$7:C913)-1,$J$2),H912,ROUND(F913*P913,-2))</f>
        <v>7000</v>
      </c>
      <c r="I913">
        <f t="shared" si="173"/>
        <v>-800</v>
      </c>
      <c r="J913">
        <f t="shared" si="174"/>
        <v>0</v>
      </c>
      <c r="K913">
        <f t="shared" si="175"/>
        <v>-14538.533105458073</v>
      </c>
      <c r="L913">
        <f t="shared" si="176"/>
        <v>1386.4668945419271</v>
      </c>
      <c r="M913">
        <f t="shared" si="177"/>
        <v>-226.28189999999631</v>
      </c>
      <c r="N913">
        <f t="shared" si="179"/>
        <v>1386.4668945419271</v>
      </c>
      <c r="O913" s="5">
        <f t="shared" si="170"/>
        <v>2.9868987303384498E-2</v>
      </c>
      <c r="P913">
        <f t="shared" si="178"/>
        <v>10000</v>
      </c>
      <c r="Q913">
        <f t="shared" si="171"/>
        <v>298.689873033845</v>
      </c>
    </row>
    <row r="914" spans="1:17" x14ac:dyDescent="0.15">
      <c r="A914" s="10">
        <v>45898.611111111008</v>
      </c>
      <c r="B914">
        <f>COUNT(A914:$A$1158)/(48*252)</f>
        <v>2.0254629629629629E-2</v>
      </c>
      <c r="C914">
        <v>2.2930000000000001</v>
      </c>
      <c r="D914">
        <v>9.9000000000000005E-2</v>
      </c>
      <c r="E914">
        <f t="shared" si="168"/>
        <v>0.65423188380031616</v>
      </c>
      <c r="F914">
        <f t="shared" si="169"/>
        <v>0.74351878852258613</v>
      </c>
      <c r="G914">
        <f t="shared" si="172"/>
        <v>1.8000000000000238E-2</v>
      </c>
      <c r="H914">
        <f>IF(MOD(COUNTA($C$7:C914)-1,$J$2),H913,ROUND(F914*P914,-2))</f>
        <v>7000</v>
      </c>
      <c r="I914">
        <f t="shared" si="173"/>
        <v>0</v>
      </c>
      <c r="J914">
        <f t="shared" si="174"/>
        <v>0</v>
      </c>
      <c r="K914">
        <f t="shared" si="175"/>
        <v>-14538.533105458073</v>
      </c>
      <c r="L914">
        <f t="shared" si="176"/>
        <v>1512.4668945419289</v>
      </c>
      <c r="M914">
        <f t="shared" si="177"/>
        <v>126.00000000000182</v>
      </c>
      <c r="N914">
        <f t="shared" si="179"/>
        <v>1512.4668945419289</v>
      </c>
      <c r="O914" s="5">
        <f t="shared" si="170"/>
        <v>2.4800395600185654E-2</v>
      </c>
      <c r="P914">
        <f t="shared" si="178"/>
        <v>10000</v>
      </c>
      <c r="Q914">
        <f t="shared" si="171"/>
        <v>248.00395600185655</v>
      </c>
    </row>
    <row r="915" spans="1:17" x14ac:dyDescent="0.15">
      <c r="A915" s="10">
        <v>45898.614583333023</v>
      </c>
      <c r="B915">
        <f>COUNT(A915:$A$1158)/(48*252)</f>
        <v>2.0171957671957671E-2</v>
      </c>
      <c r="C915">
        <v>2.2879999999999998</v>
      </c>
      <c r="D915">
        <v>9.8000000000000004E-2</v>
      </c>
      <c r="E915">
        <f t="shared" si="168"/>
        <v>0.62309508693423132</v>
      </c>
      <c r="F915">
        <f t="shared" si="169"/>
        <v>0.73338898094166038</v>
      </c>
      <c r="G915">
        <f t="shared" si="172"/>
        <v>-5.0000000000003375E-3</v>
      </c>
      <c r="H915">
        <f>IF(MOD(COUNTA($C$7:C915)-1,$J$2),H914,ROUND(F915*P915,-2))</f>
        <v>7000</v>
      </c>
      <c r="I915">
        <f t="shared" si="173"/>
        <v>0</v>
      </c>
      <c r="J915">
        <f t="shared" si="174"/>
        <v>0</v>
      </c>
      <c r="K915">
        <f t="shared" si="175"/>
        <v>-14538.533105458073</v>
      </c>
      <c r="L915">
        <f t="shared" si="176"/>
        <v>1477.4668945419253</v>
      </c>
      <c r="M915">
        <f t="shared" si="177"/>
        <v>-35.000000000003638</v>
      </c>
      <c r="N915">
        <f t="shared" si="179"/>
        <v>1477.4668945419253</v>
      </c>
      <c r="O915" s="5">
        <f t="shared" si="170"/>
        <v>2.6006475003640506E-2</v>
      </c>
      <c r="P915">
        <f t="shared" si="178"/>
        <v>10000</v>
      </c>
      <c r="Q915">
        <f t="shared" si="171"/>
        <v>260.06475003640503</v>
      </c>
    </row>
    <row r="916" spans="1:17" x14ac:dyDescent="0.15">
      <c r="A916" s="10">
        <v>45898.618055555969</v>
      </c>
      <c r="B916">
        <f>COUNT(A916:$A$1158)/(48*252)</f>
        <v>2.0089285714285716E-2</v>
      </c>
      <c r="C916">
        <v>2.3130000000000002</v>
      </c>
      <c r="D916">
        <v>0.11600000000000001</v>
      </c>
      <c r="E916">
        <f t="shared" si="168"/>
        <v>0.78533472624853162</v>
      </c>
      <c r="F916">
        <f t="shared" si="169"/>
        <v>0.78387132975464446</v>
      </c>
      <c r="G916">
        <f t="shared" si="172"/>
        <v>2.5000000000000355E-2</v>
      </c>
      <c r="H916">
        <f>IF(MOD(COUNTA($C$7:C916)-1,$J$2),H915,ROUND(F916*P916,-2))</f>
        <v>7000</v>
      </c>
      <c r="I916">
        <f t="shared" si="173"/>
        <v>0</v>
      </c>
      <c r="J916">
        <f t="shared" si="174"/>
        <v>0</v>
      </c>
      <c r="K916">
        <f t="shared" si="175"/>
        <v>-14538.533105458073</v>
      </c>
      <c r="L916">
        <f t="shared" si="176"/>
        <v>1652.4668945419289</v>
      </c>
      <c r="M916">
        <f t="shared" si="177"/>
        <v>175.00000000000364</v>
      </c>
      <c r="N916">
        <f t="shared" si="179"/>
        <v>1652.4668945419289</v>
      </c>
      <c r="O916" s="5">
        <f t="shared" si="170"/>
        <v>1.9887147991624388E-2</v>
      </c>
      <c r="P916">
        <f t="shared" si="178"/>
        <v>10000</v>
      </c>
      <c r="Q916">
        <f t="shared" si="171"/>
        <v>198.87147991624389</v>
      </c>
    </row>
    <row r="917" spans="1:17" x14ac:dyDescent="0.15">
      <c r="A917" s="10">
        <v>45898.621527777985</v>
      </c>
      <c r="B917">
        <f>COUNT(A917:$A$1158)/(48*252)</f>
        <v>2.0006613756613757E-2</v>
      </c>
      <c r="C917">
        <v>2.3069999999999999</v>
      </c>
      <c r="D917">
        <v>0.107</v>
      </c>
      <c r="E917">
        <f t="shared" si="168"/>
        <v>0.74818738880492852</v>
      </c>
      <c r="F917">
        <f t="shared" si="169"/>
        <v>0.77282643164653064</v>
      </c>
      <c r="G917">
        <f t="shared" si="172"/>
        <v>-6.0000000000002274E-3</v>
      </c>
      <c r="H917">
        <f>IF(MOD(COUNTA($C$7:C917)-1,$J$2),H916,ROUND(F917*P917,-2))</f>
        <v>7000</v>
      </c>
      <c r="I917">
        <f t="shared" si="173"/>
        <v>0</v>
      </c>
      <c r="J917">
        <f t="shared" si="174"/>
        <v>0</v>
      </c>
      <c r="K917">
        <f t="shared" si="175"/>
        <v>-14538.533105458073</v>
      </c>
      <c r="L917">
        <f t="shared" si="176"/>
        <v>1610.4668945419271</v>
      </c>
      <c r="M917">
        <f t="shared" si="177"/>
        <v>-42.000000000001819</v>
      </c>
      <c r="N917">
        <f t="shared" si="179"/>
        <v>1610.4668945419271</v>
      </c>
      <c r="O917" s="5">
        <f t="shared" si="170"/>
        <v>2.1122773093786185E-2</v>
      </c>
      <c r="P917">
        <f t="shared" si="178"/>
        <v>10000</v>
      </c>
      <c r="Q917">
        <f t="shared" si="171"/>
        <v>211.22773093786185</v>
      </c>
    </row>
    <row r="918" spans="1:17" x14ac:dyDescent="0.15">
      <c r="A918" s="10">
        <v>45898.625</v>
      </c>
      <c r="B918">
        <f>COUNT(A918:$A$1158)/(48*252)</f>
        <v>1.9923941798941799E-2</v>
      </c>
      <c r="C918">
        <v>2.3199999999999998</v>
      </c>
      <c r="D918">
        <v>0.11</v>
      </c>
      <c r="E918">
        <f t="shared" si="168"/>
        <v>0.83322523346468214</v>
      </c>
      <c r="F918">
        <f t="shared" si="169"/>
        <v>0.79764114302704525</v>
      </c>
      <c r="G918">
        <f t="shared" si="172"/>
        <v>1.2999999999999901E-2</v>
      </c>
      <c r="H918">
        <f>IF(MOD(COUNTA($C$7:C918)-1,$J$2),H917,ROUND(F918*P918,-2))</f>
        <v>7000</v>
      </c>
      <c r="I918">
        <f t="shared" si="173"/>
        <v>0</v>
      </c>
      <c r="J918">
        <f t="shared" si="174"/>
        <v>0</v>
      </c>
      <c r="K918">
        <f t="shared" si="175"/>
        <v>-14538.533105458073</v>
      </c>
      <c r="L918">
        <f t="shared" si="176"/>
        <v>1701.4668945419253</v>
      </c>
      <c r="M918">
        <f t="shared" si="177"/>
        <v>90.999999999998181</v>
      </c>
      <c r="N918">
        <f t="shared" si="179"/>
        <v>1701.4668945419253</v>
      </c>
      <c r="O918" s="5">
        <f t="shared" si="170"/>
        <v>1.8239966018544829E-2</v>
      </c>
      <c r="P918">
        <f t="shared" si="178"/>
        <v>10000</v>
      </c>
      <c r="Q918">
        <f t="shared" si="171"/>
        <v>182.39966018544828</v>
      </c>
    </row>
    <row r="919" spans="1:17" x14ac:dyDescent="0.15">
      <c r="A919" s="10">
        <v>45899.399305555969</v>
      </c>
      <c r="B919">
        <f>COUNT(A919:$A$1158)/(48*252)</f>
        <v>1.984126984126984E-2</v>
      </c>
      <c r="C919">
        <v>2.31</v>
      </c>
      <c r="D919">
        <v>0.11600000000000001</v>
      </c>
      <c r="E919">
        <f t="shared" si="168"/>
        <v>0.77033408184696317</v>
      </c>
      <c r="F919">
        <f t="shared" si="169"/>
        <v>0.7794491278354384</v>
      </c>
      <c r="G919">
        <f t="shared" si="172"/>
        <v>-9.9999999999997868E-3</v>
      </c>
      <c r="H919">
        <f>IF(MOD(COUNTA($C$7:C919)-1,$J$2),H918,ROUND(F919*P919,-2))</f>
        <v>7800</v>
      </c>
      <c r="I919">
        <f t="shared" si="173"/>
        <v>800</v>
      </c>
      <c r="J919">
        <f t="shared" si="174"/>
        <v>0</v>
      </c>
      <c r="K919">
        <f t="shared" si="175"/>
        <v>-16386.616265458073</v>
      </c>
      <c r="L919">
        <f t="shared" si="176"/>
        <v>1631.383734541927</v>
      </c>
      <c r="M919">
        <f t="shared" si="177"/>
        <v>-70.083159999998315</v>
      </c>
      <c r="N919">
        <f t="shared" si="179"/>
        <v>1631.383734541927</v>
      </c>
      <c r="O919" s="5">
        <f t="shared" si="170"/>
        <v>2.0261478329869909E-2</v>
      </c>
      <c r="P919">
        <f t="shared" si="178"/>
        <v>10000</v>
      </c>
      <c r="Q919">
        <f t="shared" si="171"/>
        <v>202.61478329869908</v>
      </c>
    </row>
    <row r="920" spans="1:17" x14ac:dyDescent="0.15">
      <c r="A920" s="10">
        <v>45899.402777777985</v>
      </c>
      <c r="B920">
        <f>COUNT(A920:$A$1158)/(48*252)</f>
        <v>1.9758597883597885E-2</v>
      </c>
      <c r="C920">
        <v>2.3109999999999999</v>
      </c>
      <c r="D920">
        <v>0.11899999999999999</v>
      </c>
      <c r="E920">
        <f t="shared" si="168"/>
        <v>0.77823786607643863</v>
      </c>
      <c r="F920">
        <f t="shared" si="169"/>
        <v>0.78178560124073737</v>
      </c>
      <c r="G920">
        <f t="shared" si="172"/>
        <v>9.9999999999988987E-4</v>
      </c>
      <c r="H920">
        <f>IF(MOD(COUNTA($C$7:C920)-1,$J$2),H919,ROUND(F920*P920,-2))</f>
        <v>7800</v>
      </c>
      <c r="I920">
        <f t="shared" si="173"/>
        <v>0</v>
      </c>
      <c r="J920">
        <f t="shared" si="174"/>
        <v>0</v>
      </c>
      <c r="K920">
        <f t="shared" si="175"/>
        <v>-16386.616265458073</v>
      </c>
      <c r="L920">
        <f t="shared" si="176"/>
        <v>1639.1837345419262</v>
      </c>
      <c r="M920">
        <f t="shared" si="177"/>
        <v>7.7999999999992724</v>
      </c>
      <c r="N920">
        <f t="shared" si="179"/>
        <v>1639.1837345419262</v>
      </c>
      <c r="O920" s="5">
        <f t="shared" si="170"/>
        <v>1.9947930141232417E-2</v>
      </c>
      <c r="P920">
        <f t="shared" si="178"/>
        <v>10000</v>
      </c>
      <c r="Q920">
        <f t="shared" si="171"/>
        <v>199.47930141232416</v>
      </c>
    </row>
    <row r="921" spans="1:17" x14ac:dyDescent="0.15">
      <c r="A921" s="10">
        <v>45899.40625</v>
      </c>
      <c r="B921">
        <f>COUNT(A921:$A$1158)/(48*252)</f>
        <v>1.9675925925925927E-2</v>
      </c>
      <c r="C921">
        <v>2.31</v>
      </c>
      <c r="D921">
        <v>0.114</v>
      </c>
      <c r="E921">
        <f t="shared" si="168"/>
        <v>0.77320924952392034</v>
      </c>
      <c r="F921">
        <f t="shared" si="169"/>
        <v>0.78030072350631352</v>
      </c>
      <c r="G921">
        <f t="shared" si="172"/>
        <v>-9.9999999999988987E-4</v>
      </c>
      <c r="H921">
        <f>IF(MOD(COUNTA($C$7:C921)-1,$J$2),H920,ROUND(F921*P921,-2))</f>
        <v>7800</v>
      </c>
      <c r="I921">
        <f t="shared" si="173"/>
        <v>0</v>
      </c>
      <c r="J921">
        <f t="shared" si="174"/>
        <v>0</v>
      </c>
      <c r="K921">
        <f t="shared" si="175"/>
        <v>-16386.616265458073</v>
      </c>
      <c r="L921">
        <f t="shared" si="176"/>
        <v>1631.383734541927</v>
      </c>
      <c r="M921">
        <f t="shared" si="177"/>
        <v>-7.7999999999992724</v>
      </c>
      <c r="N921">
        <f t="shared" si="179"/>
        <v>1631.383734541927</v>
      </c>
      <c r="O921" s="5">
        <f t="shared" si="170"/>
        <v>2.007262410053301E-2</v>
      </c>
      <c r="P921">
        <f t="shared" si="178"/>
        <v>10000</v>
      </c>
      <c r="Q921">
        <f t="shared" si="171"/>
        <v>200.72624100533011</v>
      </c>
    </row>
    <row r="922" spans="1:17" x14ac:dyDescent="0.15">
      <c r="A922" s="10">
        <v>45899.409722222015</v>
      </c>
      <c r="B922">
        <f>COUNT(A922:$A$1158)/(48*252)</f>
        <v>1.9593253968253968E-2</v>
      </c>
      <c r="C922">
        <v>2.3039999999999998</v>
      </c>
      <c r="D922">
        <v>0.112</v>
      </c>
      <c r="E922">
        <f t="shared" si="168"/>
        <v>0.73561299328965868</v>
      </c>
      <c r="F922">
        <f t="shared" si="169"/>
        <v>0.76901687352960524</v>
      </c>
      <c r="G922">
        <f t="shared" si="172"/>
        <v>-6.0000000000002274E-3</v>
      </c>
      <c r="H922">
        <f>IF(MOD(COUNTA($C$7:C922)-1,$J$2),H921,ROUND(F922*P922,-2))</f>
        <v>7800</v>
      </c>
      <c r="I922">
        <f t="shared" si="173"/>
        <v>0</v>
      </c>
      <c r="J922">
        <f t="shared" si="174"/>
        <v>0</v>
      </c>
      <c r="K922">
        <f t="shared" si="175"/>
        <v>-16386.616265458073</v>
      </c>
      <c r="L922">
        <f t="shared" si="176"/>
        <v>1584.5837345419241</v>
      </c>
      <c r="M922">
        <f t="shared" si="177"/>
        <v>-46.80000000000291</v>
      </c>
      <c r="N922">
        <f t="shared" si="179"/>
        <v>1584.5837345419241</v>
      </c>
      <c r="O922" s="5">
        <f t="shared" si="170"/>
        <v>2.1328623271398395E-2</v>
      </c>
      <c r="P922">
        <f t="shared" si="178"/>
        <v>10000</v>
      </c>
      <c r="Q922">
        <f t="shared" si="171"/>
        <v>213.28623271398394</v>
      </c>
    </row>
    <row r="923" spans="1:17" x14ac:dyDescent="0.15">
      <c r="A923" s="10">
        <v>45899.413194444962</v>
      </c>
      <c r="B923">
        <f>COUNT(A923:$A$1158)/(48*252)</f>
        <v>1.9510582010582009E-2</v>
      </c>
      <c r="C923">
        <v>2.3090000000000002</v>
      </c>
      <c r="D923">
        <v>0.113</v>
      </c>
      <c r="E923">
        <f t="shared" si="168"/>
        <v>0.769607673885497</v>
      </c>
      <c r="F923">
        <f t="shared" si="169"/>
        <v>0.7792336742148146</v>
      </c>
      <c r="G923">
        <f t="shared" si="172"/>
        <v>5.0000000000003375E-3</v>
      </c>
      <c r="H923">
        <f>IF(MOD(COUNTA($C$7:C923)-1,$J$2),H922,ROUND(F923*P923,-2))</f>
        <v>7800</v>
      </c>
      <c r="I923">
        <f t="shared" si="173"/>
        <v>0</v>
      </c>
      <c r="J923">
        <f t="shared" si="174"/>
        <v>0</v>
      </c>
      <c r="K923">
        <f t="shared" si="175"/>
        <v>-16386.616265458073</v>
      </c>
      <c r="L923">
        <f t="shared" si="176"/>
        <v>1623.5837345419277</v>
      </c>
      <c r="M923">
        <f t="shared" si="177"/>
        <v>39.000000000003638</v>
      </c>
      <c r="N923">
        <f t="shared" si="179"/>
        <v>1623.5837345419277</v>
      </c>
      <c r="O923" s="5">
        <f t="shared" si="170"/>
        <v>2.010318416481871E-2</v>
      </c>
      <c r="P923">
        <f t="shared" si="178"/>
        <v>10000</v>
      </c>
      <c r="Q923">
        <f t="shared" si="171"/>
        <v>201.03184164818711</v>
      </c>
    </row>
    <row r="924" spans="1:17" x14ac:dyDescent="0.15">
      <c r="A924" s="10">
        <v>45899.416666666977</v>
      </c>
      <c r="B924">
        <f>COUNT(A924:$A$1158)/(48*252)</f>
        <v>1.9427910052910054E-2</v>
      </c>
      <c r="C924">
        <v>2.31</v>
      </c>
      <c r="D924">
        <v>0.114</v>
      </c>
      <c r="E924">
        <f t="shared" si="168"/>
        <v>0.77759345222204101</v>
      </c>
      <c r="F924">
        <f t="shared" si="169"/>
        <v>0.78159563882810368</v>
      </c>
      <c r="G924">
        <f t="shared" si="172"/>
        <v>9.9999999999988987E-4</v>
      </c>
      <c r="H924">
        <f>IF(MOD(COUNTA($C$7:C924)-1,$J$2),H923,ROUND(F924*P924,-2))</f>
        <v>7800</v>
      </c>
      <c r="I924">
        <f t="shared" si="173"/>
        <v>0</v>
      </c>
      <c r="J924">
        <f t="shared" si="174"/>
        <v>0</v>
      </c>
      <c r="K924">
        <f t="shared" si="175"/>
        <v>-16386.616265458073</v>
      </c>
      <c r="L924">
        <f t="shared" si="176"/>
        <v>1631.383734541927</v>
      </c>
      <c r="M924">
        <f t="shared" si="177"/>
        <v>7.7999999999992724</v>
      </c>
      <c r="N924">
        <f t="shared" si="179"/>
        <v>1631.383734541927</v>
      </c>
      <c r="O924" s="5">
        <f t="shared" si="170"/>
        <v>1.9788616697288819E-2</v>
      </c>
      <c r="P924">
        <f t="shared" si="178"/>
        <v>10000</v>
      </c>
      <c r="Q924">
        <f t="shared" si="171"/>
        <v>197.88616697288819</v>
      </c>
    </row>
    <row r="925" spans="1:17" x14ac:dyDescent="0.15">
      <c r="A925" s="10">
        <v>45899.420138888992</v>
      </c>
      <c r="B925">
        <f>COUNT(A925:$A$1158)/(48*252)</f>
        <v>1.9345238095238096E-2</v>
      </c>
      <c r="C925">
        <v>2.3079999999999998</v>
      </c>
      <c r="D925">
        <v>0.112</v>
      </c>
      <c r="E925">
        <f t="shared" si="168"/>
        <v>0.76598648914014911</v>
      </c>
      <c r="F925">
        <f t="shared" si="169"/>
        <v>0.77815782930731414</v>
      </c>
      <c r="G925">
        <f t="shared" si="172"/>
        <v>-2.0000000000002238E-3</v>
      </c>
      <c r="H925">
        <f>IF(MOD(COUNTA($C$7:C925)-1,$J$2),H924,ROUND(F925*P925,-2))</f>
        <v>7800</v>
      </c>
      <c r="I925">
        <f t="shared" si="173"/>
        <v>0</v>
      </c>
      <c r="J925">
        <f t="shared" si="174"/>
        <v>0</v>
      </c>
      <c r="K925">
        <f t="shared" si="175"/>
        <v>-16386.616265458073</v>
      </c>
      <c r="L925">
        <f t="shared" si="176"/>
        <v>1615.7837345419248</v>
      </c>
      <c r="M925">
        <f t="shared" si="177"/>
        <v>-15.600000000002183</v>
      </c>
      <c r="N925">
        <f t="shared" si="179"/>
        <v>1615.7837345419248</v>
      </c>
      <c r="O925" s="5">
        <f t="shared" si="170"/>
        <v>2.0133556829684096E-2</v>
      </c>
      <c r="P925">
        <f t="shared" si="178"/>
        <v>10000</v>
      </c>
      <c r="Q925">
        <f t="shared" si="171"/>
        <v>201.33556829684096</v>
      </c>
    </row>
    <row r="926" spans="1:17" x14ac:dyDescent="0.15">
      <c r="A926" s="10">
        <v>45899.423611111008</v>
      </c>
      <c r="B926">
        <f>COUNT(A926:$A$1158)/(48*252)</f>
        <v>1.9262566137566137E-2</v>
      </c>
      <c r="C926">
        <v>2.3170000000000002</v>
      </c>
      <c r="D926">
        <v>0.11799999999999999</v>
      </c>
      <c r="E926">
        <f t="shared" si="168"/>
        <v>0.82638141703079471</v>
      </c>
      <c r="F926">
        <f t="shared" si="169"/>
        <v>0.79570611925068624</v>
      </c>
      <c r="G926">
        <f t="shared" si="172"/>
        <v>9.0000000000003411E-3</v>
      </c>
      <c r="H926">
        <f>IF(MOD(COUNTA($C$7:C926)-1,$J$2),H925,ROUND(F926*P926,-2))</f>
        <v>7800</v>
      </c>
      <c r="I926">
        <f t="shared" si="173"/>
        <v>0</v>
      </c>
      <c r="J926">
        <f t="shared" si="174"/>
        <v>0</v>
      </c>
      <c r="K926">
        <f t="shared" si="175"/>
        <v>-16386.616265458073</v>
      </c>
      <c r="L926">
        <f t="shared" si="176"/>
        <v>1685.9837345419292</v>
      </c>
      <c r="M926">
        <f t="shared" si="177"/>
        <v>70.200000000004366</v>
      </c>
      <c r="N926">
        <f t="shared" si="179"/>
        <v>1685.9837345419292</v>
      </c>
      <c r="O926" s="5">
        <f t="shared" si="170"/>
        <v>1.8122720788723234E-2</v>
      </c>
      <c r="P926">
        <f t="shared" si="178"/>
        <v>10000</v>
      </c>
      <c r="Q926">
        <f t="shared" si="171"/>
        <v>181.22720788723234</v>
      </c>
    </row>
    <row r="927" spans="1:17" x14ac:dyDescent="0.15">
      <c r="A927" s="10">
        <v>45899.427083333023</v>
      </c>
      <c r="B927">
        <f>COUNT(A927:$A$1158)/(48*252)</f>
        <v>1.9179894179894179E-2</v>
      </c>
      <c r="C927">
        <v>2.3140000000000001</v>
      </c>
      <c r="D927">
        <v>0.115</v>
      </c>
      <c r="E927">
        <f t="shared" si="168"/>
        <v>0.80832000434869822</v>
      </c>
      <c r="F927">
        <f t="shared" si="169"/>
        <v>0.79054680522776977</v>
      </c>
      <c r="G927">
        <f t="shared" si="172"/>
        <v>-3.0000000000001137E-3</v>
      </c>
      <c r="H927">
        <f>IF(MOD(COUNTA($C$7:C927)-1,$J$2),H926,ROUND(F927*P927,-2))</f>
        <v>7800</v>
      </c>
      <c r="I927">
        <f t="shared" si="173"/>
        <v>0</v>
      </c>
      <c r="J927">
        <f t="shared" si="174"/>
        <v>0</v>
      </c>
      <c r="K927">
        <f t="shared" si="175"/>
        <v>-16386.616265458073</v>
      </c>
      <c r="L927">
        <f t="shared" si="176"/>
        <v>1662.5837345419277</v>
      </c>
      <c r="M927">
        <f t="shared" si="177"/>
        <v>-23.400000000001455</v>
      </c>
      <c r="N927">
        <f t="shared" si="179"/>
        <v>1662.5837345419277</v>
      </c>
      <c r="O927" s="5">
        <f t="shared" si="170"/>
        <v>1.8650712339602304E-2</v>
      </c>
      <c r="P927">
        <f t="shared" si="178"/>
        <v>10000</v>
      </c>
      <c r="Q927">
        <f t="shared" si="171"/>
        <v>186.50712339602305</v>
      </c>
    </row>
    <row r="928" spans="1:17" x14ac:dyDescent="0.15">
      <c r="A928" s="10">
        <v>45899.430555555969</v>
      </c>
      <c r="B928">
        <f>COUNT(A928:$A$1158)/(48*252)</f>
        <v>1.9097222222222224E-2</v>
      </c>
      <c r="C928">
        <v>2.319</v>
      </c>
      <c r="D928">
        <v>0.11700000000000001</v>
      </c>
      <c r="E928">
        <f t="shared" si="168"/>
        <v>0.84271241644360051</v>
      </c>
      <c r="F928">
        <f t="shared" si="169"/>
        <v>0.80030534935919628</v>
      </c>
      <c r="G928">
        <f t="shared" si="172"/>
        <v>4.9999999999998934E-3</v>
      </c>
      <c r="H928">
        <f>IF(MOD(COUNTA($C$7:C928)-1,$J$2),H927,ROUND(F928*P928,-2))</f>
        <v>7800</v>
      </c>
      <c r="I928">
        <f t="shared" si="173"/>
        <v>0</v>
      </c>
      <c r="J928">
        <f t="shared" si="174"/>
        <v>0</v>
      </c>
      <c r="K928">
        <f t="shared" si="175"/>
        <v>-16386.616265458073</v>
      </c>
      <c r="L928">
        <f t="shared" si="176"/>
        <v>1701.5837345419277</v>
      </c>
      <c r="M928">
        <f t="shared" si="177"/>
        <v>39</v>
      </c>
      <c r="N928">
        <f t="shared" si="179"/>
        <v>1701.5837345419277</v>
      </c>
      <c r="O928" s="5">
        <f t="shared" si="170"/>
        <v>1.7535718806714118E-2</v>
      </c>
      <c r="P928">
        <f t="shared" si="178"/>
        <v>10000</v>
      </c>
      <c r="Q928">
        <f t="shared" si="171"/>
        <v>175.35718806714118</v>
      </c>
    </row>
    <row r="929" spans="1:17" x14ac:dyDescent="0.15">
      <c r="A929" s="10">
        <v>45899.434027777985</v>
      </c>
      <c r="B929">
        <f>COUNT(A929:$A$1158)/(48*252)</f>
        <v>1.9014550264550265E-2</v>
      </c>
      <c r="C929">
        <v>2.3180000000000001</v>
      </c>
      <c r="D929">
        <v>0.115</v>
      </c>
      <c r="E929">
        <f t="shared" si="168"/>
        <v>0.83778844920217199</v>
      </c>
      <c r="F929">
        <f t="shared" si="169"/>
        <v>0.79892523642755653</v>
      </c>
      <c r="G929">
        <f t="shared" si="172"/>
        <v>-9.9999999999988987E-4</v>
      </c>
      <c r="H929">
        <f>IF(MOD(COUNTA($C$7:C929)-1,$J$2),H928,ROUND(F929*P929,-2))</f>
        <v>7800</v>
      </c>
      <c r="I929">
        <f t="shared" si="173"/>
        <v>0</v>
      </c>
      <c r="J929">
        <f t="shared" si="174"/>
        <v>0</v>
      </c>
      <c r="K929">
        <f t="shared" si="175"/>
        <v>-16386.616265458073</v>
      </c>
      <c r="L929">
        <f t="shared" si="176"/>
        <v>1693.7837345419284</v>
      </c>
      <c r="M929">
        <f t="shared" si="177"/>
        <v>-7.7999999999992724</v>
      </c>
      <c r="N929">
        <f t="shared" si="179"/>
        <v>1693.7837345419284</v>
      </c>
      <c r="O929" s="5">
        <f t="shared" si="170"/>
        <v>1.7644706848190805E-2</v>
      </c>
      <c r="P929">
        <f t="shared" si="178"/>
        <v>10000</v>
      </c>
      <c r="Q929">
        <f t="shared" si="171"/>
        <v>176.44706848190805</v>
      </c>
    </row>
    <row r="930" spans="1:17" x14ac:dyDescent="0.15">
      <c r="A930" s="10">
        <v>45899.4375</v>
      </c>
      <c r="B930">
        <f>COUNT(A930:$A$1158)/(48*252)</f>
        <v>1.8931878306878307E-2</v>
      </c>
      <c r="C930">
        <v>2.3130000000000002</v>
      </c>
      <c r="D930">
        <v>0.112</v>
      </c>
      <c r="E930">
        <f t="shared" si="168"/>
        <v>0.80645285381608034</v>
      </c>
      <c r="F930">
        <f t="shared" si="169"/>
        <v>0.79000910900356947</v>
      </c>
      <c r="G930">
        <f t="shared" si="172"/>
        <v>-4.9999999999998934E-3</v>
      </c>
      <c r="H930">
        <f>IF(MOD(COUNTA($C$7:C930)-1,$J$2),H929,ROUND(F930*P930,-2))</f>
        <v>7800</v>
      </c>
      <c r="I930">
        <f t="shared" si="173"/>
        <v>0</v>
      </c>
      <c r="J930">
        <f t="shared" si="174"/>
        <v>0</v>
      </c>
      <c r="K930">
        <f t="shared" si="175"/>
        <v>-16386.616265458073</v>
      </c>
      <c r="L930">
        <f t="shared" si="176"/>
        <v>1654.7837345419284</v>
      </c>
      <c r="M930">
        <f t="shared" si="177"/>
        <v>-39</v>
      </c>
      <c r="N930">
        <f t="shared" si="179"/>
        <v>1654.7837345419284</v>
      </c>
      <c r="O930" s="5">
        <f t="shared" si="170"/>
        <v>1.8579398584483431E-2</v>
      </c>
      <c r="P930">
        <f t="shared" si="178"/>
        <v>10000</v>
      </c>
      <c r="Q930">
        <f t="shared" si="171"/>
        <v>185.79398584483431</v>
      </c>
    </row>
    <row r="931" spans="1:17" x14ac:dyDescent="0.15">
      <c r="A931" s="10">
        <v>45899.440972222015</v>
      </c>
      <c r="B931">
        <f>COUNT(A931:$A$1158)/(48*252)</f>
        <v>1.8849206349206348E-2</v>
      </c>
      <c r="C931">
        <v>2.3140000000000001</v>
      </c>
      <c r="D931">
        <v>0.112</v>
      </c>
      <c r="E931">
        <f t="shared" si="168"/>
        <v>0.81465479155249931</v>
      </c>
      <c r="F931">
        <f t="shared" si="169"/>
        <v>0.79236503108136036</v>
      </c>
      <c r="G931">
        <f t="shared" si="172"/>
        <v>9.9999999999988987E-4</v>
      </c>
      <c r="H931">
        <f>IF(MOD(COUNTA($C$7:C931)-1,$J$2),H930,ROUND(F931*P931,-2))</f>
        <v>7900</v>
      </c>
      <c r="I931">
        <f t="shared" si="173"/>
        <v>100</v>
      </c>
      <c r="J931">
        <f t="shared" si="174"/>
        <v>0</v>
      </c>
      <c r="K931">
        <f t="shared" si="175"/>
        <v>-16618.026678458074</v>
      </c>
      <c r="L931">
        <f t="shared" si="176"/>
        <v>1662.5733215419277</v>
      </c>
      <c r="M931">
        <f t="shared" si="177"/>
        <v>7.789586999999301</v>
      </c>
      <c r="N931">
        <f t="shared" si="179"/>
        <v>1662.5733215419277</v>
      </c>
      <c r="O931" s="5">
        <f t="shared" si="170"/>
        <v>1.8276731731356632E-2</v>
      </c>
      <c r="P931">
        <f t="shared" si="178"/>
        <v>10000</v>
      </c>
      <c r="Q931">
        <f t="shared" si="171"/>
        <v>182.76731731356634</v>
      </c>
    </row>
    <row r="932" spans="1:17" x14ac:dyDescent="0.15">
      <c r="A932" s="10">
        <v>45899.444444444962</v>
      </c>
      <c r="B932">
        <f>COUNT(A932:$A$1158)/(48*252)</f>
        <v>1.8766534391534393E-2</v>
      </c>
      <c r="C932">
        <v>2.3170000000000002</v>
      </c>
      <c r="D932">
        <v>0.11600000000000001</v>
      </c>
      <c r="E932">
        <f t="shared" si="168"/>
        <v>0.83614177044816462</v>
      </c>
      <c r="F932">
        <f t="shared" si="169"/>
        <v>0.79846242402338596</v>
      </c>
      <c r="G932">
        <f t="shared" si="172"/>
        <v>3.0000000000001137E-3</v>
      </c>
      <c r="H932">
        <f>IF(MOD(COUNTA($C$7:C932)-1,$J$2),H931,ROUND(F932*P932,-2))</f>
        <v>7900</v>
      </c>
      <c r="I932">
        <f t="shared" si="173"/>
        <v>0</v>
      </c>
      <c r="J932">
        <f t="shared" si="174"/>
        <v>0</v>
      </c>
      <c r="K932">
        <f t="shared" si="175"/>
        <v>-16618.026678458074</v>
      </c>
      <c r="L932">
        <f t="shared" si="176"/>
        <v>1686.2733215419285</v>
      </c>
      <c r="M932">
        <f t="shared" si="177"/>
        <v>23.700000000000728</v>
      </c>
      <c r="N932">
        <f t="shared" si="179"/>
        <v>1686.2733215419285</v>
      </c>
      <c r="O932" s="5">
        <f t="shared" si="170"/>
        <v>1.756997657859366E-2</v>
      </c>
      <c r="P932">
        <f t="shared" si="178"/>
        <v>10000</v>
      </c>
      <c r="Q932">
        <f t="shared" si="171"/>
        <v>175.69976578593659</v>
      </c>
    </row>
    <row r="933" spans="1:17" x14ac:dyDescent="0.15">
      <c r="A933" s="10">
        <v>45899.447916666977</v>
      </c>
      <c r="B933">
        <f>COUNT(A933:$A$1158)/(48*252)</f>
        <v>1.8683862433862435E-2</v>
      </c>
      <c r="C933">
        <v>2.3180000000000001</v>
      </c>
      <c r="D933">
        <v>0.114</v>
      </c>
      <c r="E933">
        <f t="shared" si="168"/>
        <v>0.84444187716106667</v>
      </c>
      <c r="F933">
        <f t="shared" si="169"/>
        <v>0.80078873518426508</v>
      </c>
      <c r="G933">
        <f t="shared" si="172"/>
        <v>9.9999999999988987E-4</v>
      </c>
      <c r="H933">
        <f>IF(MOD(COUNTA($C$7:C933)-1,$J$2),H932,ROUND(F933*P933,-2))</f>
        <v>7900</v>
      </c>
      <c r="I933">
        <f t="shared" si="173"/>
        <v>0</v>
      </c>
      <c r="J933">
        <f t="shared" si="174"/>
        <v>0</v>
      </c>
      <c r="K933">
        <f t="shared" si="175"/>
        <v>-16618.026678458074</v>
      </c>
      <c r="L933">
        <f t="shared" si="176"/>
        <v>1694.1733215419263</v>
      </c>
      <c r="M933">
        <f t="shared" si="177"/>
        <v>7.8999999999978172</v>
      </c>
      <c r="N933">
        <f t="shared" si="179"/>
        <v>1694.1733215419263</v>
      </c>
      <c r="O933" s="5">
        <f t="shared" si="170"/>
        <v>1.7277435321668477E-2</v>
      </c>
      <c r="P933">
        <f t="shared" si="178"/>
        <v>10000</v>
      </c>
      <c r="Q933">
        <f t="shared" si="171"/>
        <v>172.77435321668477</v>
      </c>
    </row>
    <row r="934" spans="1:17" x14ac:dyDescent="0.15">
      <c r="A934" s="10">
        <v>45899.451388888992</v>
      </c>
      <c r="B934">
        <f>COUNT(A934:$A$1158)/(48*252)</f>
        <v>1.8601190476190476E-2</v>
      </c>
      <c r="C934">
        <v>2.3199999999999998</v>
      </c>
      <c r="D934">
        <v>0.11799999999999999</v>
      </c>
      <c r="E934">
        <f t="shared" si="168"/>
        <v>0.85942336468025693</v>
      </c>
      <c r="F934">
        <f t="shared" si="169"/>
        <v>0.8049465081269116</v>
      </c>
      <c r="G934">
        <f t="shared" si="172"/>
        <v>1.9999999999997797E-3</v>
      </c>
      <c r="H934">
        <f>IF(MOD(COUNTA($C$7:C934)-1,$J$2),H933,ROUND(F934*P934,-2))</f>
        <v>7900</v>
      </c>
      <c r="I934">
        <f t="shared" si="173"/>
        <v>0</v>
      </c>
      <c r="J934">
        <f t="shared" si="174"/>
        <v>0</v>
      </c>
      <c r="K934">
        <f t="shared" si="175"/>
        <v>-16618.026678458074</v>
      </c>
      <c r="L934">
        <f t="shared" si="176"/>
        <v>1709.9733215419255</v>
      </c>
      <c r="M934">
        <f t="shared" si="177"/>
        <v>15.799999999999272</v>
      </c>
      <c r="N934">
        <f t="shared" si="179"/>
        <v>1709.9733215419255</v>
      </c>
      <c r="O934" s="5">
        <f t="shared" si="170"/>
        <v>1.679164097927105E-2</v>
      </c>
      <c r="P934">
        <f t="shared" si="178"/>
        <v>10000</v>
      </c>
      <c r="Q934">
        <f t="shared" si="171"/>
        <v>167.91640979271051</v>
      </c>
    </row>
    <row r="935" spans="1:17" x14ac:dyDescent="0.15">
      <c r="A935" s="10">
        <v>45899.454861111008</v>
      </c>
      <c r="B935">
        <f>COUNT(A935:$A$1158)/(48*252)</f>
        <v>1.8518518518518517E-2</v>
      </c>
      <c r="C935">
        <v>2.3220000000000001</v>
      </c>
      <c r="D935">
        <v>0.11899999999999999</v>
      </c>
      <c r="E935">
        <f t="shared" si="168"/>
        <v>0.87446436173737785</v>
      </c>
      <c r="F935">
        <f t="shared" si="169"/>
        <v>0.80906728993345822</v>
      </c>
      <c r="G935">
        <f t="shared" si="172"/>
        <v>2.0000000000002238E-3</v>
      </c>
      <c r="H935">
        <f>IF(MOD(COUNTA($C$7:C935)-1,$J$2),H934,ROUND(F935*P935,-2))</f>
        <v>7900</v>
      </c>
      <c r="I935">
        <f t="shared" si="173"/>
        <v>0</v>
      </c>
      <c r="J935">
        <f t="shared" si="174"/>
        <v>0</v>
      </c>
      <c r="K935">
        <f t="shared" si="175"/>
        <v>-16618.026678458074</v>
      </c>
      <c r="L935">
        <f t="shared" si="176"/>
        <v>1725.7733215419248</v>
      </c>
      <c r="M935">
        <f t="shared" si="177"/>
        <v>15.799999999999272</v>
      </c>
      <c r="N935">
        <f t="shared" si="179"/>
        <v>1725.7733215419248</v>
      </c>
      <c r="O935" s="5">
        <f t="shared" si="170"/>
        <v>1.6315006931799381E-2</v>
      </c>
      <c r="P935">
        <f t="shared" si="178"/>
        <v>10000</v>
      </c>
      <c r="Q935">
        <f t="shared" si="171"/>
        <v>163.1500693179938</v>
      </c>
    </row>
    <row r="936" spans="1:17" x14ac:dyDescent="0.15">
      <c r="A936" s="10">
        <v>45899.458333333023</v>
      </c>
      <c r="B936">
        <f>COUNT(A936:$A$1158)/(48*252)</f>
        <v>1.8435846560846562E-2</v>
      </c>
      <c r="C936">
        <v>2.323</v>
      </c>
      <c r="D936">
        <v>0.121</v>
      </c>
      <c r="E936">
        <f t="shared" si="168"/>
        <v>0.88290400588851237</v>
      </c>
      <c r="F936">
        <f t="shared" si="169"/>
        <v>0.81135593046852383</v>
      </c>
      <c r="G936">
        <f t="shared" si="172"/>
        <v>9.9999999999988987E-4</v>
      </c>
      <c r="H936">
        <f>IF(MOD(COUNTA($C$7:C936)-1,$J$2),H935,ROUND(F936*P936,-2))</f>
        <v>7900</v>
      </c>
      <c r="I936">
        <f t="shared" si="173"/>
        <v>0</v>
      </c>
      <c r="J936">
        <f t="shared" si="174"/>
        <v>0</v>
      </c>
      <c r="K936">
        <f t="shared" si="175"/>
        <v>-16618.026678458074</v>
      </c>
      <c r="L936">
        <f t="shared" si="176"/>
        <v>1733.6733215419263</v>
      </c>
      <c r="M936">
        <f t="shared" si="177"/>
        <v>7.9000000000014552</v>
      </c>
      <c r="N936">
        <f t="shared" si="179"/>
        <v>1733.6733215419263</v>
      </c>
      <c r="O936" s="5">
        <f t="shared" si="170"/>
        <v>1.6035220192470057E-2</v>
      </c>
      <c r="P936">
        <f t="shared" si="178"/>
        <v>10000</v>
      </c>
      <c r="Q936">
        <f t="shared" si="171"/>
        <v>160.35220192470058</v>
      </c>
    </row>
    <row r="937" spans="1:17" x14ac:dyDescent="0.15">
      <c r="A937" s="10">
        <v>45899.461805555969</v>
      </c>
      <c r="B937">
        <f>COUNT(A937:$A$1158)/(48*252)</f>
        <v>1.8353174603174604E-2</v>
      </c>
      <c r="C937">
        <v>2.323</v>
      </c>
      <c r="D937">
        <v>0.122</v>
      </c>
      <c r="E937">
        <f t="shared" si="168"/>
        <v>0.88470663388513238</v>
      </c>
      <c r="F937">
        <f t="shared" si="169"/>
        <v>0.8118425615935867</v>
      </c>
      <c r="G937">
        <f t="shared" si="172"/>
        <v>0</v>
      </c>
      <c r="H937">
        <f>IF(MOD(COUNTA($C$7:C937)-1,$J$2),H936,ROUND(F937*P937,-2))</f>
        <v>8100</v>
      </c>
      <c r="I937">
        <f t="shared" si="173"/>
        <v>200</v>
      </c>
      <c r="J937">
        <f t="shared" si="174"/>
        <v>0</v>
      </c>
      <c r="K937">
        <f t="shared" si="175"/>
        <v>-17082.647585458071</v>
      </c>
      <c r="L937">
        <f t="shared" si="176"/>
        <v>1733.652414541928</v>
      </c>
      <c r="M937">
        <f t="shared" si="177"/>
        <v>-2.0906999998260289E-2</v>
      </c>
      <c r="N937">
        <f t="shared" si="179"/>
        <v>1733.652414541928</v>
      </c>
      <c r="O937" s="5">
        <f t="shared" si="170"/>
        <v>1.5945400241767937E-2</v>
      </c>
      <c r="P937">
        <f t="shared" si="178"/>
        <v>10000</v>
      </c>
      <c r="Q937">
        <f t="shared" si="171"/>
        <v>159.45400241767936</v>
      </c>
    </row>
    <row r="938" spans="1:17" x14ac:dyDescent="0.15">
      <c r="A938" s="10">
        <v>45899.465277777985</v>
      </c>
      <c r="B938">
        <f>COUNT(A938:$A$1158)/(48*252)</f>
        <v>1.8270502645502645E-2</v>
      </c>
      <c r="C938">
        <v>2.3199999999999998</v>
      </c>
      <c r="D938">
        <v>0.11899999999999999</v>
      </c>
      <c r="E938">
        <f t="shared" si="168"/>
        <v>0.86642977274464061</v>
      </c>
      <c r="F938">
        <f t="shared" si="169"/>
        <v>0.80687273862065378</v>
      </c>
      <c r="G938">
        <f t="shared" si="172"/>
        <v>-3.0000000000001137E-3</v>
      </c>
      <c r="H938">
        <f>IF(MOD(COUNTA($C$7:C938)-1,$J$2),H937,ROUND(F938*P938,-2))</f>
        <v>8100</v>
      </c>
      <c r="I938">
        <f t="shared" si="173"/>
        <v>0</v>
      </c>
      <c r="J938">
        <f t="shared" si="174"/>
        <v>0</v>
      </c>
      <c r="K938">
        <f t="shared" si="175"/>
        <v>-17082.647585458071</v>
      </c>
      <c r="L938">
        <f t="shared" si="176"/>
        <v>1709.3524145419287</v>
      </c>
      <c r="M938">
        <f t="shared" si="177"/>
        <v>-24.299999999999272</v>
      </c>
      <c r="N938">
        <f t="shared" si="179"/>
        <v>1709.3524145419287</v>
      </c>
      <c r="O938" s="5">
        <f t="shared" si="170"/>
        <v>1.6426685316982881E-2</v>
      </c>
      <c r="P938">
        <f t="shared" si="178"/>
        <v>10000</v>
      </c>
      <c r="Q938">
        <f t="shared" si="171"/>
        <v>164.26685316982881</v>
      </c>
    </row>
    <row r="939" spans="1:17" x14ac:dyDescent="0.15">
      <c r="A939" s="10">
        <v>45899.46875</v>
      </c>
      <c r="B939">
        <f>COUNT(A939:$A$1158)/(48*252)</f>
        <v>1.8187830687830687E-2</v>
      </c>
      <c r="C939">
        <v>2.3180000000000001</v>
      </c>
      <c r="D939">
        <v>0.11600000000000001</v>
      </c>
      <c r="E939">
        <f t="shared" si="168"/>
        <v>0.85477257519096284</v>
      </c>
      <c r="F939">
        <f t="shared" si="169"/>
        <v>0.80366146825008178</v>
      </c>
      <c r="G939">
        <f t="shared" si="172"/>
        <v>-1.9999999999997797E-3</v>
      </c>
      <c r="H939">
        <f>IF(MOD(COUNTA($C$7:C939)-1,$J$2),H938,ROUND(F939*P939,-2))</f>
        <v>8100</v>
      </c>
      <c r="I939">
        <f t="shared" si="173"/>
        <v>0</v>
      </c>
      <c r="J939">
        <f t="shared" si="174"/>
        <v>0</v>
      </c>
      <c r="K939">
        <f t="shared" si="175"/>
        <v>-17082.647585458071</v>
      </c>
      <c r="L939">
        <f t="shared" si="176"/>
        <v>1693.152414541928</v>
      </c>
      <c r="M939">
        <f t="shared" si="177"/>
        <v>-16.200000000000728</v>
      </c>
      <c r="N939">
        <f t="shared" si="179"/>
        <v>1693.152414541928</v>
      </c>
      <c r="O939" s="5">
        <f t="shared" si="170"/>
        <v>1.6724240733983542E-2</v>
      </c>
      <c r="P939">
        <f t="shared" si="178"/>
        <v>10000</v>
      </c>
      <c r="Q939">
        <f t="shared" si="171"/>
        <v>167.24240733983541</v>
      </c>
    </row>
    <row r="940" spans="1:17" x14ac:dyDescent="0.15">
      <c r="A940" s="10">
        <v>45899.472222222015</v>
      </c>
      <c r="B940">
        <f>COUNT(A940:$A$1158)/(48*252)</f>
        <v>1.8105158730158732E-2</v>
      </c>
      <c r="C940">
        <v>2.3170000000000002</v>
      </c>
      <c r="D940">
        <v>0.11600000000000001</v>
      </c>
      <c r="E940">
        <f t="shared" si="168"/>
        <v>0.84979747538869455</v>
      </c>
      <c r="F940">
        <f t="shared" si="169"/>
        <v>0.80228115325059923</v>
      </c>
      <c r="G940">
        <f t="shared" si="172"/>
        <v>-9.9999999999988987E-4</v>
      </c>
      <c r="H940">
        <f>IF(MOD(COUNTA($C$7:C940)-1,$J$2),H939,ROUND(F940*P940,-2))</f>
        <v>8100</v>
      </c>
      <c r="I940">
        <f t="shared" si="173"/>
        <v>0</v>
      </c>
      <c r="J940">
        <f t="shared" si="174"/>
        <v>0</v>
      </c>
      <c r="K940">
        <f t="shared" si="175"/>
        <v>-17082.647585458071</v>
      </c>
      <c r="L940">
        <f t="shared" si="176"/>
        <v>1685.0524145419295</v>
      </c>
      <c r="M940">
        <f t="shared" si="177"/>
        <v>-8.0999999999985448</v>
      </c>
      <c r="N940">
        <f t="shared" si="179"/>
        <v>1685.0524145419295</v>
      </c>
      <c r="O940" s="5">
        <f t="shared" si="170"/>
        <v>1.6828561161718436E-2</v>
      </c>
      <c r="P940">
        <f t="shared" si="178"/>
        <v>10000</v>
      </c>
      <c r="Q940">
        <f t="shared" si="171"/>
        <v>168.28561161718437</v>
      </c>
    </row>
    <row r="941" spans="1:17" x14ac:dyDescent="0.15">
      <c r="A941" s="10">
        <v>45899.475694444962</v>
      </c>
      <c r="B941">
        <f>COUNT(A941:$A$1158)/(48*252)</f>
        <v>1.8022486772486773E-2</v>
      </c>
      <c r="C941">
        <v>2.3199999999999998</v>
      </c>
      <c r="D941">
        <v>0.11700000000000001</v>
      </c>
      <c r="E941">
        <f t="shared" si="168"/>
        <v>0.87181506245886808</v>
      </c>
      <c r="F941">
        <f t="shared" si="169"/>
        <v>0.80834536195600992</v>
      </c>
      <c r="G941">
        <f t="shared" si="172"/>
        <v>2.9999999999996696E-3</v>
      </c>
      <c r="H941">
        <f>IF(MOD(COUNTA($C$7:C941)-1,$J$2),H940,ROUND(F941*P941,-2))</f>
        <v>8100</v>
      </c>
      <c r="I941">
        <f t="shared" si="173"/>
        <v>0</v>
      </c>
      <c r="J941">
        <f t="shared" si="174"/>
        <v>0</v>
      </c>
      <c r="K941">
        <f t="shared" si="175"/>
        <v>-17082.647585458071</v>
      </c>
      <c r="L941">
        <f t="shared" si="176"/>
        <v>1709.3524145419287</v>
      </c>
      <c r="M941">
        <f t="shared" si="177"/>
        <v>24.299999999999272</v>
      </c>
      <c r="N941">
        <f t="shared" si="179"/>
        <v>1709.3524145419287</v>
      </c>
      <c r="O941" s="5">
        <f t="shared" si="170"/>
        <v>1.6152232950112033E-2</v>
      </c>
      <c r="P941">
        <f t="shared" si="178"/>
        <v>10000</v>
      </c>
      <c r="Q941">
        <f t="shared" si="171"/>
        <v>161.52232950112034</v>
      </c>
    </row>
    <row r="942" spans="1:17" x14ac:dyDescent="0.15">
      <c r="A942" s="10">
        <v>45899.479166666977</v>
      </c>
      <c r="B942">
        <f>COUNT(A942:$A$1158)/(48*252)</f>
        <v>1.7939814814814815E-2</v>
      </c>
      <c r="C942">
        <v>2.3180000000000001</v>
      </c>
      <c r="D942">
        <v>0.115</v>
      </c>
      <c r="E942">
        <f t="shared" si="168"/>
        <v>0.86010356774187691</v>
      </c>
      <c r="F942">
        <f t="shared" si="169"/>
        <v>0.80513402263642231</v>
      </c>
      <c r="G942">
        <f t="shared" si="172"/>
        <v>-1.9999999999997797E-3</v>
      </c>
      <c r="H942">
        <f>IF(MOD(COUNTA($C$7:C942)-1,$J$2),H941,ROUND(F942*P942,-2))</f>
        <v>8100</v>
      </c>
      <c r="I942">
        <f t="shared" si="173"/>
        <v>0</v>
      </c>
      <c r="J942">
        <f t="shared" si="174"/>
        <v>0</v>
      </c>
      <c r="K942">
        <f t="shared" si="175"/>
        <v>-17082.647585458071</v>
      </c>
      <c r="L942">
        <f t="shared" si="176"/>
        <v>1693.152414541928</v>
      </c>
      <c r="M942">
        <f t="shared" si="177"/>
        <v>-16.200000000000728</v>
      </c>
      <c r="N942">
        <f t="shared" si="179"/>
        <v>1693.152414541928</v>
      </c>
      <c r="O942" s="5">
        <f t="shared" si="170"/>
        <v>1.6446626758628957E-2</v>
      </c>
      <c r="P942">
        <f t="shared" si="178"/>
        <v>10000</v>
      </c>
      <c r="Q942">
        <f t="shared" si="171"/>
        <v>164.46626758628958</v>
      </c>
    </row>
    <row r="943" spans="1:17" x14ac:dyDescent="0.15">
      <c r="A943" s="10">
        <v>45899.545138888992</v>
      </c>
      <c r="B943">
        <f>COUNT(A943:$A$1158)/(48*252)</f>
        <v>1.7857142857142856E-2</v>
      </c>
      <c r="C943">
        <v>2.3170000000000002</v>
      </c>
      <c r="D943">
        <v>0.11700000000000001</v>
      </c>
      <c r="E943">
        <f t="shared" si="168"/>
        <v>0.85511991612995741</v>
      </c>
      <c r="F943">
        <f t="shared" si="169"/>
        <v>0.80375761750805907</v>
      </c>
      <c r="G943">
        <f t="shared" si="172"/>
        <v>-9.9999999999988987E-4</v>
      </c>
      <c r="H943">
        <f>IF(MOD(COUNTA($C$7:C943)-1,$J$2),H942,ROUND(F943*P943,-2))</f>
        <v>8000</v>
      </c>
      <c r="I943">
        <f t="shared" si="173"/>
        <v>-100</v>
      </c>
      <c r="J943">
        <f t="shared" si="174"/>
        <v>0</v>
      </c>
      <c r="K943">
        <f t="shared" si="175"/>
        <v>-16850.958011958071</v>
      </c>
      <c r="L943">
        <f t="shared" si="176"/>
        <v>1685.0419880419286</v>
      </c>
      <c r="M943">
        <f t="shared" si="177"/>
        <v>-8.1104264999994484</v>
      </c>
      <c r="N943">
        <f t="shared" si="179"/>
        <v>1685.0419880419286</v>
      </c>
      <c r="O943" s="5">
        <f t="shared" si="170"/>
        <v>1.6549244809180019E-2</v>
      </c>
      <c r="P943">
        <f t="shared" si="178"/>
        <v>10000</v>
      </c>
      <c r="Q943">
        <f t="shared" si="171"/>
        <v>165.49244809180018</v>
      </c>
    </row>
    <row r="944" spans="1:17" x14ac:dyDescent="0.15">
      <c r="A944" s="10">
        <v>45899.548611111008</v>
      </c>
      <c r="B944">
        <f>COUNT(A944:$A$1158)/(48*252)</f>
        <v>1.7774470899470901E-2</v>
      </c>
      <c r="C944">
        <v>2.3130000000000002</v>
      </c>
      <c r="D944">
        <v>0.111</v>
      </c>
      <c r="E944">
        <f t="shared" si="168"/>
        <v>0.82968263437305378</v>
      </c>
      <c r="F944">
        <f t="shared" si="169"/>
        <v>0.79664087884446844</v>
      </c>
      <c r="G944">
        <f t="shared" si="172"/>
        <v>-4.0000000000000036E-3</v>
      </c>
      <c r="H944">
        <f>IF(MOD(COUNTA($C$7:C944)-1,$J$2),H943,ROUND(F944*P944,-2))</f>
        <v>8000</v>
      </c>
      <c r="I944">
        <f t="shared" si="173"/>
        <v>0</v>
      </c>
      <c r="J944">
        <f t="shared" si="174"/>
        <v>0</v>
      </c>
      <c r="K944">
        <f t="shared" si="175"/>
        <v>-16850.958011958071</v>
      </c>
      <c r="L944">
        <f t="shared" si="176"/>
        <v>1653.0419880419286</v>
      </c>
      <c r="M944">
        <f t="shared" si="177"/>
        <v>-32</v>
      </c>
      <c r="N944">
        <f t="shared" si="179"/>
        <v>1653.0419880419286</v>
      </c>
      <c r="O944" s="5">
        <f t="shared" si="170"/>
        <v>1.7254130213011254E-2</v>
      </c>
      <c r="P944">
        <f t="shared" si="178"/>
        <v>10000</v>
      </c>
      <c r="Q944">
        <f t="shared" si="171"/>
        <v>172.54130213011254</v>
      </c>
    </row>
    <row r="945" spans="1:17" x14ac:dyDescent="0.15">
      <c r="A945" s="10">
        <v>45899.552083333023</v>
      </c>
      <c r="B945">
        <f>COUNT(A945:$A$1158)/(48*252)</f>
        <v>1.7691798941798943E-2</v>
      </c>
      <c r="C945">
        <v>2.3149999999999999</v>
      </c>
      <c r="D945">
        <v>0.113</v>
      </c>
      <c r="E945">
        <f t="shared" si="168"/>
        <v>0.84508800230084946</v>
      </c>
      <c r="F945">
        <f t="shared" si="169"/>
        <v>0.8009691467577188</v>
      </c>
      <c r="G945">
        <f t="shared" si="172"/>
        <v>1.9999999999997797E-3</v>
      </c>
      <c r="H945">
        <f>IF(MOD(COUNTA($C$7:C945)-1,$J$2),H944,ROUND(F945*P945,-2))</f>
        <v>8000</v>
      </c>
      <c r="I945">
        <f t="shared" si="173"/>
        <v>0</v>
      </c>
      <c r="J945">
        <f t="shared" si="174"/>
        <v>0</v>
      </c>
      <c r="K945">
        <f t="shared" si="175"/>
        <v>-16850.958011958071</v>
      </c>
      <c r="L945">
        <f t="shared" si="176"/>
        <v>1669.0419880419286</v>
      </c>
      <c r="M945">
        <f t="shared" si="177"/>
        <v>16</v>
      </c>
      <c r="N945">
        <f t="shared" si="179"/>
        <v>1669.0419880419286</v>
      </c>
      <c r="O945" s="5">
        <f t="shared" si="170"/>
        <v>1.675691638317045E-2</v>
      </c>
      <c r="P945">
        <f t="shared" si="178"/>
        <v>10000</v>
      </c>
      <c r="Q945">
        <f t="shared" si="171"/>
        <v>167.56916383170451</v>
      </c>
    </row>
    <row r="946" spans="1:17" x14ac:dyDescent="0.15">
      <c r="A946" s="10">
        <v>45899.555555555969</v>
      </c>
      <c r="B946">
        <f>COUNT(A946:$A$1158)/(48*252)</f>
        <v>1.7609126984126984E-2</v>
      </c>
      <c r="C946">
        <v>2.3039999999999998</v>
      </c>
      <c r="D946">
        <v>0.107</v>
      </c>
      <c r="E946">
        <f t="shared" si="168"/>
        <v>0.77145003969900405</v>
      </c>
      <c r="F946">
        <f t="shared" si="169"/>
        <v>0.77977988766987527</v>
      </c>
      <c r="G946">
        <f t="shared" si="172"/>
        <v>-1.1000000000000121E-2</v>
      </c>
      <c r="H946">
        <f>IF(MOD(COUNTA($C$7:C946)-1,$J$2),H945,ROUND(F946*P946,-2))</f>
        <v>8000</v>
      </c>
      <c r="I946">
        <f t="shared" si="173"/>
        <v>0</v>
      </c>
      <c r="J946">
        <f t="shared" si="174"/>
        <v>0</v>
      </c>
      <c r="K946">
        <f t="shared" si="175"/>
        <v>-16850.958011958071</v>
      </c>
      <c r="L946">
        <f t="shared" si="176"/>
        <v>1581.0419880419286</v>
      </c>
      <c r="M946">
        <f t="shared" si="177"/>
        <v>-88</v>
      </c>
      <c r="N946">
        <f t="shared" si="179"/>
        <v>1581.0419880419286</v>
      </c>
      <c r="O946" s="5">
        <f t="shared" si="170"/>
        <v>1.8964320416691716E-2</v>
      </c>
      <c r="P946">
        <f t="shared" si="178"/>
        <v>10000</v>
      </c>
      <c r="Q946">
        <f t="shared" si="171"/>
        <v>189.64320416691714</v>
      </c>
    </row>
    <row r="947" spans="1:17" x14ac:dyDescent="0.15">
      <c r="A947" s="10">
        <v>45899.559027777985</v>
      </c>
      <c r="B947">
        <f>COUNT(A947:$A$1158)/(48*252)</f>
        <v>1.7526455026455025E-2</v>
      </c>
      <c r="C947">
        <v>2.3079999999999998</v>
      </c>
      <c r="D947">
        <v>0.109</v>
      </c>
      <c r="E947">
        <f t="shared" si="168"/>
        <v>0.80061550387892355</v>
      </c>
      <c r="F947">
        <f t="shared" si="169"/>
        <v>0.78832286378768823</v>
      </c>
      <c r="G947">
        <f t="shared" si="172"/>
        <v>4.0000000000000036E-3</v>
      </c>
      <c r="H947">
        <f>IF(MOD(COUNTA($C$7:C947)-1,$J$2),H946,ROUND(F947*P947,-2))</f>
        <v>8000</v>
      </c>
      <c r="I947">
        <f t="shared" si="173"/>
        <v>0</v>
      </c>
      <c r="J947">
        <f t="shared" si="174"/>
        <v>0</v>
      </c>
      <c r="K947">
        <f t="shared" si="175"/>
        <v>-16850.958011958071</v>
      </c>
      <c r="L947">
        <f t="shared" si="176"/>
        <v>1613.0419880419286</v>
      </c>
      <c r="M947">
        <f t="shared" si="177"/>
        <v>32</v>
      </c>
      <c r="N947">
        <f t="shared" si="179"/>
        <v>1613.0419880419286</v>
      </c>
      <c r="O947" s="5">
        <f t="shared" si="170"/>
        <v>1.8001627591635094E-2</v>
      </c>
      <c r="P947">
        <f t="shared" si="178"/>
        <v>10000</v>
      </c>
      <c r="Q947">
        <f t="shared" si="171"/>
        <v>180.01627591635093</v>
      </c>
    </row>
    <row r="948" spans="1:17" x14ac:dyDescent="0.15">
      <c r="A948" s="10">
        <v>45899.5625</v>
      </c>
      <c r="B948">
        <f>COUNT(A948:$A$1158)/(48*252)</f>
        <v>1.744378306878307E-2</v>
      </c>
      <c r="C948">
        <v>2.3039999999999998</v>
      </c>
      <c r="D948">
        <v>0.108</v>
      </c>
      <c r="E948">
        <f t="shared" si="168"/>
        <v>0.7747208044056626</v>
      </c>
      <c r="F948">
        <f t="shared" si="169"/>
        <v>0.78074767256263422</v>
      </c>
      <c r="G948">
        <f t="shared" si="172"/>
        <v>-4.0000000000000036E-3</v>
      </c>
      <c r="H948">
        <f>IF(MOD(COUNTA($C$7:C948)-1,$J$2),H947,ROUND(F948*P948,-2))</f>
        <v>8000</v>
      </c>
      <c r="I948">
        <f t="shared" si="173"/>
        <v>0</v>
      </c>
      <c r="J948">
        <f t="shared" si="174"/>
        <v>0</v>
      </c>
      <c r="K948">
        <f t="shared" si="175"/>
        <v>-16850.958011958071</v>
      </c>
      <c r="L948">
        <f t="shared" si="176"/>
        <v>1581.0419880419286</v>
      </c>
      <c r="M948">
        <f t="shared" si="177"/>
        <v>-32</v>
      </c>
      <c r="N948">
        <f t="shared" si="179"/>
        <v>1581.0419880419286</v>
      </c>
      <c r="O948" s="5">
        <f t="shared" si="170"/>
        <v>1.8764354487546764E-2</v>
      </c>
      <c r="P948">
        <f t="shared" si="178"/>
        <v>10000</v>
      </c>
      <c r="Q948">
        <f t="shared" si="171"/>
        <v>187.64354487546763</v>
      </c>
    </row>
    <row r="949" spans="1:17" x14ac:dyDescent="0.15">
      <c r="A949" s="10">
        <v>45899.565972222015</v>
      </c>
      <c r="B949">
        <f>COUNT(A949:$A$1158)/(48*252)</f>
        <v>1.7361111111111112E-2</v>
      </c>
      <c r="C949">
        <v>2.3090000000000002</v>
      </c>
      <c r="D949">
        <v>0.112</v>
      </c>
      <c r="E949">
        <f t="shared" si="168"/>
        <v>0.81095048830300653</v>
      </c>
      <c r="F949">
        <f t="shared" si="169"/>
        <v>0.79130294774458376</v>
      </c>
      <c r="G949">
        <f t="shared" si="172"/>
        <v>5.0000000000003375E-3</v>
      </c>
      <c r="H949">
        <f>IF(MOD(COUNTA($C$7:C949)-1,$J$2),H948,ROUND(F949*P949,-2))</f>
        <v>7900</v>
      </c>
      <c r="I949">
        <f t="shared" si="173"/>
        <v>-100</v>
      </c>
      <c r="J949">
        <f t="shared" si="174"/>
        <v>0</v>
      </c>
      <c r="K949">
        <f t="shared" si="175"/>
        <v>-16620.06840245807</v>
      </c>
      <c r="L949">
        <f t="shared" si="176"/>
        <v>1621.0315975419326</v>
      </c>
      <c r="M949">
        <f t="shared" si="177"/>
        <v>39.989609500004008</v>
      </c>
      <c r="N949">
        <f t="shared" si="179"/>
        <v>1621.0315975419326</v>
      </c>
      <c r="O949" s="5">
        <f t="shared" si="170"/>
        <v>1.7595672292762154E-2</v>
      </c>
      <c r="P949">
        <f t="shared" si="178"/>
        <v>10000</v>
      </c>
      <c r="Q949">
        <f t="shared" si="171"/>
        <v>175.95672292762154</v>
      </c>
    </row>
    <row r="950" spans="1:17" x14ac:dyDescent="0.15">
      <c r="A950" s="10">
        <v>45899.569444444962</v>
      </c>
      <c r="B950">
        <f>COUNT(A950:$A$1158)/(48*252)</f>
        <v>1.7278439153439153E-2</v>
      </c>
      <c r="C950">
        <v>2.3119999999999998</v>
      </c>
      <c r="D950">
        <v>0.113</v>
      </c>
      <c r="E950">
        <f t="shared" si="168"/>
        <v>0.833458206815612</v>
      </c>
      <c r="F950">
        <f t="shared" si="169"/>
        <v>0.79770682052225683</v>
      </c>
      <c r="G950">
        <f t="shared" si="172"/>
        <v>2.9999999999996696E-3</v>
      </c>
      <c r="H950">
        <f>IF(MOD(COUNTA($C$7:C950)-1,$J$2),H949,ROUND(F950*P950,-2))</f>
        <v>7900</v>
      </c>
      <c r="I950">
        <f t="shared" si="173"/>
        <v>0</v>
      </c>
      <c r="J950">
        <f t="shared" si="174"/>
        <v>0</v>
      </c>
      <c r="K950">
        <f t="shared" si="175"/>
        <v>-16620.06840245807</v>
      </c>
      <c r="L950">
        <f t="shared" si="176"/>
        <v>1644.7315975419297</v>
      </c>
      <c r="M950">
        <f t="shared" si="177"/>
        <v>23.69999999999709</v>
      </c>
      <c r="N950">
        <f t="shared" si="179"/>
        <v>1644.7315975419297</v>
      </c>
      <c r="O950" s="5">
        <f t="shared" si="170"/>
        <v>1.6882182204519258E-2</v>
      </c>
      <c r="P950">
        <f t="shared" si="178"/>
        <v>10000</v>
      </c>
      <c r="Q950">
        <f t="shared" si="171"/>
        <v>168.82182204519259</v>
      </c>
    </row>
    <row r="951" spans="1:17" x14ac:dyDescent="0.15">
      <c r="A951" s="10">
        <v>45899.572916666977</v>
      </c>
      <c r="B951">
        <f>COUNT(A951:$A$1158)/(48*252)</f>
        <v>1.7195767195767195E-2</v>
      </c>
      <c r="C951">
        <v>2.31</v>
      </c>
      <c r="D951">
        <v>0.112</v>
      </c>
      <c r="E951">
        <f t="shared" si="168"/>
        <v>0.82139984596701976</v>
      </c>
      <c r="F951">
        <f t="shared" si="169"/>
        <v>0.79429072436365056</v>
      </c>
      <c r="G951">
        <f t="shared" si="172"/>
        <v>-1.9999999999997797E-3</v>
      </c>
      <c r="H951">
        <f>IF(MOD(COUNTA($C$7:C951)-1,$J$2),H950,ROUND(F951*P951,-2))</f>
        <v>7900</v>
      </c>
      <c r="I951">
        <f t="shared" si="173"/>
        <v>0</v>
      </c>
      <c r="J951">
        <f t="shared" si="174"/>
        <v>0</v>
      </c>
      <c r="K951">
        <f t="shared" si="175"/>
        <v>-16620.06840245807</v>
      </c>
      <c r="L951">
        <f t="shared" si="176"/>
        <v>1628.9315975419304</v>
      </c>
      <c r="M951">
        <f t="shared" si="177"/>
        <v>-15.799999999999272</v>
      </c>
      <c r="N951">
        <f t="shared" si="179"/>
        <v>1628.9315975419304</v>
      </c>
      <c r="O951" s="5">
        <f t="shared" si="170"/>
        <v>1.71933056537516E-2</v>
      </c>
      <c r="P951">
        <f t="shared" si="178"/>
        <v>10000</v>
      </c>
      <c r="Q951">
        <f t="shared" si="171"/>
        <v>171.93305653751599</v>
      </c>
    </row>
    <row r="952" spans="1:17" x14ac:dyDescent="0.15">
      <c r="A952" s="10">
        <v>45899.576388888992</v>
      </c>
      <c r="B952">
        <f>COUNT(A952:$A$1158)/(48*252)</f>
        <v>1.711309523809524E-2</v>
      </c>
      <c r="C952">
        <v>2.3050000000000002</v>
      </c>
      <c r="D952">
        <v>0.108</v>
      </c>
      <c r="E952">
        <f t="shared" si="168"/>
        <v>0.78838062087120997</v>
      </c>
      <c r="F952">
        <f t="shared" si="169"/>
        <v>0.78476294861787599</v>
      </c>
      <c r="G952">
        <f t="shared" si="172"/>
        <v>-4.9999999999998934E-3</v>
      </c>
      <c r="H952">
        <f>IF(MOD(COUNTA($C$7:C952)-1,$J$2),H951,ROUND(F952*P952,-2))</f>
        <v>7900</v>
      </c>
      <c r="I952">
        <f t="shared" si="173"/>
        <v>0</v>
      </c>
      <c r="J952">
        <f t="shared" si="174"/>
        <v>0</v>
      </c>
      <c r="K952">
        <f t="shared" si="175"/>
        <v>-16620.06840245807</v>
      </c>
      <c r="L952">
        <f t="shared" si="176"/>
        <v>1589.4315975419304</v>
      </c>
      <c r="M952">
        <f t="shared" si="177"/>
        <v>-39.5</v>
      </c>
      <c r="N952">
        <f t="shared" si="179"/>
        <v>1589.4315975419304</v>
      </c>
      <c r="O952" s="5">
        <f t="shared" si="170"/>
        <v>1.8146797670719361E-2</v>
      </c>
      <c r="P952">
        <f t="shared" si="178"/>
        <v>10000</v>
      </c>
      <c r="Q952">
        <f t="shared" si="171"/>
        <v>181.4679767071936</v>
      </c>
    </row>
    <row r="953" spans="1:17" x14ac:dyDescent="0.15">
      <c r="A953" s="10">
        <v>45899.579861111008</v>
      </c>
      <c r="B953">
        <f>COUNT(A953:$A$1158)/(48*252)</f>
        <v>1.7030423280423281E-2</v>
      </c>
      <c r="C953">
        <v>2.3109999999999999</v>
      </c>
      <c r="D953">
        <v>0.112</v>
      </c>
      <c r="E953">
        <f t="shared" si="168"/>
        <v>0.83196622625542371</v>
      </c>
      <c r="F953">
        <f t="shared" si="169"/>
        <v>0.79728599581616744</v>
      </c>
      <c r="G953">
        <f t="shared" si="172"/>
        <v>5.9999999999997833E-3</v>
      </c>
      <c r="H953">
        <f>IF(MOD(COUNTA($C$7:C953)-1,$J$2),H952,ROUND(F953*P953,-2))</f>
        <v>7900</v>
      </c>
      <c r="I953">
        <f t="shared" si="173"/>
        <v>0</v>
      </c>
      <c r="J953">
        <f t="shared" si="174"/>
        <v>0</v>
      </c>
      <c r="K953">
        <f t="shared" si="175"/>
        <v>-16620.06840245807</v>
      </c>
      <c r="L953">
        <f t="shared" si="176"/>
        <v>1636.8315975419282</v>
      </c>
      <c r="M953">
        <f t="shared" si="177"/>
        <v>47.399999999997817</v>
      </c>
      <c r="N953">
        <f t="shared" si="179"/>
        <v>1636.8315975419282</v>
      </c>
      <c r="O953" s="5">
        <f t="shared" si="170"/>
        <v>1.6794564231045528E-2</v>
      </c>
      <c r="P953">
        <f t="shared" si="178"/>
        <v>10000</v>
      </c>
      <c r="Q953">
        <f t="shared" si="171"/>
        <v>167.94564231045527</v>
      </c>
    </row>
    <row r="954" spans="1:17" x14ac:dyDescent="0.15">
      <c r="A954" s="10">
        <v>45899.583333333023</v>
      </c>
      <c r="B954">
        <f>COUNT(A954:$A$1158)/(48*252)</f>
        <v>1.6947751322751323E-2</v>
      </c>
      <c r="C954">
        <v>2.3149999999999999</v>
      </c>
      <c r="D954">
        <v>0.115</v>
      </c>
      <c r="E954">
        <f t="shared" si="168"/>
        <v>0.8617193456221619</v>
      </c>
      <c r="F954">
        <f t="shared" si="169"/>
        <v>0.80557901136367616</v>
      </c>
      <c r="G954">
        <f t="shared" si="172"/>
        <v>4.0000000000000036E-3</v>
      </c>
      <c r="H954">
        <f>IF(MOD(COUNTA($C$7:C954)-1,$J$2),H953,ROUND(F954*P954,-2))</f>
        <v>7900</v>
      </c>
      <c r="I954">
        <f t="shared" si="173"/>
        <v>0</v>
      </c>
      <c r="J954">
        <f t="shared" si="174"/>
        <v>0</v>
      </c>
      <c r="K954">
        <f t="shared" si="175"/>
        <v>-16620.06840245807</v>
      </c>
      <c r="L954">
        <f t="shared" si="176"/>
        <v>1668.4315975419304</v>
      </c>
      <c r="M954">
        <f t="shared" si="177"/>
        <v>31.600000000002183</v>
      </c>
      <c r="N954">
        <f t="shared" si="179"/>
        <v>1668.4315975419304</v>
      </c>
      <c r="O954" s="5">
        <f t="shared" si="170"/>
        <v>1.5904248063813298E-2</v>
      </c>
      <c r="P954">
        <f t="shared" si="178"/>
        <v>10000</v>
      </c>
      <c r="Q954">
        <f t="shared" si="171"/>
        <v>159.04248063813299</v>
      </c>
    </row>
    <row r="955" spans="1:17" x14ac:dyDescent="0.15">
      <c r="A955" s="10">
        <v>45899.586805555969</v>
      </c>
      <c r="B955">
        <f>COUNT(A955:$A$1158)/(48*252)</f>
        <v>1.6865079365079364E-2</v>
      </c>
      <c r="C955">
        <v>2.319</v>
      </c>
      <c r="D955">
        <v>0.11700000000000001</v>
      </c>
      <c r="E955">
        <f t="shared" si="168"/>
        <v>0.89157478270577462</v>
      </c>
      <c r="F955">
        <f t="shared" si="169"/>
        <v>0.81368955421131273</v>
      </c>
      <c r="G955">
        <f t="shared" si="172"/>
        <v>4.0000000000000036E-3</v>
      </c>
      <c r="H955">
        <f>IF(MOD(COUNTA($C$7:C955)-1,$J$2),H954,ROUND(F955*P955,-2))</f>
        <v>8100</v>
      </c>
      <c r="I955">
        <f t="shared" si="173"/>
        <v>200</v>
      </c>
      <c r="J955">
        <f t="shared" si="174"/>
        <v>0</v>
      </c>
      <c r="K955">
        <f t="shared" si="175"/>
        <v>-17083.88927345807</v>
      </c>
      <c r="L955">
        <f t="shared" si="176"/>
        <v>1700.0107265419283</v>
      </c>
      <c r="M955">
        <f t="shared" si="177"/>
        <v>31.57912899999792</v>
      </c>
      <c r="N955">
        <f t="shared" si="179"/>
        <v>1700.0107265419283</v>
      </c>
      <c r="O955" s="5">
        <f t="shared" si="170"/>
        <v>1.5048763643189578E-2</v>
      </c>
      <c r="P955">
        <f t="shared" si="178"/>
        <v>10000</v>
      </c>
      <c r="Q955">
        <f t="shared" si="171"/>
        <v>150.48763643189577</v>
      </c>
    </row>
    <row r="956" spans="1:17" x14ac:dyDescent="0.15">
      <c r="A956" s="10">
        <v>45899.590277777985</v>
      </c>
      <c r="B956">
        <f>COUNT(A956:$A$1158)/(48*252)</f>
        <v>1.6782407407407409E-2</v>
      </c>
      <c r="C956">
        <v>2.3149999999999999</v>
      </c>
      <c r="D956">
        <v>0.114</v>
      </c>
      <c r="E956">
        <f t="shared" si="168"/>
        <v>0.8655697383006552</v>
      </c>
      <c r="F956">
        <f t="shared" si="169"/>
        <v>0.80663692161360334</v>
      </c>
      <c r="G956">
        <f t="shared" si="172"/>
        <v>-4.0000000000000036E-3</v>
      </c>
      <c r="H956">
        <f>IF(MOD(COUNTA($C$7:C956)-1,$J$2),H955,ROUND(F956*P956,-2))</f>
        <v>8100</v>
      </c>
      <c r="I956">
        <f t="shared" si="173"/>
        <v>0</v>
      </c>
      <c r="J956">
        <f t="shared" si="174"/>
        <v>0</v>
      </c>
      <c r="K956">
        <f t="shared" si="175"/>
        <v>-17083.88927345807</v>
      </c>
      <c r="L956">
        <f t="shared" si="176"/>
        <v>1667.6107265419305</v>
      </c>
      <c r="M956">
        <f t="shared" si="177"/>
        <v>-32.399999999997817</v>
      </c>
      <c r="N956">
        <f t="shared" si="179"/>
        <v>1667.6107265419305</v>
      </c>
      <c r="O956" s="5">
        <f t="shared" si="170"/>
        <v>1.5713883528338191E-2</v>
      </c>
      <c r="P956">
        <f t="shared" si="178"/>
        <v>10000</v>
      </c>
      <c r="Q956">
        <f t="shared" si="171"/>
        <v>157.13883528338189</v>
      </c>
    </row>
    <row r="957" spans="1:17" x14ac:dyDescent="0.15">
      <c r="A957" s="10">
        <v>45899.59375</v>
      </c>
      <c r="B957">
        <f>COUNT(A957:$A$1158)/(48*252)</f>
        <v>1.6699735449735451E-2</v>
      </c>
      <c r="C957">
        <v>2.3180000000000001</v>
      </c>
      <c r="D957">
        <v>0.11600000000000001</v>
      </c>
      <c r="E957">
        <f t="shared" si="168"/>
        <v>0.88857823561185767</v>
      </c>
      <c r="F957">
        <f t="shared" si="169"/>
        <v>0.81288510387748947</v>
      </c>
      <c r="G957">
        <f t="shared" si="172"/>
        <v>3.0000000000001137E-3</v>
      </c>
      <c r="H957">
        <f>IF(MOD(COUNTA($C$7:C957)-1,$J$2),H956,ROUND(F957*P957,-2))</f>
        <v>8100</v>
      </c>
      <c r="I957">
        <f t="shared" si="173"/>
        <v>0</v>
      </c>
      <c r="J957">
        <f t="shared" si="174"/>
        <v>0</v>
      </c>
      <c r="K957">
        <f t="shared" si="175"/>
        <v>-17083.88927345807</v>
      </c>
      <c r="L957">
        <f t="shared" si="176"/>
        <v>1691.9107265419298</v>
      </c>
      <c r="M957">
        <f t="shared" si="177"/>
        <v>24.299999999999272</v>
      </c>
      <c r="N957">
        <f t="shared" si="179"/>
        <v>1691.9107265419298</v>
      </c>
      <c r="O957" s="5">
        <f t="shared" si="170"/>
        <v>1.5048694627158521E-2</v>
      </c>
      <c r="P957">
        <f t="shared" si="178"/>
        <v>10000</v>
      </c>
      <c r="Q957">
        <f t="shared" si="171"/>
        <v>150.4869462715852</v>
      </c>
    </row>
    <row r="958" spans="1:17" x14ac:dyDescent="0.15">
      <c r="A958" s="10">
        <v>45899.597222222015</v>
      </c>
      <c r="B958">
        <f>COUNT(A958:$A$1158)/(48*252)</f>
        <v>1.6617063492063492E-2</v>
      </c>
      <c r="C958">
        <v>2.3199999999999998</v>
      </c>
      <c r="D958">
        <v>0.11700000000000001</v>
      </c>
      <c r="E958">
        <f t="shared" si="168"/>
        <v>0.90465336648658423</v>
      </c>
      <c r="F958">
        <f t="shared" si="169"/>
        <v>0.81717547320599371</v>
      </c>
      <c r="G958">
        <f t="shared" si="172"/>
        <v>1.9999999999997797E-3</v>
      </c>
      <c r="H958">
        <f>IF(MOD(COUNTA($C$7:C958)-1,$J$2),H957,ROUND(F958*P958,-2))</f>
        <v>8100</v>
      </c>
      <c r="I958">
        <f t="shared" si="173"/>
        <v>0</v>
      </c>
      <c r="J958">
        <f t="shared" si="174"/>
        <v>0</v>
      </c>
      <c r="K958">
        <f t="shared" si="175"/>
        <v>-17083.88927345807</v>
      </c>
      <c r="L958">
        <f t="shared" si="176"/>
        <v>1708.1107265419305</v>
      </c>
      <c r="M958">
        <f t="shared" si="177"/>
        <v>16.200000000000728</v>
      </c>
      <c r="N958">
        <f t="shared" si="179"/>
        <v>1708.1107265419305</v>
      </c>
      <c r="O958" s="5">
        <f t="shared" si="170"/>
        <v>1.458554255939204E-2</v>
      </c>
      <c r="P958">
        <f t="shared" si="178"/>
        <v>10000</v>
      </c>
      <c r="Q958">
        <f t="shared" si="171"/>
        <v>145.85542559392039</v>
      </c>
    </row>
    <row r="959" spans="1:17" x14ac:dyDescent="0.15">
      <c r="A959" s="10">
        <v>45899.600694444962</v>
      </c>
      <c r="B959">
        <f>COUNT(A959:$A$1158)/(48*252)</f>
        <v>1.6534391534391533E-2</v>
      </c>
      <c r="C959">
        <v>2.3199999999999998</v>
      </c>
      <c r="D959">
        <v>0.11799999999999999</v>
      </c>
      <c r="E959">
        <f t="shared" si="168"/>
        <v>0.90671868183551196</v>
      </c>
      <c r="F959">
        <f t="shared" si="169"/>
        <v>0.81772220920565242</v>
      </c>
      <c r="G959">
        <f t="shared" si="172"/>
        <v>0</v>
      </c>
      <c r="H959">
        <f>IF(MOD(COUNTA($C$7:C959)-1,$J$2),H958,ROUND(F959*P959,-2))</f>
        <v>8100</v>
      </c>
      <c r="I959">
        <f t="shared" si="173"/>
        <v>0</v>
      </c>
      <c r="J959">
        <f t="shared" si="174"/>
        <v>0</v>
      </c>
      <c r="K959">
        <f t="shared" si="175"/>
        <v>-17083.88927345807</v>
      </c>
      <c r="L959">
        <f t="shared" si="176"/>
        <v>1708.1107265419305</v>
      </c>
      <c r="M959">
        <f t="shared" si="177"/>
        <v>0</v>
      </c>
      <c r="N959">
        <f t="shared" si="179"/>
        <v>1708.1107265419305</v>
      </c>
      <c r="O959" s="5">
        <f t="shared" si="170"/>
        <v>1.44928029712037E-2</v>
      </c>
      <c r="P959">
        <f t="shared" si="178"/>
        <v>10000</v>
      </c>
      <c r="Q959">
        <f t="shared" si="171"/>
        <v>144.92802971203699</v>
      </c>
    </row>
    <row r="960" spans="1:17" x14ac:dyDescent="0.15">
      <c r="A960" s="10">
        <v>45899.604166666977</v>
      </c>
      <c r="B960">
        <f>COUNT(A960:$A$1158)/(48*252)</f>
        <v>1.6451719576719578E-2</v>
      </c>
      <c r="C960">
        <v>2.323</v>
      </c>
      <c r="D960">
        <v>0.12</v>
      </c>
      <c r="E960">
        <f t="shared" si="168"/>
        <v>0.92997366873871201</v>
      </c>
      <c r="F960">
        <f t="shared" si="169"/>
        <v>0.82380764101996051</v>
      </c>
      <c r="G960">
        <f t="shared" si="172"/>
        <v>3.0000000000001137E-3</v>
      </c>
      <c r="H960">
        <f>IF(MOD(COUNTA($C$7:C960)-1,$J$2),H959,ROUND(F960*P960,-2))</f>
        <v>8100</v>
      </c>
      <c r="I960">
        <f t="shared" si="173"/>
        <v>0</v>
      </c>
      <c r="J960">
        <f t="shared" si="174"/>
        <v>0</v>
      </c>
      <c r="K960">
        <f t="shared" si="175"/>
        <v>-17083.88927345807</v>
      </c>
      <c r="L960">
        <f t="shared" si="176"/>
        <v>1732.4107265419298</v>
      </c>
      <c r="M960">
        <f t="shared" si="177"/>
        <v>24.299999999999272</v>
      </c>
      <c r="N960">
        <f t="shared" si="179"/>
        <v>1732.4107265419298</v>
      </c>
      <c r="O960" s="5">
        <f t="shared" si="170"/>
        <v>1.3863150220475073E-2</v>
      </c>
      <c r="P960">
        <f t="shared" si="178"/>
        <v>10000</v>
      </c>
      <c r="Q960">
        <f t="shared" si="171"/>
        <v>138.63150220475075</v>
      </c>
    </row>
    <row r="961" spans="1:17" x14ac:dyDescent="0.15">
      <c r="A961" s="10">
        <v>45899.607638888992</v>
      </c>
      <c r="B961">
        <f>COUNT(A961:$A$1158)/(48*252)</f>
        <v>1.636904761904762E-2</v>
      </c>
      <c r="C961">
        <v>2.323</v>
      </c>
      <c r="D961">
        <v>0.12</v>
      </c>
      <c r="E961">
        <f t="shared" si="168"/>
        <v>0.93212465650503495</v>
      </c>
      <c r="F961">
        <f t="shared" si="169"/>
        <v>0.82436394652415945</v>
      </c>
      <c r="G961">
        <f t="shared" si="172"/>
        <v>0</v>
      </c>
      <c r="H961">
        <f>IF(MOD(COUNTA($C$7:C961)-1,$J$2),H960,ROUND(F961*P961,-2))</f>
        <v>8200</v>
      </c>
      <c r="I961">
        <f t="shared" si="173"/>
        <v>100</v>
      </c>
      <c r="J961">
        <f t="shared" si="174"/>
        <v>0</v>
      </c>
      <c r="K961">
        <f t="shared" si="175"/>
        <v>-17316.199726958068</v>
      </c>
      <c r="L961">
        <f t="shared" si="176"/>
        <v>1732.4002730419306</v>
      </c>
      <c r="M961">
        <f t="shared" si="177"/>
        <v>-1.0453499999130145E-2</v>
      </c>
      <c r="N961">
        <f t="shared" si="179"/>
        <v>1732.4002730419306</v>
      </c>
      <c r="O961" s="5">
        <f t="shared" si="170"/>
        <v>1.3771952394558529E-2</v>
      </c>
      <c r="P961">
        <f t="shared" si="178"/>
        <v>10000</v>
      </c>
      <c r="Q961">
        <f t="shared" si="171"/>
        <v>137.71952394558528</v>
      </c>
    </row>
    <row r="962" spans="1:17" x14ac:dyDescent="0.15">
      <c r="A962" s="10">
        <v>45899.611111111008</v>
      </c>
      <c r="B962">
        <f>COUNT(A962:$A$1158)/(48*252)</f>
        <v>1.6286375661375661E-2</v>
      </c>
      <c r="C962">
        <v>2.3290000000000002</v>
      </c>
      <c r="D962">
        <v>0.124</v>
      </c>
      <c r="E962">
        <f t="shared" si="168"/>
        <v>0.9767718636920143</v>
      </c>
      <c r="F962">
        <f t="shared" si="169"/>
        <v>0.83565894578729483</v>
      </c>
      <c r="G962">
        <f t="shared" si="172"/>
        <v>6.0000000000002274E-3</v>
      </c>
      <c r="H962">
        <f>IF(MOD(COUNTA($C$7:C962)-1,$J$2),H961,ROUND(F962*P962,-2))</f>
        <v>8200</v>
      </c>
      <c r="I962">
        <f t="shared" si="173"/>
        <v>0</v>
      </c>
      <c r="J962">
        <f t="shared" si="174"/>
        <v>0</v>
      </c>
      <c r="K962">
        <f t="shared" si="175"/>
        <v>-17316.199726958068</v>
      </c>
      <c r="L962">
        <f t="shared" si="176"/>
        <v>1781.600273041935</v>
      </c>
      <c r="M962">
        <f t="shared" si="177"/>
        <v>49.200000000004366</v>
      </c>
      <c r="N962">
        <f t="shared" si="179"/>
        <v>1781.600273041935</v>
      </c>
      <c r="O962" s="5">
        <f t="shared" si="170"/>
        <v>1.2662682837345063E-2</v>
      </c>
      <c r="P962">
        <f t="shared" si="178"/>
        <v>10000</v>
      </c>
      <c r="Q962">
        <f t="shared" si="171"/>
        <v>126.62682837345062</v>
      </c>
    </row>
    <row r="963" spans="1:17" x14ac:dyDescent="0.15">
      <c r="A963" s="10">
        <v>45899.614583333023</v>
      </c>
      <c r="B963">
        <f>COUNT(A963:$A$1158)/(48*252)</f>
        <v>1.6203703703703703E-2</v>
      </c>
      <c r="C963">
        <v>2.3359999999999999</v>
      </c>
      <c r="D963">
        <v>0.13</v>
      </c>
      <c r="E963">
        <f t="shared" si="168"/>
        <v>1.0286120762520621</v>
      </c>
      <c r="F963">
        <f t="shared" si="169"/>
        <v>0.84816899954807223</v>
      </c>
      <c r="G963">
        <f t="shared" si="172"/>
        <v>6.9999999999996732E-3</v>
      </c>
      <c r="H963">
        <f>IF(MOD(COUNTA($C$7:C963)-1,$J$2),H962,ROUND(F963*P963,-2))</f>
        <v>8200</v>
      </c>
      <c r="I963">
        <f t="shared" si="173"/>
        <v>0</v>
      </c>
      <c r="J963">
        <f t="shared" si="174"/>
        <v>0</v>
      </c>
      <c r="K963">
        <f t="shared" si="175"/>
        <v>-17316.199726958068</v>
      </c>
      <c r="L963">
        <f t="shared" si="176"/>
        <v>1839.0002730419292</v>
      </c>
      <c r="M963">
        <f t="shared" si="177"/>
        <v>57.399999999994179</v>
      </c>
      <c r="N963">
        <f t="shared" si="179"/>
        <v>1839.0002730419292</v>
      </c>
      <c r="O963" s="5">
        <f t="shared" si="170"/>
        <v>1.1470525249844488E-2</v>
      </c>
      <c r="P963">
        <f t="shared" si="178"/>
        <v>10000</v>
      </c>
      <c r="Q963">
        <f t="shared" si="171"/>
        <v>114.70525249844488</v>
      </c>
    </row>
    <row r="964" spans="1:17" x14ac:dyDescent="0.15">
      <c r="A964" s="10">
        <v>45899.618055555969</v>
      </c>
      <c r="B964">
        <f>COUNT(A964:$A$1158)/(48*252)</f>
        <v>1.6121031746031748E-2</v>
      </c>
      <c r="C964">
        <v>2.3319999999999999</v>
      </c>
      <c r="D964">
        <v>0.127</v>
      </c>
      <c r="E964">
        <f t="shared" si="168"/>
        <v>1.0026833430190221</v>
      </c>
      <c r="F964">
        <f t="shared" si="169"/>
        <v>0.84199316538952984</v>
      </c>
      <c r="G964">
        <f t="shared" si="172"/>
        <v>-4.0000000000000036E-3</v>
      </c>
      <c r="H964">
        <f>IF(MOD(COUNTA($C$7:C964)-1,$J$2),H963,ROUND(F964*P964,-2))</f>
        <v>8200</v>
      </c>
      <c r="I964">
        <f t="shared" si="173"/>
        <v>0</v>
      </c>
      <c r="J964">
        <f t="shared" si="174"/>
        <v>0</v>
      </c>
      <c r="K964">
        <f t="shared" si="175"/>
        <v>-17316.199726958068</v>
      </c>
      <c r="L964">
        <f t="shared" si="176"/>
        <v>1806.2002730419299</v>
      </c>
      <c r="M964">
        <f t="shared" si="177"/>
        <v>-32.799999999999272</v>
      </c>
      <c r="N964">
        <f t="shared" si="179"/>
        <v>1806.2002730419299</v>
      </c>
      <c r="O964" s="5">
        <f t="shared" si="170"/>
        <v>1.2005051000011258E-2</v>
      </c>
      <c r="P964">
        <f t="shared" si="178"/>
        <v>10000</v>
      </c>
      <c r="Q964">
        <f t="shared" si="171"/>
        <v>120.05051000011258</v>
      </c>
    </row>
    <row r="965" spans="1:17" x14ac:dyDescent="0.15">
      <c r="A965" s="10">
        <v>45899.621527777985</v>
      </c>
      <c r="B965">
        <f>COUNT(A965:$A$1158)/(48*252)</f>
        <v>1.6038359788359789E-2</v>
      </c>
      <c r="C965">
        <v>2.3330000000000002</v>
      </c>
      <c r="D965">
        <v>0.126</v>
      </c>
      <c r="E965">
        <f t="shared" si="168"/>
        <v>1.0121823301551605</v>
      </c>
      <c r="F965">
        <f t="shared" si="169"/>
        <v>0.84427455842859844</v>
      </c>
      <c r="G965">
        <f t="shared" si="172"/>
        <v>1.000000000000334E-3</v>
      </c>
      <c r="H965">
        <f>IF(MOD(COUNTA($C$7:C965)-1,$J$2),H964,ROUND(F965*P965,-2))</f>
        <v>8200</v>
      </c>
      <c r="I965">
        <f t="shared" si="173"/>
        <v>0</v>
      </c>
      <c r="J965">
        <f t="shared" si="174"/>
        <v>0</v>
      </c>
      <c r="K965">
        <f t="shared" si="175"/>
        <v>-17316.199726958068</v>
      </c>
      <c r="L965">
        <f t="shared" si="176"/>
        <v>1814.4002730419343</v>
      </c>
      <c r="M965">
        <f t="shared" si="177"/>
        <v>8.2000000000043656</v>
      </c>
      <c r="N965">
        <f t="shared" si="179"/>
        <v>1814.4002730419343</v>
      </c>
      <c r="O965" s="5">
        <f t="shared" si="170"/>
        <v>1.1762229213743092E-2</v>
      </c>
      <c r="P965">
        <f t="shared" si="178"/>
        <v>10000</v>
      </c>
      <c r="Q965">
        <f t="shared" si="171"/>
        <v>117.62229213743092</v>
      </c>
    </row>
    <row r="966" spans="1:17" x14ac:dyDescent="0.15">
      <c r="A966" s="10">
        <v>45899.625</v>
      </c>
      <c r="B966">
        <f>COUNT(A966:$A$1158)/(48*252)</f>
        <v>1.5955687830687831E-2</v>
      </c>
      <c r="C966">
        <v>2.3330000000000002</v>
      </c>
      <c r="D966">
        <v>0.126</v>
      </c>
      <c r="E966">
        <f t="shared" si="168"/>
        <v>1.014604200416118</v>
      </c>
      <c r="F966">
        <f t="shared" si="169"/>
        <v>0.84485273185774701</v>
      </c>
      <c r="G966">
        <f t="shared" si="172"/>
        <v>0</v>
      </c>
      <c r="H966">
        <f>IF(MOD(COUNTA($C$7:C966)-1,$J$2),H965,ROUND(F966*P966,-2))</f>
        <v>8200</v>
      </c>
      <c r="I966">
        <f t="shared" si="173"/>
        <v>0</v>
      </c>
      <c r="J966">
        <f t="shared" si="174"/>
        <v>0</v>
      </c>
      <c r="K966">
        <f t="shared" si="175"/>
        <v>-17316.199726958068</v>
      </c>
      <c r="L966">
        <f t="shared" si="176"/>
        <v>1814.4002730419343</v>
      </c>
      <c r="M966">
        <f t="shared" si="177"/>
        <v>0</v>
      </c>
      <c r="N966">
        <f t="shared" si="179"/>
        <v>1814.4002730419343</v>
      </c>
      <c r="O966" s="5">
        <f t="shared" si="170"/>
        <v>1.1676544692256041E-2</v>
      </c>
      <c r="P966">
        <f t="shared" si="178"/>
        <v>10000</v>
      </c>
      <c r="Q966">
        <f t="shared" si="171"/>
        <v>116.76544692256041</v>
      </c>
    </row>
    <row r="967" spans="1:17" x14ac:dyDescent="0.15">
      <c r="A967" s="10">
        <v>45900.399305555969</v>
      </c>
      <c r="B967">
        <f>COUNT(A967:$A$1158)/(48*252)</f>
        <v>1.5873015873015872E-2</v>
      </c>
      <c r="C967">
        <v>2.3319999999999999</v>
      </c>
      <c r="D967">
        <v>0.13100000000000001</v>
      </c>
      <c r="E967">
        <f t="shared" si="168"/>
        <v>1.0098939794925741</v>
      </c>
      <c r="F967">
        <f t="shared" si="169"/>
        <v>0.84372695629002681</v>
      </c>
      <c r="G967">
        <f t="shared" si="172"/>
        <v>-1.000000000000334E-3</v>
      </c>
      <c r="H967">
        <f>IF(MOD(COUNTA($C$7:C967)-1,$J$2),H966,ROUND(F967*P967,-2))</f>
        <v>8400</v>
      </c>
      <c r="I967">
        <f t="shared" si="173"/>
        <v>200</v>
      </c>
      <c r="J967">
        <f t="shared" si="174"/>
        <v>0</v>
      </c>
      <c r="K967">
        <f t="shared" si="175"/>
        <v>-17782.62071495807</v>
      </c>
      <c r="L967">
        <f t="shared" si="176"/>
        <v>1806.1792850419297</v>
      </c>
      <c r="M967">
        <f t="shared" si="177"/>
        <v>-8.2209880000045814</v>
      </c>
      <c r="N967">
        <f t="shared" si="179"/>
        <v>1806.1792850419297</v>
      </c>
      <c r="O967" s="5">
        <f t="shared" si="170"/>
        <v>1.174626427523312E-2</v>
      </c>
      <c r="P967">
        <f t="shared" si="178"/>
        <v>10000</v>
      </c>
      <c r="Q967">
        <f t="shared" si="171"/>
        <v>117.46264275233121</v>
      </c>
    </row>
    <row r="968" spans="1:17" x14ac:dyDescent="0.15">
      <c r="A968" s="10">
        <v>45900.402777777985</v>
      </c>
      <c r="B968">
        <f>COUNT(A968:$A$1158)/(48*252)</f>
        <v>1.5790343915343917E-2</v>
      </c>
      <c r="C968">
        <v>2.3370000000000002</v>
      </c>
      <c r="D968">
        <v>0.13600000000000001</v>
      </c>
      <c r="E968">
        <f t="shared" ref="E968:E1031" si="180">(LN(C968/$B$2)+($B$1+0.5*$D$1*$D$1)*B968)/($D$1*SQRT(B968))</f>
        <v>1.0481565070888519</v>
      </c>
      <c r="F968">
        <f t="shared" ref="F968:F1031" si="181">NORMSDIST(E968)</f>
        <v>0.85271674734847058</v>
      </c>
      <c r="G968">
        <f t="shared" si="172"/>
        <v>5.0000000000003375E-3</v>
      </c>
      <c r="H968">
        <f>IF(MOD(COUNTA($C$7:C968)-1,$J$2),H967,ROUND(F968*P968,-2))</f>
        <v>8400</v>
      </c>
      <c r="I968">
        <f t="shared" si="173"/>
        <v>0</v>
      </c>
      <c r="J968">
        <f t="shared" si="174"/>
        <v>0</v>
      </c>
      <c r="K968">
        <f t="shared" si="175"/>
        <v>-17782.62071495807</v>
      </c>
      <c r="L968">
        <f t="shared" si="176"/>
        <v>1848.1792850419333</v>
      </c>
      <c r="M968">
        <f t="shared" si="177"/>
        <v>42.000000000003638</v>
      </c>
      <c r="N968">
        <f t="shared" si="179"/>
        <v>1848.1792850419333</v>
      </c>
      <c r="O968" s="5">
        <f t="shared" ref="O968:O1031" si="182">put_bs($B$1,$J$1,C968,$B$2,B968)</f>
        <v>1.0902674715288441E-2</v>
      </c>
      <c r="P968">
        <f t="shared" si="178"/>
        <v>10000</v>
      </c>
      <c r="Q968">
        <f t="shared" ref="Q968:Q1031" si="183">P968*O968</f>
        <v>109.02674715288441</v>
      </c>
    </row>
    <row r="969" spans="1:17" x14ac:dyDescent="0.15">
      <c r="A969" s="10">
        <v>45900.40625</v>
      </c>
      <c r="B969">
        <f>COUNT(A969:$A$1158)/(48*252)</f>
        <v>1.5707671957671959E-2</v>
      </c>
      <c r="C969">
        <v>2.3319999999999999</v>
      </c>
      <c r="D969">
        <v>0.13</v>
      </c>
      <c r="E969">
        <f t="shared" si="180"/>
        <v>1.0147982469854575</v>
      </c>
      <c r="F969">
        <f t="shared" si="181"/>
        <v>0.84489899522105216</v>
      </c>
      <c r="G969">
        <f t="shared" ref="G969:G1032" si="184">C969-C968</f>
        <v>-5.0000000000003375E-3</v>
      </c>
      <c r="H969">
        <f>IF(MOD(COUNTA($C$7:C969)-1,$J$2),H968,ROUND(F969*P969,-2))</f>
        <v>8400</v>
      </c>
      <c r="I969">
        <f t="shared" ref="I969:I1032" si="185">H969-H968</f>
        <v>0</v>
      </c>
      <c r="J969">
        <f t="shared" ref="J969:J1032" si="186">J968</f>
        <v>0</v>
      </c>
      <c r="K969">
        <f t="shared" ref="K969:K1032" si="187">K968-I969*C969-ABS(I969*C969*$F$2)</f>
        <v>-17782.62071495807</v>
      </c>
      <c r="L969">
        <f t="shared" ref="L969:L1032" si="188">K969+H969*C969</f>
        <v>1806.1792850419297</v>
      </c>
      <c r="M969">
        <f t="shared" ref="M969:M1032" si="189">L969-L968</f>
        <v>-42.000000000003638</v>
      </c>
      <c r="N969">
        <f t="shared" si="179"/>
        <v>1806.1792850419297</v>
      </c>
      <c r="O969" s="5">
        <f t="shared" si="182"/>
        <v>1.1573655822643969E-2</v>
      </c>
      <c r="P969">
        <f t="shared" ref="P969:P1032" si="190">P968</f>
        <v>10000</v>
      </c>
      <c r="Q969">
        <f t="shared" si="183"/>
        <v>115.73655822643968</v>
      </c>
    </row>
    <row r="970" spans="1:17" x14ac:dyDescent="0.15">
      <c r="A970" s="10">
        <v>45900.409722222015</v>
      </c>
      <c r="B970">
        <f>COUNT(A970:$A$1158)/(48*252)</f>
        <v>1.5625E-2</v>
      </c>
      <c r="C970">
        <v>2.3330000000000002</v>
      </c>
      <c r="D970">
        <v>0.13100000000000001</v>
      </c>
      <c r="E970">
        <f t="shared" si="180"/>
        <v>1.0244883415954622</v>
      </c>
      <c r="F970">
        <f t="shared" si="181"/>
        <v>0.84719766267625529</v>
      </c>
      <c r="G970">
        <f t="shared" si="184"/>
        <v>1.000000000000334E-3</v>
      </c>
      <c r="H970">
        <f>IF(MOD(COUNTA($C$7:C970)-1,$J$2),H969,ROUND(F970*P970,-2))</f>
        <v>8400</v>
      </c>
      <c r="I970">
        <f t="shared" si="185"/>
        <v>0</v>
      </c>
      <c r="J970">
        <f t="shared" si="186"/>
        <v>0</v>
      </c>
      <c r="K970">
        <f t="shared" si="187"/>
        <v>-17782.62071495807</v>
      </c>
      <c r="L970">
        <f t="shared" si="188"/>
        <v>1814.5792850419311</v>
      </c>
      <c r="M970">
        <f t="shared" si="189"/>
        <v>8.4000000000014552</v>
      </c>
      <c r="N970">
        <f t="shared" ref="N970:N1033" si="191">L970-$F$1</f>
        <v>1814.5792850419311</v>
      </c>
      <c r="O970" s="5">
        <f t="shared" si="182"/>
        <v>1.1333674449628239E-2</v>
      </c>
      <c r="P970">
        <f t="shared" si="190"/>
        <v>10000</v>
      </c>
      <c r="Q970">
        <f t="shared" si="183"/>
        <v>113.33674449628239</v>
      </c>
    </row>
    <row r="971" spans="1:17" x14ac:dyDescent="0.15">
      <c r="A971" s="10">
        <v>45900.413194444962</v>
      </c>
      <c r="B971">
        <f>COUNT(A971:$A$1158)/(48*252)</f>
        <v>1.5542328042328041E-2</v>
      </c>
      <c r="C971">
        <v>2.331</v>
      </c>
      <c r="D971">
        <v>0.13300000000000001</v>
      </c>
      <c r="E971">
        <f t="shared" si="180"/>
        <v>1.0125523948571455</v>
      </c>
      <c r="F971">
        <f t="shared" si="181"/>
        <v>0.844362995875655</v>
      </c>
      <c r="G971">
        <f t="shared" si="184"/>
        <v>-2.0000000000002238E-3</v>
      </c>
      <c r="H971">
        <f>IF(MOD(COUNTA($C$7:C971)-1,$J$2),H970,ROUND(F971*P971,-2))</f>
        <v>8400</v>
      </c>
      <c r="I971">
        <f t="shared" si="185"/>
        <v>0</v>
      </c>
      <c r="J971">
        <f t="shared" si="186"/>
        <v>0</v>
      </c>
      <c r="K971">
        <f t="shared" si="187"/>
        <v>-17782.62071495807</v>
      </c>
      <c r="L971">
        <f t="shared" si="188"/>
        <v>1797.7792850419319</v>
      </c>
      <c r="M971">
        <f t="shared" si="189"/>
        <v>-16.799999999999272</v>
      </c>
      <c r="N971">
        <f t="shared" si="191"/>
        <v>1797.7792850419319</v>
      </c>
      <c r="O971" s="5">
        <f t="shared" si="182"/>
        <v>1.1555765259617601E-2</v>
      </c>
      <c r="P971">
        <f t="shared" si="190"/>
        <v>10000</v>
      </c>
      <c r="Q971">
        <f t="shared" si="183"/>
        <v>115.55765259617601</v>
      </c>
    </row>
    <row r="972" spans="1:17" x14ac:dyDescent="0.15">
      <c r="A972" s="10">
        <v>45900.416666666977</v>
      </c>
      <c r="B972">
        <f>COUNT(A972:$A$1158)/(48*252)</f>
        <v>1.5459656084656085E-2</v>
      </c>
      <c r="C972">
        <v>2.331</v>
      </c>
      <c r="D972">
        <v>0.13200000000000001</v>
      </c>
      <c r="E972">
        <f t="shared" si="180"/>
        <v>1.0150560334415852</v>
      </c>
      <c r="F972">
        <f t="shared" si="181"/>
        <v>0.84496044095863865</v>
      </c>
      <c r="G972">
        <f t="shared" si="184"/>
        <v>0</v>
      </c>
      <c r="H972">
        <f>IF(MOD(COUNTA($C$7:C972)-1,$J$2),H971,ROUND(F972*P972,-2))</f>
        <v>8400</v>
      </c>
      <c r="I972">
        <f t="shared" si="185"/>
        <v>0</v>
      </c>
      <c r="J972">
        <f t="shared" si="186"/>
        <v>0</v>
      </c>
      <c r="K972">
        <f t="shared" si="187"/>
        <v>-17782.62071495807</v>
      </c>
      <c r="L972">
        <f t="shared" si="188"/>
        <v>1797.7792850419319</v>
      </c>
      <c r="M972">
        <f t="shared" si="189"/>
        <v>0</v>
      </c>
      <c r="N972">
        <f t="shared" si="191"/>
        <v>1797.7792850419319</v>
      </c>
      <c r="O972" s="5">
        <f t="shared" si="182"/>
        <v>1.1468816020393791E-2</v>
      </c>
      <c r="P972">
        <f t="shared" si="190"/>
        <v>10000</v>
      </c>
      <c r="Q972">
        <f t="shared" si="183"/>
        <v>114.68816020393791</v>
      </c>
    </row>
    <row r="973" spans="1:17" x14ac:dyDescent="0.15">
      <c r="A973" s="10">
        <v>45900.420138888992</v>
      </c>
      <c r="B973">
        <f>COUNT(A973:$A$1158)/(48*252)</f>
        <v>1.5376984126984126E-2</v>
      </c>
      <c r="C973">
        <v>2.33</v>
      </c>
      <c r="D973">
        <v>0.13400000000000001</v>
      </c>
      <c r="E973">
        <f t="shared" si="180"/>
        <v>1.0103082062687563</v>
      </c>
      <c r="F973">
        <f t="shared" si="181"/>
        <v>0.84382617463738852</v>
      </c>
      <c r="G973">
        <f t="shared" si="184"/>
        <v>-9.9999999999988987E-4</v>
      </c>
      <c r="H973">
        <f>IF(MOD(COUNTA($C$7:C973)-1,$J$2),H972,ROUND(F973*P973,-2))</f>
        <v>8400</v>
      </c>
      <c r="I973">
        <f t="shared" si="185"/>
        <v>0</v>
      </c>
      <c r="J973">
        <f t="shared" si="186"/>
        <v>0</v>
      </c>
      <c r="K973">
        <f t="shared" si="187"/>
        <v>-17782.62071495807</v>
      </c>
      <c r="L973">
        <f t="shared" si="188"/>
        <v>1789.3792850419304</v>
      </c>
      <c r="M973">
        <f t="shared" si="189"/>
        <v>-8.4000000000014552</v>
      </c>
      <c r="N973">
        <f t="shared" si="191"/>
        <v>1789.3792850419304</v>
      </c>
      <c r="O973" s="5">
        <f t="shared" si="182"/>
        <v>1.1537157521074703E-2</v>
      </c>
      <c r="P973">
        <f t="shared" si="190"/>
        <v>10000</v>
      </c>
      <c r="Q973">
        <f t="shared" si="183"/>
        <v>115.37157521074704</v>
      </c>
    </row>
    <row r="974" spans="1:17" x14ac:dyDescent="0.15">
      <c r="A974" s="10">
        <v>45900.423611111008</v>
      </c>
      <c r="B974">
        <f>COUNT(A974:$A$1158)/(48*252)</f>
        <v>1.5294312169312169E-2</v>
      </c>
      <c r="C974">
        <v>2.3319999999999999</v>
      </c>
      <c r="D974">
        <v>0.13400000000000001</v>
      </c>
      <c r="E974">
        <f t="shared" si="180"/>
        <v>1.0274143609093755</v>
      </c>
      <c r="F974">
        <f t="shared" si="181"/>
        <v>0.84788730395762402</v>
      </c>
      <c r="G974">
        <f t="shared" si="184"/>
        <v>1.9999999999997797E-3</v>
      </c>
      <c r="H974">
        <f>IF(MOD(COUNTA($C$7:C974)-1,$J$2),H973,ROUND(F974*P974,-2))</f>
        <v>8400</v>
      </c>
      <c r="I974">
        <f t="shared" si="185"/>
        <v>0</v>
      </c>
      <c r="J974">
        <f t="shared" si="186"/>
        <v>0</v>
      </c>
      <c r="K974">
        <f t="shared" si="187"/>
        <v>-17782.62071495807</v>
      </c>
      <c r="L974">
        <f t="shared" si="188"/>
        <v>1806.1792850419297</v>
      </c>
      <c r="M974">
        <f t="shared" si="189"/>
        <v>16.799999999999272</v>
      </c>
      <c r="N974">
        <f t="shared" si="191"/>
        <v>1806.1792850419297</v>
      </c>
      <c r="O974" s="5">
        <f t="shared" si="182"/>
        <v>1.1141903052424462E-2</v>
      </c>
      <c r="P974">
        <f t="shared" si="190"/>
        <v>10000</v>
      </c>
      <c r="Q974">
        <f t="shared" si="183"/>
        <v>111.41903052424462</v>
      </c>
    </row>
    <row r="975" spans="1:17" x14ac:dyDescent="0.15">
      <c r="A975" s="10">
        <v>45900.427083333023</v>
      </c>
      <c r="B975">
        <f>COUNT(A975:$A$1158)/(48*252)</f>
        <v>1.5211640211640211E-2</v>
      </c>
      <c r="C975">
        <v>2.3279999999999998</v>
      </c>
      <c r="D975">
        <v>0.13100000000000001</v>
      </c>
      <c r="E975">
        <f t="shared" si="180"/>
        <v>1.0007481166960608</v>
      </c>
      <c r="F975">
        <f t="shared" si="181"/>
        <v>0.84152570069460286</v>
      </c>
      <c r="G975">
        <f t="shared" si="184"/>
        <v>-4.0000000000000036E-3</v>
      </c>
      <c r="H975">
        <f>IF(MOD(COUNTA($C$7:C975)-1,$J$2),H974,ROUND(F975*P975,-2))</f>
        <v>8400</v>
      </c>
      <c r="I975">
        <f t="shared" si="185"/>
        <v>0</v>
      </c>
      <c r="J975">
        <f t="shared" si="186"/>
        <v>0</v>
      </c>
      <c r="K975">
        <f t="shared" si="187"/>
        <v>-17782.62071495807</v>
      </c>
      <c r="L975">
        <f t="shared" si="188"/>
        <v>1772.5792850419275</v>
      </c>
      <c r="M975">
        <f t="shared" si="189"/>
        <v>-33.600000000002183</v>
      </c>
      <c r="N975">
        <f t="shared" si="191"/>
        <v>1772.5792850419275</v>
      </c>
      <c r="O975" s="5">
        <f t="shared" si="182"/>
        <v>1.1675407137160643E-2</v>
      </c>
      <c r="P975">
        <f t="shared" si="190"/>
        <v>10000</v>
      </c>
      <c r="Q975">
        <f t="shared" si="183"/>
        <v>116.75407137160643</v>
      </c>
    </row>
    <row r="976" spans="1:17" x14ac:dyDescent="0.15">
      <c r="A976" s="10">
        <v>45900.430555555969</v>
      </c>
      <c r="B976">
        <f>COUNT(A976:$A$1158)/(48*252)</f>
        <v>1.5128968253968254E-2</v>
      </c>
      <c r="C976">
        <v>2.33</v>
      </c>
      <c r="D976">
        <v>0.13100000000000001</v>
      </c>
      <c r="E976">
        <f t="shared" si="180"/>
        <v>1.0179488986709757</v>
      </c>
      <c r="F976">
        <f t="shared" si="181"/>
        <v>0.84564887916667852</v>
      </c>
      <c r="G976">
        <f t="shared" si="184"/>
        <v>2.0000000000002238E-3</v>
      </c>
      <c r="H976">
        <f>IF(MOD(COUNTA($C$7:C976)-1,$J$2),H975,ROUND(F976*P976,-2))</f>
        <v>8400</v>
      </c>
      <c r="I976">
        <f t="shared" si="185"/>
        <v>0</v>
      </c>
      <c r="J976">
        <f t="shared" si="186"/>
        <v>0</v>
      </c>
      <c r="K976">
        <f t="shared" si="187"/>
        <v>-17782.62071495807</v>
      </c>
      <c r="L976">
        <f t="shared" si="188"/>
        <v>1789.3792850419304</v>
      </c>
      <c r="M976">
        <f t="shared" si="189"/>
        <v>16.80000000000291</v>
      </c>
      <c r="N976">
        <f t="shared" si="191"/>
        <v>1789.3792850419304</v>
      </c>
      <c r="O976" s="5">
        <f t="shared" si="182"/>
        <v>1.1274368710040283E-2</v>
      </c>
      <c r="P976">
        <f t="shared" si="190"/>
        <v>10000</v>
      </c>
      <c r="Q976">
        <f t="shared" si="183"/>
        <v>112.74368710040284</v>
      </c>
    </row>
    <row r="977" spans="1:17" x14ac:dyDescent="0.15">
      <c r="A977" s="10">
        <v>45900.434027777985</v>
      </c>
      <c r="B977">
        <f>COUNT(A977:$A$1158)/(48*252)</f>
        <v>1.5046296296296295E-2</v>
      </c>
      <c r="C977">
        <v>2.3330000000000002</v>
      </c>
      <c r="D977">
        <v>0.13400000000000001</v>
      </c>
      <c r="E977">
        <f t="shared" si="180"/>
        <v>1.0425842711864994</v>
      </c>
      <c r="F977">
        <f t="shared" si="181"/>
        <v>0.85142956145991477</v>
      </c>
      <c r="G977">
        <f t="shared" si="184"/>
        <v>3.0000000000001137E-3</v>
      </c>
      <c r="H977">
        <f>IF(MOD(COUNTA($C$7:C977)-1,$J$2),H976,ROUND(F977*P977,-2))</f>
        <v>8400</v>
      </c>
      <c r="I977">
        <f t="shared" si="185"/>
        <v>0</v>
      </c>
      <c r="J977">
        <f t="shared" si="186"/>
        <v>0</v>
      </c>
      <c r="K977">
        <f t="shared" si="187"/>
        <v>-17782.62071495807</v>
      </c>
      <c r="L977">
        <f t="shared" si="188"/>
        <v>1814.5792850419311</v>
      </c>
      <c r="M977">
        <f t="shared" si="189"/>
        <v>25.200000000000728</v>
      </c>
      <c r="N977">
        <f t="shared" si="191"/>
        <v>1814.5792850419311</v>
      </c>
      <c r="O977" s="5">
        <f t="shared" si="182"/>
        <v>1.0733315036060953E-2</v>
      </c>
      <c r="P977">
        <f t="shared" si="190"/>
        <v>10000</v>
      </c>
      <c r="Q977">
        <f t="shared" si="183"/>
        <v>107.33315036060954</v>
      </c>
    </row>
    <row r="978" spans="1:17" x14ac:dyDescent="0.15">
      <c r="A978" s="10">
        <v>45900.4375</v>
      </c>
      <c r="B978">
        <f>COUNT(A978:$A$1158)/(48*252)</f>
        <v>1.4963624338624339E-2</v>
      </c>
      <c r="C978">
        <v>2.3340000000000001</v>
      </c>
      <c r="D978">
        <v>0.13200000000000001</v>
      </c>
      <c r="E978">
        <f t="shared" si="180"/>
        <v>1.0526194196163567</v>
      </c>
      <c r="F978">
        <f t="shared" si="181"/>
        <v>0.85374227339978204</v>
      </c>
      <c r="G978">
        <f t="shared" si="184"/>
        <v>9.9999999999988987E-4</v>
      </c>
      <c r="H978">
        <f>IF(MOD(COUNTA($C$7:C978)-1,$J$2),H977,ROUND(F978*P978,-2))</f>
        <v>8400</v>
      </c>
      <c r="I978">
        <f t="shared" si="185"/>
        <v>0</v>
      </c>
      <c r="J978">
        <f t="shared" si="186"/>
        <v>0</v>
      </c>
      <c r="K978">
        <f t="shared" si="187"/>
        <v>-17782.62071495807</v>
      </c>
      <c r="L978">
        <f t="shared" si="188"/>
        <v>1822.9792850419326</v>
      </c>
      <c r="M978">
        <f t="shared" si="189"/>
        <v>8.4000000000014552</v>
      </c>
      <c r="N978">
        <f t="shared" si="191"/>
        <v>1822.9792850419326</v>
      </c>
      <c r="O978" s="5">
        <f t="shared" si="182"/>
        <v>1.0500429905553055E-2</v>
      </c>
      <c r="P978">
        <f t="shared" si="190"/>
        <v>10000</v>
      </c>
      <c r="Q978">
        <f t="shared" si="183"/>
        <v>105.00429905553055</v>
      </c>
    </row>
    <row r="979" spans="1:17" x14ac:dyDescent="0.15">
      <c r="A979" s="10">
        <v>45900.440972222015</v>
      </c>
      <c r="B979">
        <f>COUNT(A979:$A$1158)/(48*252)</f>
        <v>1.488095238095238E-2</v>
      </c>
      <c r="C979">
        <v>2.3319999999999999</v>
      </c>
      <c r="D979">
        <v>0.13100000000000001</v>
      </c>
      <c r="E979">
        <f t="shared" si="180"/>
        <v>1.0405664385590261</v>
      </c>
      <c r="F979">
        <f t="shared" si="181"/>
        <v>0.85096159289301176</v>
      </c>
      <c r="G979">
        <f t="shared" si="184"/>
        <v>-2.0000000000002238E-3</v>
      </c>
      <c r="H979">
        <f>IF(MOD(COUNTA($C$7:C979)-1,$J$2),H978,ROUND(F979*P979,-2))</f>
        <v>8500</v>
      </c>
      <c r="I979">
        <f t="shared" si="185"/>
        <v>100</v>
      </c>
      <c r="J979">
        <f t="shared" si="186"/>
        <v>0</v>
      </c>
      <c r="K979">
        <f t="shared" si="187"/>
        <v>-18015.831208958069</v>
      </c>
      <c r="L979">
        <f t="shared" si="188"/>
        <v>1806.1687910419314</v>
      </c>
      <c r="M979">
        <f t="shared" si="189"/>
        <v>-16.810494000001199</v>
      </c>
      <c r="N979">
        <f t="shared" si="191"/>
        <v>1806.1687910419314</v>
      </c>
      <c r="O979" s="5">
        <f t="shared" si="182"/>
        <v>1.0709935415933736E-2</v>
      </c>
      <c r="P979">
        <f t="shared" si="190"/>
        <v>10000</v>
      </c>
      <c r="Q979">
        <f t="shared" si="183"/>
        <v>107.09935415933735</v>
      </c>
    </row>
    <row r="980" spans="1:17" x14ac:dyDescent="0.15">
      <c r="A980" s="10">
        <v>45900.444444444962</v>
      </c>
      <c r="B980">
        <f>COUNT(A980:$A$1158)/(48*252)</f>
        <v>1.4798280423280423E-2</v>
      </c>
      <c r="C980">
        <v>2.331</v>
      </c>
      <c r="D980">
        <v>0.129</v>
      </c>
      <c r="E980">
        <f t="shared" si="180"/>
        <v>1.0358546500487693</v>
      </c>
      <c r="F980">
        <f t="shared" si="181"/>
        <v>0.84986502134961217</v>
      </c>
      <c r="G980">
        <f t="shared" si="184"/>
        <v>-9.9999999999988987E-4</v>
      </c>
      <c r="H980">
        <f>IF(MOD(COUNTA($C$7:C980)-1,$J$2),H979,ROUND(F980*P980,-2))</f>
        <v>8500</v>
      </c>
      <c r="I980">
        <f t="shared" si="185"/>
        <v>0</v>
      </c>
      <c r="J980">
        <f t="shared" si="186"/>
        <v>0</v>
      </c>
      <c r="K980">
        <f t="shared" si="187"/>
        <v>-18015.831208958069</v>
      </c>
      <c r="L980">
        <f t="shared" si="188"/>
        <v>1797.6687910419314</v>
      </c>
      <c r="M980">
        <f t="shared" si="189"/>
        <v>-8.5</v>
      </c>
      <c r="N980">
        <f t="shared" si="191"/>
        <v>1797.6687910419314</v>
      </c>
      <c r="O980" s="5">
        <f t="shared" si="182"/>
        <v>1.0772802603263687E-2</v>
      </c>
      <c r="P980">
        <f t="shared" si="190"/>
        <v>10000</v>
      </c>
      <c r="Q980">
        <f t="shared" si="183"/>
        <v>107.72802603263688</v>
      </c>
    </row>
    <row r="981" spans="1:17" x14ac:dyDescent="0.15">
      <c r="A981" s="10">
        <v>45900.447916666977</v>
      </c>
      <c r="B981">
        <f>COUNT(A981:$A$1158)/(48*252)</f>
        <v>1.4715608465608465E-2</v>
      </c>
      <c r="C981">
        <v>2.3279999999999998</v>
      </c>
      <c r="D981">
        <v>0.129</v>
      </c>
      <c r="E981">
        <f t="shared" si="180"/>
        <v>1.0162442251500219</v>
      </c>
      <c r="F981">
        <f t="shared" si="181"/>
        <v>0.84524344940237528</v>
      </c>
      <c r="G981">
        <f t="shared" si="184"/>
        <v>-3.0000000000001137E-3</v>
      </c>
      <c r="H981">
        <f>IF(MOD(COUNTA($C$7:C981)-1,$J$2),H980,ROUND(F981*P981,-2))</f>
        <v>8500</v>
      </c>
      <c r="I981">
        <f t="shared" si="185"/>
        <v>0</v>
      </c>
      <c r="J981">
        <f t="shared" si="186"/>
        <v>0</v>
      </c>
      <c r="K981">
        <f t="shared" si="187"/>
        <v>-18015.831208958069</v>
      </c>
      <c r="L981">
        <f t="shared" si="188"/>
        <v>1772.1687910419314</v>
      </c>
      <c r="M981">
        <f t="shared" si="189"/>
        <v>-25.5</v>
      </c>
      <c r="N981">
        <f t="shared" si="191"/>
        <v>1772.1687910419314</v>
      </c>
      <c r="O981" s="5">
        <f t="shared" si="182"/>
        <v>1.1142128760293246E-2</v>
      </c>
      <c r="P981">
        <f t="shared" si="190"/>
        <v>10000</v>
      </c>
      <c r="Q981">
        <f t="shared" si="183"/>
        <v>111.42128760293247</v>
      </c>
    </row>
    <row r="982" spans="1:17" x14ac:dyDescent="0.15">
      <c r="A982" s="10">
        <v>45900.451388888992</v>
      </c>
      <c r="B982">
        <f>COUNT(A982:$A$1158)/(48*252)</f>
        <v>1.4632936507936508E-2</v>
      </c>
      <c r="C982">
        <v>2.3279999999999998</v>
      </c>
      <c r="D982">
        <v>0.129</v>
      </c>
      <c r="E982">
        <f t="shared" si="180"/>
        <v>1.0189052421069897</v>
      </c>
      <c r="F982">
        <f t="shared" si="181"/>
        <v>0.84587602260631534</v>
      </c>
      <c r="G982">
        <f t="shared" si="184"/>
        <v>0</v>
      </c>
      <c r="H982">
        <f>IF(MOD(COUNTA($C$7:C982)-1,$J$2),H981,ROUND(F982*P982,-2))</f>
        <v>8500</v>
      </c>
      <c r="I982">
        <f t="shared" si="185"/>
        <v>0</v>
      </c>
      <c r="J982">
        <f t="shared" si="186"/>
        <v>0</v>
      </c>
      <c r="K982">
        <f t="shared" si="187"/>
        <v>-18015.831208958069</v>
      </c>
      <c r="L982">
        <f t="shared" si="188"/>
        <v>1772.1687910419314</v>
      </c>
      <c r="M982">
        <f t="shared" si="189"/>
        <v>0</v>
      </c>
      <c r="N982">
        <f t="shared" si="191"/>
        <v>1772.1687910419314</v>
      </c>
      <c r="O982" s="5">
        <f t="shared" si="182"/>
        <v>1.1053191687936059E-2</v>
      </c>
      <c r="P982">
        <f t="shared" si="190"/>
        <v>10000</v>
      </c>
      <c r="Q982">
        <f t="shared" si="183"/>
        <v>110.53191687936059</v>
      </c>
    </row>
    <row r="983" spans="1:17" x14ac:dyDescent="0.15">
      <c r="A983" s="10">
        <v>45900.454861111008</v>
      </c>
      <c r="B983">
        <f>COUNT(A983:$A$1158)/(48*252)</f>
        <v>1.4550264550264549E-2</v>
      </c>
      <c r="C983">
        <v>2.33</v>
      </c>
      <c r="D983">
        <v>0.129</v>
      </c>
      <c r="E983">
        <f t="shared" si="180"/>
        <v>1.0365509363156968</v>
      </c>
      <c r="F983">
        <f t="shared" si="181"/>
        <v>0.85002740540354127</v>
      </c>
      <c r="G983">
        <f t="shared" si="184"/>
        <v>2.0000000000002238E-3</v>
      </c>
      <c r="H983">
        <f>IF(MOD(COUNTA($C$7:C983)-1,$J$2),H982,ROUND(F983*P983,-2))</f>
        <v>8500</v>
      </c>
      <c r="I983">
        <f t="shared" si="185"/>
        <v>0</v>
      </c>
      <c r="J983">
        <f t="shared" si="186"/>
        <v>0</v>
      </c>
      <c r="K983">
        <f t="shared" si="187"/>
        <v>-18015.831208958069</v>
      </c>
      <c r="L983">
        <f t="shared" si="188"/>
        <v>1789.1687910419314</v>
      </c>
      <c r="M983">
        <f t="shared" si="189"/>
        <v>17</v>
      </c>
      <c r="N983">
        <f t="shared" si="191"/>
        <v>1789.1687910419314</v>
      </c>
      <c r="O983" s="5">
        <f t="shared" si="182"/>
        <v>1.0660790901430628E-2</v>
      </c>
      <c r="P983">
        <f t="shared" si="190"/>
        <v>10000</v>
      </c>
      <c r="Q983">
        <f t="shared" si="183"/>
        <v>106.60790901430627</v>
      </c>
    </row>
    <row r="984" spans="1:17" x14ac:dyDescent="0.15">
      <c r="A984" s="10">
        <v>45900.458333333023</v>
      </c>
      <c r="B984">
        <f>COUNT(A984:$A$1158)/(48*252)</f>
        <v>1.4467592592592593E-2</v>
      </c>
      <c r="C984">
        <v>2.3260000000000001</v>
      </c>
      <c r="D984">
        <v>0.129</v>
      </c>
      <c r="E984">
        <f t="shared" si="180"/>
        <v>1.0092802721949978</v>
      </c>
      <c r="F984">
        <f t="shared" si="181"/>
        <v>0.84357988072754475</v>
      </c>
      <c r="G984">
        <f t="shared" si="184"/>
        <v>-4.0000000000000036E-3</v>
      </c>
      <c r="H984">
        <f>IF(MOD(COUNTA($C$7:C984)-1,$J$2),H983,ROUND(F984*P984,-2))</f>
        <v>8500</v>
      </c>
      <c r="I984">
        <f t="shared" si="185"/>
        <v>0</v>
      </c>
      <c r="J984">
        <f t="shared" si="186"/>
        <v>0</v>
      </c>
      <c r="K984">
        <f t="shared" si="187"/>
        <v>-18015.831208958069</v>
      </c>
      <c r="L984">
        <f t="shared" si="188"/>
        <v>1755.1687910419314</v>
      </c>
      <c r="M984">
        <f t="shared" si="189"/>
        <v>-34</v>
      </c>
      <c r="N984">
        <f t="shared" si="191"/>
        <v>1755.1687910419314</v>
      </c>
      <c r="O984" s="5">
        <f t="shared" si="182"/>
        <v>1.1184537747099432E-2</v>
      </c>
      <c r="P984">
        <f t="shared" si="190"/>
        <v>10000</v>
      </c>
      <c r="Q984">
        <f t="shared" si="183"/>
        <v>111.84537747099432</v>
      </c>
    </row>
    <row r="985" spans="1:17" x14ac:dyDescent="0.15">
      <c r="A985" s="10">
        <v>45900.461805555969</v>
      </c>
      <c r="B985">
        <f>COUNT(A985:$A$1158)/(48*252)</f>
        <v>1.4384920634920634E-2</v>
      </c>
      <c r="C985">
        <v>2.3210000000000002</v>
      </c>
      <c r="D985">
        <v>0.125</v>
      </c>
      <c r="E985">
        <f t="shared" si="180"/>
        <v>0.9742618717567666</v>
      </c>
      <c r="F985">
        <f t="shared" si="181"/>
        <v>0.83503673451971094</v>
      </c>
      <c r="G985">
        <f t="shared" si="184"/>
        <v>-4.9999999999998934E-3</v>
      </c>
      <c r="H985">
        <f>IF(MOD(COUNTA($C$7:C985)-1,$J$2),H984,ROUND(F985*P985,-2))</f>
        <v>8400</v>
      </c>
      <c r="I985">
        <f t="shared" si="185"/>
        <v>-100</v>
      </c>
      <c r="J985">
        <f t="shared" si="186"/>
        <v>0</v>
      </c>
      <c r="K985">
        <f t="shared" si="187"/>
        <v>-17783.74165345807</v>
      </c>
      <c r="L985">
        <f t="shared" si="188"/>
        <v>1712.6583465419317</v>
      </c>
      <c r="M985">
        <f t="shared" si="189"/>
        <v>-42.510444499999721</v>
      </c>
      <c r="N985">
        <f t="shared" si="191"/>
        <v>1712.6583465419317</v>
      </c>
      <c r="O985" s="5">
        <f t="shared" si="182"/>
        <v>1.1895975620961452E-2</v>
      </c>
      <c r="P985">
        <f t="shared" si="190"/>
        <v>10000</v>
      </c>
      <c r="Q985">
        <f t="shared" si="183"/>
        <v>118.95975620961453</v>
      </c>
    </row>
    <row r="986" spans="1:17" x14ac:dyDescent="0.15">
      <c r="A986" s="10">
        <v>45900.465277777985</v>
      </c>
      <c r="B986">
        <f>COUNT(A986:$A$1158)/(48*252)</f>
        <v>1.4302248677248677E-2</v>
      </c>
      <c r="C986">
        <v>2.3239999999999998</v>
      </c>
      <c r="D986">
        <v>0.128</v>
      </c>
      <c r="E986">
        <f t="shared" si="180"/>
        <v>0.99956482187440254</v>
      </c>
      <c r="F986">
        <f t="shared" si="181"/>
        <v>0.84123942278998998</v>
      </c>
      <c r="G986">
        <f t="shared" si="184"/>
        <v>2.9999999999996696E-3</v>
      </c>
      <c r="H986">
        <f>IF(MOD(COUNTA($C$7:C986)-1,$J$2),H985,ROUND(F986*P986,-2))</f>
        <v>8400</v>
      </c>
      <c r="I986">
        <f t="shared" si="185"/>
        <v>0</v>
      </c>
      <c r="J986">
        <f t="shared" si="186"/>
        <v>0</v>
      </c>
      <c r="K986">
        <f t="shared" si="187"/>
        <v>-17783.74165345807</v>
      </c>
      <c r="L986">
        <f t="shared" si="188"/>
        <v>1737.8583465419288</v>
      </c>
      <c r="M986">
        <f t="shared" si="189"/>
        <v>25.19999999999709</v>
      </c>
      <c r="N986">
        <f t="shared" si="191"/>
        <v>1737.8583465419288</v>
      </c>
      <c r="O986" s="5">
        <f t="shared" si="182"/>
        <v>1.1317880916780487E-2</v>
      </c>
      <c r="P986">
        <f t="shared" si="190"/>
        <v>10000</v>
      </c>
      <c r="Q986">
        <f t="shared" si="183"/>
        <v>113.17880916780487</v>
      </c>
    </row>
    <row r="987" spans="1:17" x14ac:dyDescent="0.15">
      <c r="A987" s="10">
        <v>45900.46875</v>
      </c>
      <c r="B987">
        <f>COUNT(A987:$A$1158)/(48*252)</f>
        <v>1.4219576719576719E-2</v>
      </c>
      <c r="C987">
        <v>2.327</v>
      </c>
      <c r="D987">
        <v>0.128</v>
      </c>
      <c r="E987">
        <f t="shared" si="180"/>
        <v>1.0249934626849329</v>
      </c>
      <c r="F987">
        <f t="shared" si="181"/>
        <v>0.84731686386064431</v>
      </c>
      <c r="G987">
        <f t="shared" si="184"/>
        <v>3.0000000000001137E-3</v>
      </c>
      <c r="H987">
        <f>IF(MOD(COUNTA($C$7:C987)-1,$J$2),H986,ROUND(F987*P987,-2))</f>
        <v>8400</v>
      </c>
      <c r="I987">
        <f t="shared" si="185"/>
        <v>0</v>
      </c>
      <c r="J987">
        <f t="shared" si="186"/>
        <v>0</v>
      </c>
      <c r="K987">
        <f t="shared" si="187"/>
        <v>-17783.74165345807</v>
      </c>
      <c r="L987">
        <f t="shared" si="188"/>
        <v>1763.0583465419295</v>
      </c>
      <c r="M987">
        <f t="shared" si="189"/>
        <v>25.200000000000728</v>
      </c>
      <c r="N987">
        <f t="shared" si="191"/>
        <v>1763.0583465419295</v>
      </c>
      <c r="O987" s="5">
        <f t="shared" si="182"/>
        <v>1.0760130141641566E-2</v>
      </c>
      <c r="P987">
        <f t="shared" si="190"/>
        <v>10000</v>
      </c>
      <c r="Q987">
        <f t="shared" si="183"/>
        <v>107.60130141641567</v>
      </c>
    </row>
    <row r="988" spans="1:17" x14ac:dyDescent="0.15">
      <c r="A988" s="10">
        <v>45900.472222222015</v>
      </c>
      <c r="B988">
        <f>COUNT(A988:$A$1158)/(48*252)</f>
        <v>1.4136904761904762E-2</v>
      </c>
      <c r="C988">
        <v>2.327</v>
      </c>
      <c r="D988">
        <v>0.128</v>
      </c>
      <c r="E988">
        <f t="shared" si="180"/>
        <v>1.0277768871492485</v>
      </c>
      <c r="F988">
        <f t="shared" si="181"/>
        <v>0.84797260459625678</v>
      </c>
      <c r="G988">
        <f t="shared" si="184"/>
        <v>0</v>
      </c>
      <c r="H988">
        <f>IF(MOD(COUNTA($C$7:C988)-1,$J$2),H987,ROUND(F988*P988,-2))</f>
        <v>8400</v>
      </c>
      <c r="I988">
        <f t="shared" si="185"/>
        <v>0</v>
      </c>
      <c r="J988">
        <f t="shared" si="186"/>
        <v>0</v>
      </c>
      <c r="K988">
        <f t="shared" si="187"/>
        <v>-17783.74165345807</v>
      </c>
      <c r="L988">
        <f t="shared" si="188"/>
        <v>1763.0583465419295</v>
      </c>
      <c r="M988">
        <f t="shared" si="189"/>
        <v>0</v>
      </c>
      <c r="N988">
        <f t="shared" si="191"/>
        <v>1763.0583465419295</v>
      </c>
      <c r="O988" s="5">
        <f t="shared" si="182"/>
        <v>1.0670479695782775E-2</v>
      </c>
      <c r="P988">
        <f t="shared" si="190"/>
        <v>10000</v>
      </c>
      <c r="Q988">
        <f t="shared" si="183"/>
        <v>106.70479695782775</v>
      </c>
    </row>
    <row r="989" spans="1:17" x14ac:dyDescent="0.15">
      <c r="A989" s="10">
        <v>45900.475694444962</v>
      </c>
      <c r="B989">
        <f>COUNT(A989:$A$1158)/(48*252)</f>
        <v>1.4054232804232803E-2</v>
      </c>
      <c r="C989">
        <v>2.3260000000000001</v>
      </c>
      <c r="D989">
        <v>0.127</v>
      </c>
      <c r="E989">
        <f t="shared" si="180"/>
        <v>1.0229656795507955</v>
      </c>
      <c r="F989">
        <f t="shared" si="181"/>
        <v>0.84683796337700668</v>
      </c>
      <c r="G989">
        <f t="shared" si="184"/>
        <v>-9.9999999999988987E-4</v>
      </c>
      <c r="H989">
        <f>IF(MOD(COUNTA($C$7:C989)-1,$J$2),H988,ROUND(F989*P989,-2))</f>
        <v>8400</v>
      </c>
      <c r="I989">
        <f t="shared" si="185"/>
        <v>0</v>
      </c>
      <c r="J989">
        <f t="shared" si="186"/>
        <v>0</v>
      </c>
      <c r="K989">
        <f t="shared" si="187"/>
        <v>-17783.74165345807</v>
      </c>
      <c r="L989">
        <f t="shared" si="188"/>
        <v>1754.6583465419317</v>
      </c>
      <c r="M989">
        <f t="shared" si="189"/>
        <v>-8.3999999999978172</v>
      </c>
      <c r="N989">
        <f t="shared" si="191"/>
        <v>1754.6583465419317</v>
      </c>
      <c r="O989" s="5">
        <f t="shared" si="182"/>
        <v>1.0733084271540128E-2</v>
      </c>
      <c r="P989">
        <f t="shared" si="190"/>
        <v>10000</v>
      </c>
      <c r="Q989">
        <f t="shared" si="183"/>
        <v>107.33084271540127</v>
      </c>
    </row>
    <row r="990" spans="1:17" x14ac:dyDescent="0.15">
      <c r="A990" s="10">
        <v>45900.479166666977</v>
      </c>
      <c r="B990">
        <f>COUNT(A990:$A$1158)/(48*252)</f>
        <v>1.3971560846560847E-2</v>
      </c>
      <c r="C990">
        <v>2.3250000000000002</v>
      </c>
      <c r="D990">
        <v>0.125</v>
      </c>
      <c r="E990">
        <f t="shared" si="180"/>
        <v>1.0181316761270915</v>
      </c>
      <c r="F990">
        <f t="shared" si="181"/>
        <v>0.84569230818225871</v>
      </c>
      <c r="G990">
        <f t="shared" si="184"/>
        <v>-9.9999999999988987E-4</v>
      </c>
      <c r="H990">
        <f>IF(MOD(COUNTA($C$7:C990)-1,$J$2),H989,ROUND(F990*P990,-2))</f>
        <v>8400</v>
      </c>
      <c r="I990">
        <f t="shared" si="185"/>
        <v>0</v>
      </c>
      <c r="J990">
        <f t="shared" si="186"/>
        <v>0</v>
      </c>
      <c r="K990">
        <f t="shared" si="187"/>
        <v>-17783.74165345807</v>
      </c>
      <c r="L990">
        <f t="shared" si="188"/>
        <v>1746.2583465419302</v>
      </c>
      <c r="M990">
        <f t="shared" si="189"/>
        <v>-8.4000000000014552</v>
      </c>
      <c r="N990">
        <f t="shared" si="191"/>
        <v>1746.2583465419302</v>
      </c>
      <c r="O990" s="5">
        <f t="shared" si="182"/>
        <v>1.0796156126432921E-2</v>
      </c>
      <c r="P990">
        <f t="shared" si="190"/>
        <v>10000</v>
      </c>
      <c r="Q990">
        <f t="shared" si="183"/>
        <v>107.96156126432921</v>
      </c>
    </row>
    <row r="991" spans="1:17" x14ac:dyDescent="0.15">
      <c r="A991" s="10">
        <v>45900.545138888992</v>
      </c>
      <c r="B991">
        <f>COUNT(A991:$A$1158)/(48*252)</f>
        <v>1.3888888888888888E-2</v>
      </c>
      <c r="C991">
        <v>2.3220000000000001</v>
      </c>
      <c r="D991">
        <v>0.125</v>
      </c>
      <c r="E991">
        <f t="shared" si="180"/>
        <v>0.99792154185553505</v>
      </c>
      <c r="F991">
        <f t="shared" si="181"/>
        <v>0.84084129739047619</v>
      </c>
      <c r="G991">
        <f t="shared" si="184"/>
        <v>-3.0000000000001137E-3</v>
      </c>
      <c r="H991">
        <f>IF(MOD(COUNTA($C$7:C991)-1,$J$2),H990,ROUND(F991*P991,-2))</f>
        <v>8400</v>
      </c>
      <c r="I991">
        <f t="shared" si="185"/>
        <v>0</v>
      </c>
      <c r="J991">
        <f t="shared" si="186"/>
        <v>0</v>
      </c>
      <c r="K991">
        <f t="shared" si="187"/>
        <v>-17783.74165345807</v>
      </c>
      <c r="L991">
        <f t="shared" si="188"/>
        <v>1721.0583465419295</v>
      </c>
      <c r="M991">
        <f t="shared" si="189"/>
        <v>-25.200000000000728</v>
      </c>
      <c r="N991">
        <f t="shared" si="191"/>
        <v>1721.0583465419295</v>
      </c>
      <c r="O991" s="5">
        <f t="shared" si="182"/>
        <v>1.1174312907535733E-2</v>
      </c>
      <c r="P991">
        <f t="shared" si="190"/>
        <v>10000</v>
      </c>
      <c r="Q991">
        <f t="shared" si="183"/>
        <v>111.74312907535733</v>
      </c>
    </row>
    <row r="992" spans="1:17" x14ac:dyDescent="0.15">
      <c r="A992" s="10">
        <v>45900.548611111008</v>
      </c>
      <c r="B992">
        <f>COUNT(A992:$A$1158)/(48*252)</f>
        <v>1.3806216931216931E-2</v>
      </c>
      <c r="C992">
        <v>2.3220000000000001</v>
      </c>
      <c r="D992">
        <v>0.125</v>
      </c>
      <c r="E992">
        <f t="shared" si="180"/>
        <v>1.0006931166387651</v>
      </c>
      <c r="F992">
        <f t="shared" si="181"/>
        <v>0.8415124018811464</v>
      </c>
      <c r="G992">
        <f t="shared" si="184"/>
        <v>0</v>
      </c>
      <c r="H992">
        <f>IF(MOD(COUNTA($C$7:C992)-1,$J$2),H991,ROUND(F992*P992,-2))</f>
        <v>8400</v>
      </c>
      <c r="I992">
        <f t="shared" si="185"/>
        <v>0</v>
      </c>
      <c r="J992">
        <f t="shared" si="186"/>
        <v>0</v>
      </c>
      <c r="K992">
        <f t="shared" si="187"/>
        <v>-17783.74165345807</v>
      </c>
      <c r="L992">
        <f t="shared" si="188"/>
        <v>1721.0583465419295</v>
      </c>
      <c r="M992">
        <f t="shared" si="189"/>
        <v>0</v>
      </c>
      <c r="N992">
        <f t="shared" si="191"/>
        <v>1721.0583465419295</v>
      </c>
      <c r="O992" s="5">
        <f t="shared" si="182"/>
        <v>1.1081278485074564E-2</v>
      </c>
      <c r="P992">
        <f t="shared" si="190"/>
        <v>10000</v>
      </c>
      <c r="Q992">
        <f t="shared" si="183"/>
        <v>110.81278485074564</v>
      </c>
    </row>
    <row r="993" spans="1:17" x14ac:dyDescent="0.15">
      <c r="A993" s="10">
        <v>45900.552083333023</v>
      </c>
      <c r="B993">
        <f>COUNT(A993:$A$1158)/(48*252)</f>
        <v>1.3723544973544973E-2</v>
      </c>
      <c r="C993">
        <v>2.3250000000000002</v>
      </c>
      <c r="D993">
        <v>0.126</v>
      </c>
      <c r="E993">
        <f t="shared" si="180"/>
        <v>1.0266532911860489</v>
      </c>
      <c r="F993">
        <f t="shared" si="181"/>
        <v>0.84770812461783729</v>
      </c>
      <c r="G993">
        <f t="shared" si="184"/>
        <v>3.0000000000001137E-3</v>
      </c>
      <c r="H993">
        <f>IF(MOD(COUNTA($C$7:C993)-1,$J$2),H992,ROUND(F993*P993,-2))</f>
        <v>8400</v>
      </c>
      <c r="I993">
        <f t="shared" si="185"/>
        <v>0</v>
      </c>
      <c r="J993">
        <f t="shared" si="186"/>
        <v>0</v>
      </c>
      <c r="K993">
        <f t="shared" si="187"/>
        <v>-17783.74165345807</v>
      </c>
      <c r="L993">
        <f t="shared" si="188"/>
        <v>1746.2583465419302</v>
      </c>
      <c r="M993">
        <f t="shared" si="189"/>
        <v>25.200000000000728</v>
      </c>
      <c r="N993">
        <f t="shared" si="191"/>
        <v>1746.2583465419302</v>
      </c>
      <c r="O993" s="5">
        <f t="shared" si="182"/>
        <v>1.0523098594878821E-2</v>
      </c>
      <c r="P993">
        <f t="shared" si="190"/>
        <v>10000</v>
      </c>
      <c r="Q993">
        <f t="shared" si="183"/>
        <v>105.23098594878822</v>
      </c>
    </row>
    <row r="994" spans="1:17" x14ac:dyDescent="0.15">
      <c r="A994" s="10">
        <v>45900.555555555969</v>
      </c>
      <c r="B994">
        <f>COUNT(A994:$A$1158)/(48*252)</f>
        <v>1.3640873015873016E-2</v>
      </c>
      <c r="C994">
        <v>2.3250000000000002</v>
      </c>
      <c r="D994">
        <v>0.126</v>
      </c>
      <c r="E994">
        <f t="shared" si="180"/>
        <v>1.0295466278873733</v>
      </c>
      <c r="F994">
        <f t="shared" si="181"/>
        <v>0.84838855969049687</v>
      </c>
      <c r="G994">
        <f t="shared" si="184"/>
        <v>0</v>
      </c>
      <c r="H994">
        <f>IF(MOD(COUNTA($C$7:C994)-1,$J$2),H993,ROUND(F994*P994,-2))</f>
        <v>8400</v>
      </c>
      <c r="I994">
        <f t="shared" si="185"/>
        <v>0</v>
      </c>
      <c r="J994">
        <f t="shared" si="186"/>
        <v>0</v>
      </c>
      <c r="K994">
        <f t="shared" si="187"/>
        <v>-17783.74165345807</v>
      </c>
      <c r="L994">
        <f t="shared" si="188"/>
        <v>1746.2583465419302</v>
      </c>
      <c r="M994">
        <f t="shared" si="189"/>
        <v>0</v>
      </c>
      <c r="N994">
        <f t="shared" si="191"/>
        <v>1746.2583465419302</v>
      </c>
      <c r="O994" s="5">
        <f t="shared" si="182"/>
        <v>1.0432058895963159E-2</v>
      </c>
      <c r="P994">
        <f t="shared" si="190"/>
        <v>10000</v>
      </c>
      <c r="Q994">
        <f t="shared" si="183"/>
        <v>104.32058895963159</v>
      </c>
    </row>
    <row r="995" spans="1:17" x14ac:dyDescent="0.15">
      <c r="A995" s="10">
        <v>45900.559027777985</v>
      </c>
      <c r="B995">
        <f>COUNT(A995:$A$1158)/(48*252)</f>
        <v>1.3558201058201057E-2</v>
      </c>
      <c r="C995">
        <v>2.3279999999999998</v>
      </c>
      <c r="D995">
        <v>0.13</v>
      </c>
      <c r="E995">
        <f t="shared" si="180"/>
        <v>1.0557407520313689</v>
      </c>
      <c r="F995">
        <f t="shared" si="181"/>
        <v>0.85445666332786596</v>
      </c>
      <c r="G995">
        <f t="shared" si="184"/>
        <v>2.9999999999996696E-3</v>
      </c>
      <c r="H995">
        <f>IF(MOD(COUNTA($C$7:C995)-1,$J$2),H994,ROUND(F995*P995,-2))</f>
        <v>8400</v>
      </c>
      <c r="I995">
        <f t="shared" si="185"/>
        <v>0</v>
      </c>
      <c r="J995">
        <f t="shared" si="186"/>
        <v>0</v>
      </c>
      <c r="K995">
        <f t="shared" si="187"/>
        <v>-17783.74165345807</v>
      </c>
      <c r="L995">
        <f t="shared" si="188"/>
        <v>1771.4583465419273</v>
      </c>
      <c r="M995">
        <f t="shared" si="189"/>
        <v>25.19999999999709</v>
      </c>
      <c r="N995">
        <f t="shared" si="191"/>
        <v>1771.4583465419273</v>
      </c>
      <c r="O995" s="5">
        <f t="shared" si="182"/>
        <v>9.8963409773402677E-3</v>
      </c>
      <c r="P995">
        <f t="shared" si="190"/>
        <v>10000</v>
      </c>
      <c r="Q995">
        <f t="shared" si="183"/>
        <v>98.963409773402674</v>
      </c>
    </row>
    <row r="996" spans="1:17" x14ac:dyDescent="0.15">
      <c r="A996" s="10">
        <v>45900.5625</v>
      </c>
      <c r="B996">
        <f>COUNT(A996:$A$1158)/(48*252)</f>
        <v>1.3475529100529101E-2</v>
      </c>
      <c r="C996">
        <v>2.33</v>
      </c>
      <c r="D996">
        <v>0.129</v>
      </c>
      <c r="E996">
        <f t="shared" si="180"/>
        <v>1.074306556413442</v>
      </c>
      <c r="F996">
        <f t="shared" si="181"/>
        <v>0.85865734627129808</v>
      </c>
      <c r="G996">
        <f t="shared" si="184"/>
        <v>2.0000000000002238E-3</v>
      </c>
      <c r="H996">
        <f>IF(MOD(COUNTA($C$7:C996)-1,$J$2),H995,ROUND(F996*P996,-2))</f>
        <v>8400</v>
      </c>
      <c r="I996">
        <f t="shared" si="185"/>
        <v>0</v>
      </c>
      <c r="J996">
        <f t="shared" si="186"/>
        <v>0</v>
      </c>
      <c r="K996">
        <f t="shared" si="187"/>
        <v>-17783.74165345807</v>
      </c>
      <c r="L996">
        <f t="shared" si="188"/>
        <v>1788.2583465419302</v>
      </c>
      <c r="M996">
        <f t="shared" si="189"/>
        <v>16.80000000000291</v>
      </c>
      <c r="N996">
        <f t="shared" si="191"/>
        <v>1788.2583465419302</v>
      </c>
      <c r="O996" s="5">
        <f t="shared" si="182"/>
        <v>9.5211676898371289E-3</v>
      </c>
      <c r="P996">
        <f t="shared" si="190"/>
        <v>10000</v>
      </c>
      <c r="Q996">
        <f t="shared" si="183"/>
        <v>95.211676898371294</v>
      </c>
    </row>
    <row r="997" spans="1:17" x14ac:dyDescent="0.15">
      <c r="A997" s="10">
        <v>45900.565972222015</v>
      </c>
      <c r="B997">
        <f>COUNT(A997:$A$1158)/(48*252)</f>
        <v>1.3392857142857142E-2</v>
      </c>
      <c r="C997">
        <v>2.33</v>
      </c>
      <c r="D997">
        <v>0.129</v>
      </c>
      <c r="E997">
        <f t="shared" si="180"/>
        <v>1.0774022183504268</v>
      </c>
      <c r="F997">
        <f t="shared" si="181"/>
        <v>0.85934969324255839</v>
      </c>
      <c r="G997">
        <f t="shared" si="184"/>
        <v>0</v>
      </c>
      <c r="H997">
        <f>IF(MOD(COUNTA($C$7:C997)-1,$J$2),H996,ROUND(F997*P997,-2))</f>
        <v>8600</v>
      </c>
      <c r="I997">
        <f t="shared" si="185"/>
        <v>200</v>
      </c>
      <c r="J997">
        <f t="shared" si="186"/>
        <v>0</v>
      </c>
      <c r="K997">
        <f t="shared" si="187"/>
        <v>-18249.762623458071</v>
      </c>
      <c r="L997">
        <f t="shared" si="188"/>
        <v>1788.2373765419288</v>
      </c>
      <c r="M997">
        <f t="shared" si="189"/>
        <v>-2.0970000001398148E-2</v>
      </c>
      <c r="N997">
        <f t="shared" si="191"/>
        <v>1788.2373765419288</v>
      </c>
      <c r="O997" s="5">
        <f t="shared" si="182"/>
        <v>9.4335756213746458E-3</v>
      </c>
      <c r="P997">
        <f t="shared" si="190"/>
        <v>10000</v>
      </c>
      <c r="Q997">
        <f t="shared" si="183"/>
        <v>94.335756213746464</v>
      </c>
    </row>
    <row r="998" spans="1:17" x14ac:dyDescent="0.15">
      <c r="A998" s="10">
        <v>45900.569444444962</v>
      </c>
      <c r="B998">
        <f>COUNT(A998:$A$1158)/(48*252)</f>
        <v>1.3310185185185185E-2</v>
      </c>
      <c r="C998">
        <v>2.3290000000000002</v>
      </c>
      <c r="D998">
        <v>0.129</v>
      </c>
      <c r="E998">
        <f t="shared" si="180"/>
        <v>1.0727075781611581</v>
      </c>
      <c r="F998">
        <f t="shared" si="181"/>
        <v>0.8582988304169471</v>
      </c>
      <c r="G998">
        <f t="shared" si="184"/>
        <v>-9.9999999999988987E-4</v>
      </c>
      <c r="H998">
        <f>IF(MOD(COUNTA($C$7:C998)-1,$J$2),H997,ROUND(F998*P998,-2))</f>
        <v>8600</v>
      </c>
      <c r="I998">
        <f t="shared" si="185"/>
        <v>0</v>
      </c>
      <c r="J998">
        <f t="shared" si="186"/>
        <v>0</v>
      </c>
      <c r="K998">
        <f t="shared" si="187"/>
        <v>-18249.762623458071</v>
      </c>
      <c r="L998">
        <f t="shared" si="188"/>
        <v>1779.6373765419303</v>
      </c>
      <c r="M998">
        <f t="shared" si="189"/>
        <v>-8.5999999999985448</v>
      </c>
      <c r="N998">
        <f t="shared" si="191"/>
        <v>1779.6373765419303</v>
      </c>
      <c r="O998" s="5">
        <f t="shared" si="182"/>
        <v>9.486828876386022E-3</v>
      </c>
      <c r="P998">
        <f t="shared" si="190"/>
        <v>10000</v>
      </c>
      <c r="Q998">
        <f t="shared" si="183"/>
        <v>94.868288763860221</v>
      </c>
    </row>
    <row r="999" spans="1:17" x14ac:dyDescent="0.15">
      <c r="A999" s="10">
        <v>45900.572916666977</v>
      </c>
      <c r="B999">
        <f>COUNT(A999:$A$1158)/(48*252)</f>
        <v>1.3227513227513227E-2</v>
      </c>
      <c r="C999">
        <v>2.327</v>
      </c>
      <c r="D999">
        <v>0.126</v>
      </c>
      <c r="E999">
        <f t="shared" si="180"/>
        <v>1.0601397922823692</v>
      </c>
      <c r="F999">
        <f t="shared" si="181"/>
        <v>0.85545949647924624</v>
      </c>
      <c r="G999">
        <f t="shared" si="184"/>
        <v>-2.0000000000002238E-3</v>
      </c>
      <c r="H999">
        <f>IF(MOD(COUNTA($C$7:C999)-1,$J$2),H998,ROUND(F999*P999,-2))</f>
        <v>8600</v>
      </c>
      <c r="I999">
        <f t="shared" si="185"/>
        <v>0</v>
      </c>
      <c r="J999">
        <f t="shared" si="186"/>
        <v>0</v>
      </c>
      <c r="K999">
        <f t="shared" si="187"/>
        <v>-18249.762623458071</v>
      </c>
      <c r="L999">
        <f t="shared" si="188"/>
        <v>1762.4373765419296</v>
      </c>
      <c r="M999">
        <f t="shared" si="189"/>
        <v>-17.200000000000728</v>
      </c>
      <c r="N999">
        <f t="shared" si="191"/>
        <v>1762.4373765419296</v>
      </c>
      <c r="O999" s="5">
        <f t="shared" si="182"/>
        <v>9.6841058995781881E-3</v>
      </c>
      <c r="P999">
        <f t="shared" si="190"/>
        <v>10000</v>
      </c>
      <c r="Q999">
        <f t="shared" si="183"/>
        <v>96.841058995781879</v>
      </c>
    </row>
    <row r="1000" spans="1:17" x14ac:dyDescent="0.15">
      <c r="A1000" s="10">
        <v>45900.576388888992</v>
      </c>
      <c r="B1000">
        <f>COUNT(A1000:$A$1158)/(48*252)</f>
        <v>1.314484126984127E-2</v>
      </c>
      <c r="C1000">
        <v>2.33</v>
      </c>
      <c r="D1000">
        <v>0.129</v>
      </c>
      <c r="E1000">
        <f t="shared" si="180"/>
        <v>1.0868678430733423</v>
      </c>
      <c r="F1000">
        <f t="shared" si="181"/>
        <v>0.8614523901845037</v>
      </c>
      <c r="G1000">
        <f t="shared" si="184"/>
        <v>3.0000000000001137E-3</v>
      </c>
      <c r="H1000">
        <f>IF(MOD(COUNTA($C$7:C1000)-1,$J$2),H999,ROUND(F1000*P1000,-2))</f>
        <v>8600</v>
      </c>
      <c r="I1000">
        <f t="shared" si="185"/>
        <v>0</v>
      </c>
      <c r="J1000">
        <f t="shared" si="186"/>
        <v>0</v>
      </c>
      <c r="K1000">
        <f t="shared" si="187"/>
        <v>-18249.762623458071</v>
      </c>
      <c r="L1000">
        <f t="shared" si="188"/>
        <v>1788.2373765419288</v>
      </c>
      <c r="M1000">
        <f t="shared" si="189"/>
        <v>25.799999999999272</v>
      </c>
      <c r="N1000">
        <f t="shared" si="191"/>
        <v>1788.2373765419288</v>
      </c>
      <c r="O1000" s="5">
        <f t="shared" si="182"/>
        <v>9.1709223785418348E-3</v>
      </c>
      <c r="P1000">
        <f t="shared" si="190"/>
        <v>10000</v>
      </c>
      <c r="Q1000">
        <f t="shared" si="183"/>
        <v>91.709223785418345</v>
      </c>
    </row>
    <row r="1001" spans="1:17" x14ac:dyDescent="0.15">
      <c r="A1001" s="10">
        <v>45900.579861111008</v>
      </c>
      <c r="B1001">
        <f>COUNT(A1001:$A$1158)/(48*252)</f>
        <v>1.3062169312169311E-2</v>
      </c>
      <c r="C1001">
        <v>2.331</v>
      </c>
      <c r="D1001">
        <v>0.13</v>
      </c>
      <c r="E1001">
        <f t="shared" si="180"/>
        <v>1.0979744387576773</v>
      </c>
      <c r="F1001">
        <f t="shared" si="181"/>
        <v>0.86389217446026301</v>
      </c>
      <c r="G1001">
        <f t="shared" si="184"/>
        <v>9.9999999999988987E-4</v>
      </c>
      <c r="H1001">
        <f>IF(MOD(COUNTA($C$7:C1001)-1,$J$2),H1000,ROUND(F1001*P1001,-2))</f>
        <v>8600</v>
      </c>
      <c r="I1001">
        <f t="shared" si="185"/>
        <v>0</v>
      </c>
      <c r="J1001">
        <f t="shared" si="186"/>
        <v>0</v>
      </c>
      <c r="K1001">
        <f t="shared" si="187"/>
        <v>-18249.762623458071</v>
      </c>
      <c r="L1001">
        <f t="shared" si="188"/>
        <v>1796.8373765419274</v>
      </c>
      <c r="M1001">
        <f t="shared" si="189"/>
        <v>8.5999999999985448</v>
      </c>
      <c r="N1001">
        <f t="shared" si="191"/>
        <v>1796.8373765419274</v>
      </c>
      <c r="O1001" s="5">
        <f t="shared" si="182"/>
        <v>8.9464473831770697E-3</v>
      </c>
      <c r="P1001">
        <f t="shared" si="190"/>
        <v>10000</v>
      </c>
      <c r="Q1001">
        <f t="shared" si="183"/>
        <v>89.464473831770704</v>
      </c>
    </row>
    <row r="1002" spans="1:17" x14ac:dyDescent="0.15">
      <c r="A1002" s="10">
        <v>45900.583333333023</v>
      </c>
      <c r="B1002">
        <f>COUNT(A1002:$A$1158)/(48*252)</f>
        <v>1.2979497354497355E-2</v>
      </c>
      <c r="C1002">
        <v>2.34</v>
      </c>
      <c r="D1002">
        <v>0.13200000000000001</v>
      </c>
      <c r="E1002">
        <f t="shared" si="180"/>
        <v>1.1723330086978077</v>
      </c>
      <c r="F1002">
        <f t="shared" si="181"/>
        <v>0.87946830799504927</v>
      </c>
      <c r="G1002">
        <f t="shared" si="184"/>
        <v>8.999999999999897E-3</v>
      </c>
      <c r="H1002">
        <f>IF(MOD(COUNTA($C$7:C1002)-1,$J$2),H1001,ROUND(F1002*P1002,-2))</f>
        <v>8600</v>
      </c>
      <c r="I1002">
        <f t="shared" si="185"/>
        <v>0</v>
      </c>
      <c r="J1002">
        <f t="shared" si="186"/>
        <v>0</v>
      </c>
      <c r="K1002">
        <f t="shared" si="187"/>
        <v>-18249.762623458071</v>
      </c>
      <c r="L1002">
        <f t="shared" si="188"/>
        <v>1874.2373765419288</v>
      </c>
      <c r="M1002">
        <f t="shared" si="189"/>
        <v>77.400000000001455</v>
      </c>
      <c r="N1002">
        <f t="shared" si="191"/>
        <v>1874.2373765419288</v>
      </c>
      <c r="O1002" s="5">
        <f t="shared" si="182"/>
        <v>7.7089604607506468E-3</v>
      </c>
      <c r="P1002">
        <f t="shared" si="190"/>
        <v>10000</v>
      </c>
      <c r="Q1002">
        <f t="shared" si="183"/>
        <v>77.089604607506473</v>
      </c>
    </row>
    <row r="1003" spans="1:17" x14ac:dyDescent="0.15">
      <c r="A1003" s="10">
        <v>45900.586805555969</v>
      </c>
      <c r="B1003">
        <f>COUNT(A1003:$A$1158)/(48*252)</f>
        <v>1.2896825396825396E-2</v>
      </c>
      <c r="C1003">
        <v>2.339</v>
      </c>
      <c r="D1003">
        <v>0.13400000000000001</v>
      </c>
      <c r="E1003">
        <f t="shared" si="180"/>
        <v>1.1679552527129131</v>
      </c>
      <c r="F1003">
        <f t="shared" si="181"/>
        <v>0.87858759248368412</v>
      </c>
      <c r="G1003">
        <f t="shared" si="184"/>
        <v>-9.9999999999988987E-4</v>
      </c>
      <c r="H1003">
        <f>IF(MOD(COUNTA($C$7:C1003)-1,$J$2),H1002,ROUND(F1003*P1003,-2))</f>
        <v>8800</v>
      </c>
      <c r="I1003">
        <f t="shared" si="185"/>
        <v>200</v>
      </c>
      <c r="J1003">
        <f t="shared" si="186"/>
        <v>0</v>
      </c>
      <c r="K1003">
        <f t="shared" si="187"/>
        <v>-18717.58367445807</v>
      </c>
      <c r="L1003">
        <f t="shared" si="188"/>
        <v>1865.6163255419306</v>
      </c>
      <c r="M1003">
        <f t="shared" si="189"/>
        <v>-8.6210509999982605</v>
      </c>
      <c r="N1003">
        <f t="shared" si="191"/>
        <v>1865.6163255419306</v>
      </c>
      <c r="O1003" s="5">
        <f t="shared" si="182"/>
        <v>7.7492666919780628E-3</v>
      </c>
      <c r="P1003">
        <f t="shared" si="190"/>
        <v>10000</v>
      </c>
      <c r="Q1003">
        <f t="shared" si="183"/>
        <v>77.492666919780632</v>
      </c>
    </row>
    <row r="1004" spans="1:17" x14ac:dyDescent="0.15">
      <c r="A1004" s="10">
        <v>45900.590277777985</v>
      </c>
      <c r="B1004">
        <f>COUNT(A1004:$A$1158)/(48*252)</f>
        <v>1.2814153439153439E-2</v>
      </c>
      <c r="C1004">
        <v>2.339</v>
      </c>
      <c r="D1004">
        <v>0.13600000000000001</v>
      </c>
      <c r="E1004">
        <f t="shared" si="180"/>
        <v>1.1714969940170161</v>
      </c>
      <c r="F1004">
        <f t="shared" si="181"/>
        <v>0.8793004673032947</v>
      </c>
      <c r="G1004">
        <f t="shared" si="184"/>
        <v>0</v>
      </c>
      <c r="H1004">
        <f>IF(MOD(COUNTA($C$7:C1004)-1,$J$2),H1003,ROUND(F1004*P1004,-2))</f>
        <v>8800</v>
      </c>
      <c r="I1004">
        <f t="shared" si="185"/>
        <v>0</v>
      </c>
      <c r="J1004">
        <f t="shared" si="186"/>
        <v>0</v>
      </c>
      <c r="K1004">
        <f t="shared" si="187"/>
        <v>-18717.58367445807</v>
      </c>
      <c r="L1004">
        <f t="shared" si="188"/>
        <v>1865.6163255419306</v>
      </c>
      <c r="M1004">
        <f t="shared" si="189"/>
        <v>0</v>
      </c>
      <c r="N1004">
        <f t="shared" si="191"/>
        <v>1865.6163255419306</v>
      </c>
      <c r="O1004" s="5">
        <f t="shared" si="182"/>
        <v>7.6683178670719498E-3</v>
      </c>
      <c r="P1004">
        <f t="shared" si="190"/>
        <v>10000</v>
      </c>
      <c r="Q1004">
        <f t="shared" si="183"/>
        <v>76.683178670719499</v>
      </c>
    </row>
    <row r="1005" spans="1:17" x14ac:dyDescent="0.15">
      <c r="A1005" s="10">
        <v>45900.59375</v>
      </c>
      <c r="B1005">
        <f>COUNT(A1005:$A$1158)/(48*252)</f>
        <v>1.2731481481481481E-2</v>
      </c>
      <c r="C1005">
        <v>2.3359999999999999</v>
      </c>
      <c r="D1005">
        <v>0.13200000000000001</v>
      </c>
      <c r="E1005">
        <f t="shared" si="180"/>
        <v>1.1511694412390976</v>
      </c>
      <c r="F1005">
        <f t="shared" si="181"/>
        <v>0.87516873280459828</v>
      </c>
      <c r="G1005">
        <f t="shared" si="184"/>
        <v>-3.0000000000001137E-3</v>
      </c>
      <c r="H1005">
        <f>IF(MOD(COUNTA($C$7:C1005)-1,$J$2),H1004,ROUND(F1005*P1005,-2))</f>
        <v>8800</v>
      </c>
      <c r="I1005">
        <f t="shared" si="185"/>
        <v>0</v>
      </c>
      <c r="J1005">
        <f t="shared" si="186"/>
        <v>0</v>
      </c>
      <c r="K1005">
        <f t="shared" si="187"/>
        <v>-18717.58367445807</v>
      </c>
      <c r="L1005">
        <f t="shared" si="188"/>
        <v>1839.2163255419291</v>
      </c>
      <c r="M1005">
        <f t="shared" si="189"/>
        <v>-26.400000000001455</v>
      </c>
      <c r="N1005">
        <f t="shared" si="191"/>
        <v>1839.2163255419291</v>
      </c>
      <c r="O1005" s="5">
        <f t="shared" si="182"/>
        <v>7.9546272543014052E-3</v>
      </c>
      <c r="P1005">
        <f t="shared" si="190"/>
        <v>10000</v>
      </c>
      <c r="Q1005">
        <f t="shared" si="183"/>
        <v>79.546272543014055</v>
      </c>
    </row>
    <row r="1006" spans="1:17" x14ac:dyDescent="0.15">
      <c r="A1006" s="10">
        <v>45900.597222222015</v>
      </c>
      <c r="B1006">
        <f>COUNT(A1006:$A$1158)/(48*252)</f>
        <v>1.2648809523809524E-2</v>
      </c>
      <c r="C1006">
        <v>2.339</v>
      </c>
      <c r="D1006">
        <v>0.13500000000000001</v>
      </c>
      <c r="E1006">
        <f t="shared" si="180"/>
        <v>1.1786865150339301</v>
      </c>
      <c r="F1006">
        <f t="shared" si="181"/>
        <v>0.88073848637633123</v>
      </c>
      <c r="G1006">
        <f t="shared" si="184"/>
        <v>3.0000000000001137E-3</v>
      </c>
      <c r="H1006">
        <f>IF(MOD(COUNTA($C$7:C1006)-1,$J$2),H1005,ROUND(F1006*P1006,-2))</f>
        <v>8800</v>
      </c>
      <c r="I1006">
        <f t="shared" si="185"/>
        <v>0</v>
      </c>
      <c r="J1006">
        <f t="shared" si="186"/>
        <v>0</v>
      </c>
      <c r="K1006">
        <f t="shared" si="187"/>
        <v>-18717.58367445807</v>
      </c>
      <c r="L1006">
        <f t="shared" si="188"/>
        <v>1865.6163255419306</v>
      </c>
      <c r="M1006">
        <f t="shared" si="189"/>
        <v>26.400000000001455</v>
      </c>
      <c r="N1006">
        <f t="shared" si="191"/>
        <v>1865.6163255419306</v>
      </c>
      <c r="O1006" s="5">
        <f t="shared" si="182"/>
        <v>7.5066409525285094E-3</v>
      </c>
      <c r="P1006">
        <f t="shared" si="190"/>
        <v>10000</v>
      </c>
      <c r="Q1006">
        <f t="shared" si="183"/>
        <v>75.066409525285096</v>
      </c>
    </row>
    <row r="1007" spans="1:17" x14ac:dyDescent="0.15">
      <c r="A1007" s="10">
        <v>45900.600694444962</v>
      </c>
      <c r="B1007">
        <f>COUNT(A1007:$A$1158)/(48*252)</f>
        <v>1.2566137566137565E-2</v>
      </c>
      <c r="C1007">
        <v>2.3450000000000002</v>
      </c>
      <c r="D1007">
        <v>0.13900000000000001</v>
      </c>
      <c r="E1007">
        <f t="shared" si="180"/>
        <v>1.230365416132589</v>
      </c>
      <c r="F1007">
        <f t="shared" si="181"/>
        <v>0.89071985104165141</v>
      </c>
      <c r="G1007">
        <f t="shared" si="184"/>
        <v>6.0000000000002274E-3</v>
      </c>
      <c r="H1007">
        <f>IF(MOD(COUNTA($C$7:C1007)-1,$J$2),H1006,ROUND(F1007*P1007,-2))</f>
        <v>8800</v>
      </c>
      <c r="I1007">
        <f t="shared" si="185"/>
        <v>0</v>
      </c>
      <c r="J1007">
        <f t="shared" si="186"/>
        <v>0</v>
      </c>
      <c r="K1007">
        <f t="shared" si="187"/>
        <v>-18717.58367445807</v>
      </c>
      <c r="L1007">
        <f t="shared" si="188"/>
        <v>1918.4163255419298</v>
      </c>
      <c r="M1007">
        <f t="shared" si="189"/>
        <v>52.799999999999272</v>
      </c>
      <c r="N1007">
        <f t="shared" si="191"/>
        <v>1918.4163255419298</v>
      </c>
      <c r="O1007" s="5">
        <f t="shared" si="182"/>
        <v>6.7427487753096704E-3</v>
      </c>
      <c r="P1007">
        <f t="shared" si="190"/>
        <v>10000</v>
      </c>
      <c r="Q1007">
        <f t="shared" si="183"/>
        <v>67.427487753096699</v>
      </c>
    </row>
    <row r="1008" spans="1:17" x14ac:dyDescent="0.15">
      <c r="A1008" s="10">
        <v>45900.604166666977</v>
      </c>
      <c r="B1008">
        <f>COUNT(A1008:$A$1158)/(48*252)</f>
        <v>1.2483465608465609E-2</v>
      </c>
      <c r="C1008">
        <v>2.3439999999999999</v>
      </c>
      <c r="D1008">
        <v>0.13900000000000001</v>
      </c>
      <c r="E1008">
        <f t="shared" si="180"/>
        <v>1.2261871724619153</v>
      </c>
      <c r="F1008">
        <f t="shared" si="181"/>
        <v>0.88993587632397175</v>
      </c>
      <c r="G1008">
        <f t="shared" si="184"/>
        <v>-1.000000000000334E-3</v>
      </c>
      <c r="H1008">
        <f>IF(MOD(COUNTA($C$7:C1008)-1,$J$2),H1007,ROUND(F1008*P1008,-2))</f>
        <v>8800</v>
      </c>
      <c r="I1008">
        <f t="shared" si="185"/>
        <v>0</v>
      </c>
      <c r="J1008">
        <f t="shared" si="186"/>
        <v>0</v>
      </c>
      <c r="K1008">
        <f t="shared" si="187"/>
        <v>-18717.58367445807</v>
      </c>
      <c r="L1008">
        <f t="shared" si="188"/>
        <v>1909.6163255419269</v>
      </c>
      <c r="M1008">
        <f t="shared" si="189"/>
        <v>-8.8000000000029104</v>
      </c>
      <c r="N1008">
        <f t="shared" si="191"/>
        <v>1909.6163255419269</v>
      </c>
      <c r="O1008" s="5">
        <f t="shared" si="182"/>
        <v>6.7757616695975353E-3</v>
      </c>
      <c r="P1008">
        <f t="shared" si="190"/>
        <v>10000</v>
      </c>
      <c r="Q1008">
        <f t="shared" si="183"/>
        <v>67.757616695975358</v>
      </c>
    </row>
    <row r="1009" spans="1:17" x14ac:dyDescent="0.15">
      <c r="A1009" s="10">
        <v>45900.607638888992</v>
      </c>
      <c r="B1009">
        <f>COUNT(A1009:$A$1158)/(48*252)</f>
        <v>1.240079365079365E-2</v>
      </c>
      <c r="C1009">
        <v>2.3490000000000002</v>
      </c>
      <c r="D1009">
        <v>0.14299999999999999</v>
      </c>
      <c r="E1009">
        <f t="shared" si="180"/>
        <v>1.270257879790369</v>
      </c>
      <c r="F1009">
        <f t="shared" si="181"/>
        <v>0.89800360678507241</v>
      </c>
      <c r="G1009">
        <f t="shared" si="184"/>
        <v>5.0000000000003375E-3</v>
      </c>
      <c r="H1009">
        <f>IF(MOD(COUNTA($C$7:C1009)-1,$J$2),H1008,ROUND(F1009*P1009,-2))</f>
        <v>9000</v>
      </c>
      <c r="I1009">
        <f t="shared" si="185"/>
        <v>200</v>
      </c>
      <c r="J1009">
        <f t="shared" si="186"/>
        <v>0</v>
      </c>
      <c r="K1009">
        <f t="shared" si="187"/>
        <v>-19187.404815458071</v>
      </c>
      <c r="L1009">
        <f t="shared" si="188"/>
        <v>1953.5951845419295</v>
      </c>
      <c r="M1009">
        <f t="shared" si="189"/>
        <v>43.978859000002558</v>
      </c>
      <c r="N1009">
        <f t="shared" si="191"/>
        <v>1953.5951845419295</v>
      </c>
      <c r="O1009" s="5">
        <f t="shared" si="182"/>
        <v>6.1706662672156576E-3</v>
      </c>
      <c r="P1009">
        <f t="shared" si="190"/>
        <v>10000</v>
      </c>
      <c r="Q1009">
        <f t="shared" si="183"/>
        <v>61.706662672156575</v>
      </c>
    </row>
    <row r="1010" spans="1:17" x14ac:dyDescent="0.15">
      <c r="A1010" s="10">
        <v>45900.611111111008</v>
      </c>
      <c r="B1010">
        <f>COUNT(A1010:$A$1158)/(48*252)</f>
        <v>1.2318121693121693E-2</v>
      </c>
      <c r="C1010">
        <v>2.35</v>
      </c>
      <c r="D1010">
        <v>0.14199999999999999</v>
      </c>
      <c r="E1010">
        <f t="shared" si="180"/>
        <v>1.2823485459304853</v>
      </c>
      <c r="F1010">
        <f t="shared" si="181"/>
        <v>0.90013979730885874</v>
      </c>
      <c r="G1010">
        <f t="shared" si="184"/>
        <v>9.9999999999988987E-4</v>
      </c>
      <c r="H1010">
        <f>IF(MOD(COUNTA($C$7:C1010)-1,$J$2),H1009,ROUND(F1010*P1010,-2))</f>
        <v>9000</v>
      </c>
      <c r="I1010">
        <f t="shared" si="185"/>
        <v>0</v>
      </c>
      <c r="J1010">
        <f t="shared" si="186"/>
        <v>0</v>
      </c>
      <c r="K1010">
        <f t="shared" si="187"/>
        <v>-19187.404815458071</v>
      </c>
      <c r="L1010">
        <f t="shared" si="188"/>
        <v>1962.5951845419295</v>
      </c>
      <c r="M1010">
        <f t="shared" si="189"/>
        <v>9</v>
      </c>
      <c r="N1010">
        <f t="shared" si="191"/>
        <v>1962.5951845419295</v>
      </c>
      <c r="O1010" s="5">
        <f t="shared" si="182"/>
        <v>5.996899973145231E-3</v>
      </c>
      <c r="P1010">
        <f t="shared" si="190"/>
        <v>10000</v>
      </c>
      <c r="Q1010">
        <f t="shared" si="183"/>
        <v>59.968999731452314</v>
      </c>
    </row>
    <row r="1011" spans="1:17" x14ac:dyDescent="0.15">
      <c r="A1011" s="10">
        <v>45900.614583333023</v>
      </c>
      <c r="B1011">
        <f>COUNT(A1011:$A$1158)/(48*252)</f>
        <v>1.2235449735449735E-2</v>
      </c>
      <c r="C1011">
        <v>2.351</v>
      </c>
      <c r="D1011">
        <v>0.14199999999999999</v>
      </c>
      <c r="E1011">
        <f t="shared" si="180"/>
        <v>1.2945316803838705</v>
      </c>
      <c r="F1011">
        <f t="shared" si="181"/>
        <v>0.90225908314010128</v>
      </c>
      <c r="G1011">
        <f t="shared" si="184"/>
        <v>9.9999999999988987E-4</v>
      </c>
      <c r="H1011">
        <f>IF(MOD(COUNTA($C$7:C1011)-1,$J$2),H1010,ROUND(F1011*P1011,-2))</f>
        <v>9000</v>
      </c>
      <c r="I1011">
        <f t="shared" si="185"/>
        <v>0</v>
      </c>
      <c r="J1011">
        <f t="shared" si="186"/>
        <v>0</v>
      </c>
      <c r="K1011">
        <f t="shared" si="187"/>
        <v>-19187.404815458071</v>
      </c>
      <c r="L1011">
        <f t="shared" si="188"/>
        <v>1971.5951845419295</v>
      </c>
      <c r="M1011">
        <f t="shared" si="189"/>
        <v>9</v>
      </c>
      <c r="N1011">
        <f t="shared" si="191"/>
        <v>1971.5951845419295</v>
      </c>
      <c r="O1011" s="5">
        <f t="shared" si="182"/>
        <v>5.8261091097794315E-3</v>
      </c>
      <c r="P1011">
        <f t="shared" si="190"/>
        <v>10000</v>
      </c>
      <c r="Q1011">
        <f t="shared" si="183"/>
        <v>58.261091097794313</v>
      </c>
    </row>
    <row r="1012" spans="1:17" x14ac:dyDescent="0.15">
      <c r="A1012" s="10">
        <v>45900.618055555969</v>
      </c>
      <c r="B1012">
        <f>COUNT(A1012:$A$1158)/(48*252)</f>
        <v>1.2152777777777778E-2</v>
      </c>
      <c r="C1012">
        <v>2.3479999999999999</v>
      </c>
      <c r="D1012">
        <v>0.14199999999999999</v>
      </c>
      <c r="E1012">
        <f t="shared" si="180"/>
        <v>1.2743596671644479</v>
      </c>
      <c r="F1012">
        <f t="shared" si="181"/>
        <v>0.89873201031620042</v>
      </c>
      <c r="G1012">
        <f t="shared" si="184"/>
        <v>-3.0000000000001137E-3</v>
      </c>
      <c r="H1012">
        <f>IF(MOD(COUNTA($C$7:C1012)-1,$J$2),H1011,ROUND(F1012*P1012,-2))</f>
        <v>9000</v>
      </c>
      <c r="I1012">
        <f t="shared" si="185"/>
        <v>0</v>
      </c>
      <c r="J1012">
        <f t="shared" si="186"/>
        <v>0</v>
      </c>
      <c r="K1012">
        <f t="shared" si="187"/>
        <v>-19187.404815458071</v>
      </c>
      <c r="L1012">
        <f t="shared" si="188"/>
        <v>1944.5951845419295</v>
      </c>
      <c r="M1012">
        <f t="shared" si="189"/>
        <v>-27</v>
      </c>
      <c r="N1012">
        <f t="shared" si="191"/>
        <v>1944.5951845419295</v>
      </c>
      <c r="O1012" s="5">
        <f t="shared" si="182"/>
        <v>6.0520161623429936E-3</v>
      </c>
      <c r="P1012">
        <f t="shared" si="190"/>
        <v>10000</v>
      </c>
      <c r="Q1012">
        <f t="shared" si="183"/>
        <v>60.520161623429935</v>
      </c>
    </row>
    <row r="1013" spans="1:17" x14ac:dyDescent="0.15">
      <c r="A1013" s="10">
        <v>45900.621527777985</v>
      </c>
      <c r="B1013">
        <f>COUNT(A1013:$A$1158)/(48*252)</f>
        <v>1.2070105820105819E-2</v>
      </c>
      <c r="C1013">
        <v>2.3530000000000002</v>
      </c>
      <c r="D1013">
        <v>0.14299999999999999</v>
      </c>
      <c r="E1013">
        <f t="shared" si="180"/>
        <v>1.3191814154434596</v>
      </c>
      <c r="F1013">
        <f t="shared" si="181"/>
        <v>0.90644576508247043</v>
      </c>
      <c r="G1013">
        <f t="shared" si="184"/>
        <v>5.0000000000003375E-3</v>
      </c>
      <c r="H1013">
        <f>IF(MOD(COUNTA($C$7:C1013)-1,$J$2),H1012,ROUND(F1013*P1013,-2))</f>
        <v>9000</v>
      </c>
      <c r="I1013">
        <f t="shared" si="185"/>
        <v>0</v>
      </c>
      <c r="J1013">
        <f t="shared" si="186"/>
        <v>0</v>
      </c>
      <c r="K1013">
        <f t="shared" si="187"/>
        <v>-19187.404815458071</v>
      </c>
      <c r="L1013">
        <f t="shared" si="188"/>
        <v>1989.5951845419331</v>
      </c>
      <c r="M1013">
        <f t="shared" si="189"/>
        <v>45.000000000003638</v>
      </c>
      <c r="N1013">
        <f t="shared" si="191"/>
        <v>1989.5951845419331</v>
      </c>
      <c r="O1013" s="5">
        <f t="shared" si="182"/>
        <v>5.4934156914427379E-3</v>
      </c>
      <c r="P1013">
        <f t="shared" si="190"/>
        <v>10000</v>
      </c>
      <c r="Q1013">
        <f t="shared" si="183"/>
        <v>54.934156914427376</v>
      </c>
    </row>
    <row r="1014" spans="1:17" x14ac:dyDescent="0.15">
      <c r="A1014" s="10">
        <v>45900.625</v>
      </c>
      <c r="B1014">
        <f>COUNT(A1014:$A$1158)/(48*252)</f>
        <v>1.1987433862433863E-2</v>
      </c>
      <c r="C1014">
        <v>2.35</v>
      </c>
      <c r="D1014">
        <v>0.14000000000000001</v>
      </c>
      <c r="E1014">
        <f t="shared" si="180"/>
        <v>1.2990067750949021</v>
      </c>
      <c r="F1014">
        <f t="shared" si="181"/>
        <v>0.90302919795617076</v>
      </c>
      <c r="G1014">
        <f t="shared" si="184"/>
        <v>-3.0000000000001137E-3</v>
      </c>
      <c r="H1014">
        <f>IF(MOD(COUNTA($C$7:C1014)-1,$J$2),H1013,ROUND(F1014*P1014,-2))</f>
        <v>9000</v>
      </c>
      <c r="I1014">
        <f t="shared" si="185"/>
        <v>0</v>
      </c>
      <c r="J1014">
        <f t="shared" si="186"/>
        <v>0</v>
      </c>
      <c r="K1014">
        <f t="shared" si="187"/>
        <v>-19187.404815458071</v>
      </c>
      <c r="L1014">
        <f t="shared" si="188"/>
        <v>1962.5951845419295</v>
      </c>
      <c r="M1014">
        <f t="shared" si="189"/>
        <v>-27.000000000003638</v>
      </c>
      <c r="N1014">
        <f t="shared" si="191"/>
        <v>1962.5951845419295</v>
      </c>
      <c r="O1014" s="5">
        <f t="shared" si="182"/>
        <v>5.7083278974815466E-3</v>
      </c>
      <c r="P1014">
        <f t="shared" si="190"/>
        <v>10000</v>
      </c>
      <c r="Q1014">
        <f t="shared" si="183"/>
        <v>57.083278974815464</v>
      </c>
    </row>
    <row r="1015" spans="1:17" x14ac:dyDescent="0.15">
      <c r="A1015" s="10">
        <v>45903.399305555969</v>
      </c>
      <c r="B1015">
        <f>COUNT(A1015:$A$1158)/(48*252)</f>
        <v>1.1904761904761904E-2</v>
      </c>
      <c r="C1015">
        <v>2.3690000000000002</v>
      </c>
      <c r="D1015">
        <v>0.16500000000000001</v>
      </c>
      <c r="E1015">
        <f t="shared" si="180"/>
        <v>1.4583857692758402</v>
      </c>
      <c r="F1015">
        <f t="shared" si="181"/>
        <v>0.92763287953294793</v>
      </c>
      <c r="G1015">
        <f t="shared" si="184"/>
        <v>1.9000000000000128E-2</v>
      </c>
      <c r="H1015">
        <f>IF(MOD(COUNTA($C$7:C1015)-1,$J$2),H1014,ROUND(F1015*P1015,-2))</f>
        <v>9300</v>
      </c>
      <c r="I1015">
        <f t="shared" si="185"/>
        <v>300</v>
      </c>
      <c r="J1015">
        <f t="shared" si="186"/>
        <v>0</v>
      </c>
      <c r="K1015">
        <f t="shared" si="187"/>
        <v>-19898.136796958071</v>
      </c>
      <c r="L1015">
        <f t="shared" si="188"/>
        <v>2133.5632030419292</v>
      </c>
      <c r="M1015">
        <f t="shared" si="189"/>
        <v>170.96801849999974</v>
      </c>
      <c r="N1015">
        <f t="shared" si="191"/>
        <v>2133.5632030419292</v>
      </c>
      <c r="O1015" s="5">
        <f t="shared" si="182"/>
        <v>4.0431664309333593E-3</v>
      </c>
      <c r="P1015">
        <f t="shared" si="190"/>
        <v>10000</v>
      </c>
      <c r="Q1015">
        <f t="shared" si="183"/>
        <v>40.431664309333591</v>
      </c>
    </row>
    <row r="1016" spans="1:17" x14ac:dyDescent="0.15">
      <c r="A1016" s="10">
        <v>45903.402777777985</v>
      </c>
      <c r="B1016">
        <f>COUNT(A1016:$A$1158)/(48*252)</f>
        <v>1.1822089947089947E-2</v>
      </c>
      <c r="C1016">
        <v>2.3650000000000002</v>
      </c>
      <c r="D1016">
        <v>0.16</v>
      </c>
      <c r="E1016">
        <f t="shared" si="180"/>
        <v>1.4305837640628831</v>
      </c>
      <c r="F1016">
        <f t="shared" si="181"/>
        <v>0.92372522830166093</v>
      </c>
      <c r="G1016">
        <f t="shared" si="184"/>
        <v>-4.0000000000000036E-3</v>
      </c>
      <c r="H1016">
        <f>IF(MOD(COUNTA($C$7:C1016)-1,$J$2),H1015,ROUND(F1016*P1016,-2))</f>
        <v>9300</v>
      </c>
      <c r="I1016">
        <f t="shared" si="185"/>
        <v>0</v>
      </c>
      <c r="J1016">
        <f t="shared" si="186"/>
        <v>0</v>
      </c>
      <c r="K1016">
        <f t="shared" si="187"/>
        <v>-19898.136796958071</v>
      </c>
      <c r="L1016">
        <f t="shared" si="188"/>
        <v>2096.3632030419321</v>
      </c>
      <c r="M1016">
        <f t="shared" si="189"/>
        <v>-37.19999999999709</v>
      </c>
      <c r="N1016">
        <f t="shared" si="191"/>
        <v>2096.3632030419321</v>
      </c>
      <c r="O1016" s="5">
        <f t="shared" si="182"/>
        <v>4.2807572461841803E-3</v>
      </c>
      <c r="P1016">
        <f t="shared" si="190"/>
        <v>10000</v>
      </c>
      <c r="Q1016">
        <f t="shared" si="183"/>
        <v>42.807572461841801</v>
      </c>
    </row>
    <row r="1017" spans="1:17" x14ac:dyDescent="0.15">
      <c r="A1017" s="10">
        <v>45903.40625</v>
      </c>
      <c r="B1017">
        <f>COUNT(A1017:$A$1158)/(48*252)</f>
        <v>1.1739417989417989E-2</v>
      </c>
      <c r="C1017">
        <v>2.367</v>
      </c>
      <c r="D1017">
        <v>0.161</v>
      </c>
      <c r="E1017">
        <f t="shared" si="180"/>
        <v>1.4517786513051434</v>
      </c>
      <c r="F1017">
        <f t="shared" si="181"/>
        <v>0.92671841909418795</v>
      </c>
      <c r="G1017">
        <f t="shared" si="184"/>
        <v>1.9999999999997797E-3</v>
      </c>
      <c r="H1017">
        <f>IF(MOD(COUNTA($C$7:C1017)-1,$J$2),H1016,ROUND(F1017*P1017,-2))</f>
        <v>9300</v>
      </c>
      <c r="I1017">
        <f t="shared" si="185"/>
        <v>0</v>
      </c>
      <c r="J1017">
        <f t="shared" si="186"/>
        <v>0</v>
      </c>
      <c r="K1017">
        <f t="shared" si="187"/>
        <v>-19898.136796958071</v>
      </c>
      <c r="L1017">
        <f t="shared" si="188"/>
        <v>2114.963203041927</v>
      </c>
      <c r="M1017">
        <f t="shared" si="189"/>
        <v>18.599999999994907</v>
      </c>
      <c r="N1017">
        <f t="shared" si="191"/>
        <v>2114.963203041927</v>
      </c>
      <c r="O1017" s="5">
        <f t="shared" si="182"/>
        <v>4.0711115231647221E-3</v>
      </c>
      <c r="P1017">
        <f t="shared" si="190"/>
        <v>10000</v>
      </c>
      <c r="Q1017">
        <f t="shared" si="183"/>
        <v>40.71111523164722</v>
      </c>
    </row>
    <row r="1018" spans="1:17" x14ac:dyDescent="0.15">
      <c r="A1018" s="10">
        <v>45903.409722222015</v>
      </c>
      <c r="B1018">
        <f>COUNT(A1018:$A$1158)/(48*252)</f>
        <v>1.1656746031746032E-2</v>
      </c>
      <c r="C1018">
        <v>2.375</v>
      </c>
      <c r="D1018">
        <v>0.16600000000000001</v>
      </c>
      <c r="E1018">
        <f t="shared" si="180"/>
        <v>1.5223650664112607</v>
      </c>
      <c r="F1018">
        <f t="shared" si="181"/>
        <v>0.93604118354421517</v>
      </c>
      <c r="G1018">
        <f t="shared" si="184"/>
        <v>8.0000000000000071E-3</v>
      </c>
      <c r="H1018">
        <f>IF(MOD(COUNTA($C$7:C1018)-1,$J$2),H1017,ROUND(F1018*P1018,-2))</f>
        <v>9300</v>
      </c>
      <c r="I1018">
        <f t="shared" si="185"/>
        <v>0</v>
      </c>
      <c r="J1018">
        <f t="shared" si="186"/>
        <v>0</v>
      </c>
      <c r="K1018">
        <f t="shared" si="187"/>
        <v>-19898.136796958071</v>
      </c>
      <c r="L1018">
        <f t="shared" si="188"/>
        <v>2189.3632030419285</v>
      </c>
      <c r="M1018">
        <f t="shared" si="189"/>
        <v>74.400000000001455</v>
      </c>
      <c r="N1018">
        <f t="shared" si="191"/>
        <v>2189.3632030419285</v>
      </c>
      <c r="O1018" s="5">
        <f t="shared" si="182"/>
        <v>3.4662417181924865E-3</v>
      </c>
      <c r="P1018">
        <f t="shared" si="190"/>
        <v>10000</v>
      </c>
      <c r="Q1018">
        <f t="shared" si="183"/>
        <v>34.662417181924866</v>
      </c>
    </row>
    <row r="1019" spans="1:17" x14ac:dyDescent="0.15">
      <c r="A1019" s="10">
        <v>45903.413194444962</v>
      </c>
      <c r="B1019">
        <f>COUNT(A1019:$A$1158)/(48*252)</f>
        <v>1.1574074074074073E-2</v>
      </c>
      <c r="C1019">
        <v>2.3809999999999998</v>
      </c>
      <c r="D1019">
        <v>0.17100000000000001</v>
      </c>
      <c r="E1019">
        <f t="shared" si="180"/>
        <v>1.5768495677032066</v>
      </c>
      <c r="F1019">
        <f t="shared" si="181"/>
        <v>0.94258492842504527</v>
      </c>
      <c r="G1019">
        <f t="shared" si="184"/>
        <v>5.9999999999997833E-3</v>
      </c>
      <c r="H1019">
        <f>IF(MOD(COUNTA($C$7:C1019)-1,$J$2),H1018,ROUND(F1019*P1019,-2))</f>
        <v>9300</v>
      </c>
      <c r="I1019">
        <f t="shared" si="185"/>
        <v>0</v>
      </c>
      <c r="J1019">
        <f t="shared" si="186"/>
        <v>0</v>
      </c>
      <c r="K1019">
        <f t="shared" si="187"/>
        <v>-19898.136796958071</v>
      </c>
      <c r="L1019">
        <f t="shared" si="188"/>
        <v>2245.1632030419278</v>
      </c>
      <c r="M1019">
        <f t="shared" si="189"/>
        <v>55.799999999999272</v>
      </c>
      <c r="N1019">
        <f t="shared" si="191"/>
        <v>2245.1632030419278</v>
      </c>
      <c r="O1019" s="5">
        <f t="shared" si="182"/>
        <v>3.0506223659050313E-3</v>
      </c>
      <c r="P1019">
        <f t="shared" si="190"/>
        <v>10000</v>
      </c>
      <c r="Q1019">
        <f t="shared" si="183"/>
        <v>30.506223659050313</v>
      </c>
    </row>
    <row r="1020" spans="1:17" x14ac:dyDescent="0.15">
      <c r="A1020" s="10">
        <v>45903.416666666977</v>
      </c>
      <c r="B1020">
        <f>COUNT(A1020:$A$1158)/(48*252)</f>
        <v>1.1491402116402117E-2</v>
      </c>
      <c r="C1020">
        <v>2.379</v>
      </c>
      <c r="D1020">
        <v>0.17</v>
      </c>
      <c r="E1020">
        <f t="shared" si="180"/>
        <v>1.5658048118095182</v>
      </c>
      <c r="F1020">
        <f t="shared" si="181"/>
        <v>0.94130284029464506</v>
      </c>
      <c r="G1020">
        <f t="shared" si="184"/>
        <v>-1.9999999999997797E-3</v>
      </c>
      <c r="H1020">
        <f>IF(MOD(COUNTA($C$7:C1020)-1,$J$2),H1019,ROUND(F1020*P1020,-2))</f>
        <v>9300</v>
      </c>
      <c r="I1020">
        <f t="shared" si="185"/>
        <v>0</v>
      </c>
      <c r="J1020">
        <f t="shared" si="186"/>
        <v>0</v>
      </c>
      <c r="K1020">
        <f t="shared" si="187"/>
        <v>-19898.136796958071</v>
      </c>
      <c r="L1020">
        <f t="shared" si="188"/>
        <v>2226.5632030419292</v>
      </c>
      <c r="M1020">
        <f t="shared" si="189"/>
        <v>-18.599999999998545</v>
      </c>
      <c r="N1020">
        <f t="shared" si="191"/>
        <v>2226.5632030419292</v>
      </c>
      <c r="O1020" s="5">
        <f t="shared" si="182"/>
        <v>3.1164798183170306E-3</v>
      </c>
      <c r="P1020">
        <f t="shared" si="190"/>
        <v>10000</v>
      </c>
      <c r="Q1020">
        <f t="shared" si="183"/>
        <v>31.164798183170305</v>
      </c>
    </row>
    <row r="1021" spans="1:17" x14ac:dyDescent="0.15">
      <c r="A1021" s="10">
        <v>45903.420138888992</v>
      </c>
      <c r="B1021">
        <f>COUNT(A1021:$A$1158)/(48*252)</f>
        <v>1.1408730158730158E-2</v>
      </c>
      <c r="C1021">
        <v>2.379</v>
      </c>
      <c r="D1021">
        <v>0.16800000000000001</v>
      </c>
      <c r="E1021">
        <f t="shared" si="180"/>
        <v>1.5712348328686727</v>
      </c>
      <c r="F1021">
        <f t="shared" si="181"/>
        <v>0.94193594406028103</v>
      </c>
      <c r="G1021">
        <f t="shared" si="184"/>
        <v>0</v>
      </c>
      <c r="H1021">
        <f>IF(MOD(COUNTA($C$7:C1021)-1,$J$2),H1020,ROUND(F1021*P1021,-2))</f>
        <v>9400</v>
      </c>
      <c r="I1021">
        <f t="shared" si="185"/>
        <v>100</v>
      </c>
      <c r="J1021">
        <f t="shared" si="186"/>
        <v>0</v>
      </c>
      <c r="K1021">
        <f t="shared" si="187"/>
        <v>-20136.047502458074</v>
      </c>
      <c r="L1021">
        <f t="shared" si="188"/>
        <v>2226.5524975419248</v>
      </c>
      <c r="M1021">
        <f t="shared" si="189"/>
        <v>-1.0705500004405621E-2</v>
      </c>
      <c r="N1021">
        <f t="shared" si="191"/>
        <v>2226.5524975419248</v>
      </c>
      <c r="O1021" s="5">
        <f t="shared" si="182"/>
        <v>3.0658464661438567E-3</v>
      </c>
      <c r="P1021">
        <f t="shared" si="190"/>
        <v>10000</v>
      </c>
      <c r="Q1021">
        <f t="shared" si="183"/>
        <v>30.658464661438568</v>
      </c>
    </row>
    <row r="1022" spans="1:17" x14ac:dyDescent="0.15">
      <c r="A1022" s="10">
        <v>45903.423611111008</v>
      </c>
      <c r="B1022">
        <f>COUNT(A1022:$A$1158)/(48*252)</f>
        <v>1.1326058201058201E-2</v>
      </c>
      <c r="C1022">
        <v>2.367</v>
      </c>
      <c r="D1022">
        <v>0.16400000000000001</v>
      </c>
      <c r="E1022">
        <f t="shared" si="180"/>
        <v>1.4768645924986545</v>
      </c>
      <c r="F1022">
        <f t="shared" si="181"/>
        <v>0.93014403108622712</v>
      </c>
      <c r="G1022">
        <f t="shared" si="184"/>
        <v>-1.2000000000000011E-2</v>
      </c>
      <c r="H1022">
        <f>IF(MOD(COUNTA($C$7:C1022)-1,$J$2),H1021,ROUND(F1022*P1022,-2))</f>
        <v>9400</v>
      </c>
      <c r="I1022">
        <f t="shared" si="185"/>
        <v>0</v>
      </c>
      <c r="J1022">
        <f t="shared" si="186"/>
        <v>0</v>
      </c>
      <c r="K1022">
        <f t="shared" si="187"/>
        <v>-20136.047502458074</v>
      </c>
      <c r="L1022">
        <f t="shared" si="188"/>
        <v>2113.7524975419255</v>
      </c>
      <c r="M1022">
        <f t="shared" si="189"/>
        <v>-112.79999999999927</v>
      </c>
      <c r="N1022">
        <f t="shared" si="191"/>
        <v>2113.7524975419255</v>
      </c>
      <c r="O1022" s="5">
        <f t="shared" si="182"/>
        <v>3.7772174278389581E-3</v>
      </c>
      <c r="P1022">
        <f t="shared" si="190"/>
        <v>10000</v>
      </c>
      <c r="Q1022">
        <f t="shared" si="183"/>
        <v>37.772174278389578</v>
      </c>
    </row>
    <row r="1023" spans="1:17" x14ac:dyDescent="0.15">
      <c r="A1023" s="10">
        <v>45903.427083333023</v>
      </c>
      <c r="B1023">
        <f>COUNT(A1023:$A$1158)/(48*252)</f>
        <v>1.1243386243386243E-2</v>
      </c>
      <c r="C1023">
        <v>2.371</v>
      </c>
      <c r="D1023">
        <v>0.16800000000000001</v>
      </c>
      <c r="E1023">
        <f t="shared" si="180"/>
        <v>1.5155149654618916</v>
      </c>
      <c r="F1023">
        <f t="shared" si="181"/>
        <v>0.93517897833436125</v>
      </c>
      <c r="G1023">
        <f t="shared" si="184"/>
        <v>4.0000000000000036E-3</v>
      </c>
      <c r="H1023">
        <f>IF(MOD(COUNTA($C$7:C1023)-1,$J$2),H1022,ROUND(F1023*P1023,-2))</f>
        <v>9400</v>
      </c>
      <c r="I1023">
        <f t="shared" si="185"/>
        <v>0</v>
      </c>
      <c r="J1023">
        <f t="shared" si="186"/>
        <v>0</v>
      </c>
      <c r="K1023">
        <f t="shared" si="187"/>
        <v>-20136.047502458074</v>
      </c>
      <c r="L1023">
        <f t="shared" si="188"/>
        <v>2151.3524975419277</v>
      </c>
      <c r="M1023">
        <f t="shared" si="189"/>
        <v>37.600000000002183</v>
      </c>
      <c r="N1023">
        <f t="shared" si="191"/>
        <v>2151.3524975419277</v>
      </c>
      <c r="O1023" s="5">
        <f t="shared" si="182"/>
        <v>3.4512137920160724E-3</v>
      </c>
      <c r="P1023">
        <f t="shared" si="190"/>
        <v>10000</v>
      </c>
      <c r="Q1023">
        <f t="shared" si="183"/>
        <v>34.512137920160725</v>
      </c>
    </row>
    <row r="1024" spans="1:17" x14ac:dyDescent="0.15">
      <c r="A1024" s="10">
        <v>45903.430555555969</v>
      </c>
      <c r="B1024">
        <f>COUNT(A1024:$A$1158)/(48*252)</f>
        <v>1.1160714285714286E-2</v>
      </c>
      <c r="C1024">
        <v>2.3740000000000001</v>
      </c>
      <c r="D1024">
        <v>0.17</v>
      </c>
      <c r="E1024">
        <f t="shared" si="180"/>
        <v>1.5460367198695477</v>
      </c>
      <c r="F1024">
        <f t="shared" si="181"/>
        <v>0.93895215004942512</v>
      </c>
      <c r="G1024">
        <f t="shared" si="184"/>
        <v>3.0000000000001137E-3</v>
      </c>
      <c r="H1024">
        <f>IF(MOD(COUNTA($C$7:C1024)-1,$J$2),H1023,ROUND(F1024*P1024,-2))</f>
        <v>9400</v>
      </c>
      <c r="I1024">
        <f t="shared" si="185"/>
        <v>0</v>
      </c>
      <c r="J1024">
        <f t="shared" si="186"/>
        <v>0</v>
      </c>
      <c r="K1024">
        <f t="shared" si="187"/>
        <v>-20136.047502458074</v>
      </c>
      <c r="L1024">
        <f t="shared" si="188"/>
        <v>2179.5524975419285</v>
      </c>
      <c r="M1024">
        <f t="shared" si="189"/>
        <v>28.200000000000728</v>
      </c>
      <c r="N1024">
        <f t="shared" si="191"/>
        <v>2179.5524975419285</v>
      </c>
      <c r="O1024" s="5">
        <f t="shared" si="182"/>
        <v>3.2083211349353269E-3</v>
      </c>
      <c r="P1024">
        <f t="shared" si="190"/>
        <v>10000</v>
      </c>
      <c r="Q1024">
        <f t="shared" si="183"/>
        <v>32.08321134935327</v>
      </c>
    </row>
    <row r="1025" spans="1:17" x14ac:dyDescent="0.15">
      <c r="A1025" s="10">
        <v>45903.434027777985</v>
      </c>
      <c r="B1025">
        <f>COUNT(A1025:$A$1158)/(48*252)</f>
        <v>1.1078042328042327E-2</v>
      </c>
      <c r="C1025">
        <v>2.3769999999999998</v>
      </c>
      <c r="D1025">
        <v>0.16800000000000001</v>
      </c>
      <c r="E1025">
        <f t="shared" si="180"/>
        <v>1.5767748060506526</v>
      </c>
      <c r="F1025">
        <f t="shared" si="181"/>
        <v>0.94257632467450148</v>
      </c>
      <c r="G1025">
        <f t="shared" si="184"/>
        <v>2.9999999999996696E-3</v>
      </c>
      <c r="H1025">
        <f>IF(MOD(COUNTA($C$7:C1025)-1,$J$2),H1024,ROUND(F1025*P1025,-2))</f>
        <v>9400</v>
      </c>
      <c r="I1025">
        <f t="shared" si="185"/>
        <v>0</v>
      </c>
      <c r="J1025">
        <f t="shared" si="186"/>
        <v>0</v>
      </c>
      <c r="K1025">
        <f t="shared" si="187"/>
        <v>-20136.047502458074</v>
      </c>
      <c r="L1025">
        <f t="shared" si="188"/>
        <v>2207.7524975419255</v>
      </c>
      <c r="M1025">
        <f t="shared" si="189"/>
        <v>28.19999999999709</v>
      </c>
      <c r="N1025">
        <f t="shared" si="191"/>
        <v>2207.7524975419255</v>
      </c>
      <c r="O1025" s="5">
        <f t="shared" si="182"/>
        <v>2.9787640864455955E-3</v>
      </c>
      <c r="P1025">
        <f t="shared" si="190"/>
        <v>10000</v>
      </c>
      <c r="Q1025">
        <f t="shared" si="183"/>
        <v>29.787640864455955</v>
      </c>
    </row>
    <row r="1026" spans="1:17" x14ac:dyDescent="0.15">
      <c r="A1026" s="10">
        <v>45903.4375</v>
      </c>
      <c r="B1026">
        <f>COUNT(A1026:$A$1158)/(48*252)</f>
        <v>1.0995370370370371E-2</v>
      </c>
      <c r="C1026">
        <v>2.3730000000000002</v>
      </c>
      <c r="D1026">
        <v>0.16800000000000001</v>
      </c>
      <c r="E1026">
        <f t="shared" si="180"/>
        <v>1.5486989970942062</v>
      </c>
      <c r="F1026">
        <f t="shared" si="181"/>
        <v>0.9392729524531499</v>
      </c>
      <c r="G1026">
        <f t="shared" si="184"/>
        <v>-3.9999999999995595E-3</v>
      </c>
      <c r="H1026">
        <f>IF(MOD(COUNTA($C$7:C1026)-1,$J$2),H1025,ROUND(F1026*P1026,-2))</f>
        <v>9400</v>
      </c>
      <c r="I1026">
        <f t="shared" si="185"/>
        <v>0</v>
      </c>
      <c r="J1026">
        <f t="shared" si="186"/>
        <v>0</v>
      </c>
      <c r="K1026">
        <f t="shared" si="187"/>
        <v>-20136.047502458074</v>
      </c>
      <c r="L1026">
        <f t="shared" si="188"/>
        <v>2170.152497541927</v>
      </c>
      <c r="M1026">
        <f t="shared" si="189"/>
        <v>-37.599999999998545</v>
      </c>
      <c r="N1026">
        <f t="shared" si="191"/>
        <v>2170.152497541927</v>
      </c>
      <c r="O1026" s="5">
        <f t="shared" si="182"/>
        <v>3.1630466008093217E-3</v>
      </c>
      <c r="P1026">
        <f t="shared" si="190"/>
        <v>10000</v>
      </c>
      <c r="Q1026">
        <f t="shared" si="183"/>
        <v>31.630466008093215</v>
      </c>
    </row>
    <row r="1027" spans="1:17" x14ac:dyDescent="0.15">
      <c r="A1027" s="10">
        <v>45903.440972222015</v>
      </c>
      <c r="B1027">
        <f>COUNT(A1027:$A$1158)/(48*252)</f>
        <v>1.0912698412698412E-2</v>
      </c>
      <c r="C1027">
        <v>2.3740000000000001</v>
      </c>
      <c r="D1027">
        <v>0.17</v>
      </c>
      <c r="E1027">
        <f t="shared" si="180"/>
        <v>1.5627920768665065</v>
      </c>
      <c r="F1027">
        <f t="shared" si="181"/>
        <v>0.94094924579805217</v>
      </c>
      <c r="G1027">
        <f t="shared" si="184"/>
        <v>9.9999999999988987E-4</v>
      </c>
      <c r="H1027">
        <f>IF(MOD(COUNTA($C$7:C1027)-1,$J$2),H1026,ROUND(F1027*P1027,-2))</f>
        <v>9400</v>
      </c>
      <c r="I1027">
        <f t="shared" si="185"/>
        <v>0</v>
      </c>
      <c r="J1027">
        <f t="shared" si="186"/>
        <v>0</v>
      </c>
      <c r="K1027">
        <f t="shared" si="187"/>
        <v>-20136.047502458074</v>
      </c>
      <c r="L1027">
        <f t="shared" si="188"/>
        <v>2179.5524975419285</v>
      </c>
      <c r="M1027">
        <f t="shared" si="189"/>
        <v>9.4000000000014552</v>
      </c>
      <c r="N1027">
        <f t="shared" si="191"/>
        <v>2179.5524975419285</v>
      </c>
      <c r="O1027" s="5">
        <f t="shared" si="182"/>
        <v>3.0504642451672503E-3</v>
      </c>
      <c r="P1027">
        <f t="shared" si="190"/>
        <v>10000</v>
      </c>
      <c r="Q1027">
        <f t="shared" si="183"/>
        <v>30.504642451672503</v>
      </c>
    </row>
    <row r="1028" spans="1:17" x14ac:dyDescent="0.15">
      <c r="A1028" s="10">
        <v>45903.444444444962</v>
      </c>
      <c r="B1028">
        <f>COUNT(A1028:$A$1158)/(48*252)</f>
        <v>1.0830026455026455E-2</v>
      </c>
      <c r="C1028">
        <v>2.3740000000000001</v>
      </c>
      <c r="D1028">
        <v>0.16900000000000001</v>
      </c>
      <c r="E1028">
        <f t="shared" si="180"/>
        <v>1.5685065050366083</v>
      </c>
      <c r="F1028">
        <f t="shared" si="181"/>
        <v>0.94161851348077952</v>
      </c>
      <c r="G1028">
        <f t="shared" si="184"/>
        <v>0</v>
      </c>
      <c r="H1028">
        <f>IF(MOD(COUNTA($C$7:C1028)-1,$J$2),H1027,ROUND(F1028*P1028,-2))</f>
        <v>9400</v>
      </c>
      <c r="I1028">
        <f t="shared" si="185"/>
        <v>0</v>
      </c>
      <c r="J1028">
        <f t="shared" si="186"/>
        <v>0</v>
      </c>
      <c r="K1028">
        <f t="shared" si="187"/>
        <v>-20136.047502458074</v>
      </c>
      <c r="L1028">
        <f t="shared" si="188"/>
        <v>2179.5524975419285</v>
      </c>
      <c r="M1028">
        <f t="shared" si="189"/>
        <v>0</v>
      </c>
      <c r="N1028">
        <f t="shared" si="191"/>
        <v>2179.5524975419285</v>
      </c>
      <c r="O1028" s="5">
        <f t="shared" si="182"/>
        <v>2.9983670587088729E-3</v>
      </c>
      <c r="P1028">
        <f t="shared" si="190"/>
        <v>10000</v>
      </c>
      <c r="Q1028">
        <f t="shared" si="183"/>
        <v>29.983670587088728</v>
      </c>
    </row>
    <row r="1029" spans="1:17" x14ac:dyDescent="0.15">
      <c r="A1029" s="10">
        <v>45903.447916666977</v>
      </c>
      <c r="B1029">
        <f>COUNT(A1029:$A$1158)/(48*252)</f>
        <v>1.0747354497354497E-2</v>
      </c>
      <c r="C1029">
        <v>2.3740000000000001</v>
      </c>
      <c r="D1029">
        <v>0.16700000000000001</v>
      </c>
      <c r="E1029">
        <f t="shared" si="180"/>
        <v>1.5742876605725724</v>
      </c>
      <c r="F1029">
        <f t="shared" si="181"/>
        <v>0.94228951941337791</v>
      </c>
      <c r="G1029">
        <f t="shared" si="184"/>
        <v>0</v>
      </c>
      <c r="H1029">
        <f>IF(MOD(COUNTA($C$7:C1029)-1,$J$2),H1028,ROUND(F1029*P1029,-2))</f>
        <v>9400</v>
      </c>
      <c r="I1029">
        <f t="shared" si="185"/>
        <v>0</v>
      </c>
      <c r="J1029">
        <f t="shared" si="186"/>
        <v>0</v>
      </c>
      <c r="K1029">
        <f t="shared" si="187"/>
        <v>-20136.047502458074</v>
      </c>
      <c r="L1029">
        <f t="shared" si="188"/>
        <v>2179.5524975419285</v>
      </c>
      <c r="M1029">
        <f t="shared" si="189"/>
        <v>0</v>
      </c>
      <c r="N1029">
        <f t="shared" si="191"/>
        <v>2179.5524975419285</v>
      </c>
      <c r="O1029" s="5">
        <f t="shared" si="182"/>
        <v>2.946537753581141E-3</v>
      </c>
      <c r="P1029">
        <f t="shared" si="190"/>
        <v>10000</v>
      </c>
      <c r="Q1029">
        <f t="shared" si="183"/>
        <v>29.46537753581141</v>
      </c>
    </row>
    <row r="1030" spans="1:17" x14ac:dyDescent="0.15">
      <c r="A1030" s="10">
        <v>45903.451388888992</v>
      </c>
      <c r="B1030">
        <f>COUNT(A1030:$A$1158)/(48*252)</f>
        <v>1.066468253968254E-2</v>
      </c>
      <c r="C1030">
        <v>2.3740000000000001</v>
      </c>
      <c r="D1030">
        <v>0.16600000000000001</v>
      </c>
      <c r="E1030">
        <f t="shared" si="180"/>
        <v>1.5801368377008818</v>
      </c>
      <c r="F1030">
        <f t="shared" si="181"/>
        <v>0.94296223364212561</v>
      </c>
      <c r="G1030">
        <f t="shared" si="184"/>
        <v>0</v>
      </c>
      <c r="H1030">
        <f>IF(MOD(COUNTA($C$7:C1030)-1,$J$2),H1029,ROUND(F1030*P1030,-2))</f>
        <v>9400</v>
      </c>
      <c r="I1030">
        <f t="shared" si="185"/>
        <v>0</v>
      </c>
      <c r="J1030">
        <f t="shared" si="186"/>
        <v>0</v>
      </c>
      <c r="K1030">
        <f t="shared" si="187"/>
        <v>-20136.047502458074</v>
      </c>
      <c r="L1030">
        <f t="shared" si="188"/>
        <v>2179.5524975419285</v>
      </c>
      <c r="M1030">
        <f t="shared" si="189"/>
        <v>0</v>
      </c>
      <c r="N1030">
        <f t="shared" si="191"/>
        <v>2179.5524975419285</v>
      </c>
      <c r="O1030" s="5">
        <f t="shared" si="182"/>
        <v>2.8949806161593095E-3</v>
      </c>
      <c r="P1030">
        <f t="shared" si="190"/>
        <v>10000</v>
      </c>
      <c r="Q1030">
        <f t="shared" si="183"/>
        <v>28.949806161593095</v>
      </c>
    </row>
    <row r="1031" spans="1:17" x14ac:dyDescent="0.15">
      <c r="A1031" s="10">
        <v>45903.454861111008</v>
      </c>
      <c r="B1031">
        <f>COUNT(A1031:$A$1158)/(48*252)</f>
        <v>1.0582010582010581E-2</v>
      </c>
      <c r="C1031">
        <v>2.3740000000000001</v>
      </c>
      <c r="D1031">
        <v>0.16600000000000001</v>
      </c>
      <c r="E1031">
        <f t="shared" si="180"/>
        <v>1.5860553660099681</v>
      </c>
      <c r="F1031">
        <f t="shared" si="181"/>
        <v>0.94363662468961396</v>
      </c>
      <c r="G1031">
        <f t="shared" si="184"/>
        <v>0</v>
      </c>
      <c r="H1031">
        <f>IF(MOD(COUNTA($C$7:C1031)-1,$J$2),H1030,ROUND(F1031*P1031,-2))</f>
        <v>9400</v>
      </c>
      <c r="I1031">
        <f t="shared" si="185"/>
        <v>0</v>
      </c>
      <c r="J1031">
        <f t="shared" si="186"/>
        <v>0</v>
      </c>
      <c r="K1031">
        <f t="shared" si="187"/>
        <v>-20136.047502458074</v>
      </c>
      <c r="L1031">
        <f t="shared" si="188"/>
        <v>2179.5524975419285</v>
      </c>
      <c r="M1031">
        <f t="shared" si="189"/>
        <v>0</v>
      </c>
      <c r="N1031">
        <f t="shared" si="191"/>
        <v>2179.5524975419285</v>
      </c>
      <c r="O1031" s="5">
        <f t="shared" si="182"/>
        <v>2.8436999940651686E-3</v>
      </c>
      <c r="P1031">
        <f t="shared" si="190"/>
        <v>10000</v>
      </c>
      <c r="Q1031">
        <f t="shared" si="183"/>
        <v>28.436999940651685</v>
      </c>
    </row>
    <row r="1032" spans="1:17" x14ac:dyDescent="0.15">
      <c r="A1032" s="10">
        <v>45903.458333333023</v>
      </c>
      <c r="B1032">
        <f>COUNT(A1032:$A$1158)/(48*252)</f>
        <v>1.0499338624338625E-2</v>
      </c>
      <c r="C1032">
        <v>2.3740000000000001</v>
      </c>
      <c r="D1032">
        <v>0.16800000000000001</v>
      </c>
      <c r="E1032">
        <f t="shared" ref="E1032:E1095" si="192">(LN(C1032/$B$2)+($B$1+0.5*$D$1*$D$1)*B1032)/($D$1*SQRT(B1032))</f>
        <v>1.5920446117015632</v>
      </c>
      <c r="F1032">
        <f t="shared" ref="F1032:F1095" si="193">NORMSDIST(E1032)</f>
        <v>0.94431265949901</v>
      </c>
      <c r="G1032">
        <f t="shared" si="184"/>
        <v>0</v>
      </c>
      <c r="H1032">
        <f>IF(MOD(COUNTA($C$7:C1032)-1,$J$2),H1031,ROUND(F1032*P1032,-2))</f>
        <v>9400</v>
      </c>
      <c r="I1032">
        <f t="shared" si="185"/>
        <v>0</v>
      </c>
      <c r="J1032">
        <f t="shared" si="186"/>
        <v>0</v>
      </c>
      <c r="K1032">
        <f t="shared" si="187"/>
        <v>-20136.047502458074</v>
      </c>
      <c r="L1032">
        <f t="shared" si="188"/>
        <v>2179.5524975419285</v>
      </c>
      <c r="M1032">
        <f t="shared" si="189"/>
        <v>0</v>
      </c>
      <c r="N1032">
        <f t="shared" si="191"/>
        <v>2179.5524975419285</v>
      </c>
      <c r="O1032" s="5">
        <f t="shared" ref="O1032:O1095" si="194">put_bs($B$1,$J$1,C1032,$B$2,B1032)</f>
        <v>2.7927002967392811E-3</v>
      </c>
      <c r="P1032">
        <f t="shared" si="190"/>
        <v>10000</v>
      </c>
      <c r="Q1032">
        <f t="shared" ref="Q1032:Q1095" si="195">P1032*O1032</f>
        <v>27.927002967392809</v>
      </c>
    </row>
    <row r="1033" spans="1:17" x14ac:dyDescent="0.15">
      <c r="A1033" s="10">
        <v>45903.461805555969</v>
      </c>
      <c r="B1033">
        <f>COUNT(A1033:$A$1158)/(48*252)</f>
        <v>1.0416666666666666E-2</v>
      </c>
      <c r="C1033">
        <v>2.3740000000000001</v>
      </c>
      <c r="D1033">
        <v>0.16600000000000001</v>
      </c>
      <c r="E1033">
        <f t="shared" si="192"/>
        <v>1.5981059788965937</v>
      </c>
      <c r="F1033">
        <f t="shared" si="193"/>
        <v>0.94499030337638301</v>
      </c>
      <c r="G1033">
        <f t="shared" ref="G1033:G1096" si="196">C1033-C1032</f>
        <v>0</v>
      </c>
      <c r="H1033">
        <f>IF(MOD(COUNTA($C$7:C1033)-1,$J$2),H1032,ROUND(F1033*P1033,-2))</f>
        <v>9400</v>
      </c>
      <c r="I1033">
        <f t="shared" ref="I1033:I1096" si="197">H1033-H1032</f>
        <v>0</v>
      </c>
      <c r="J1033">
        <f t="shared" ref="J1033:J1096" si="198">J1032</f>
        <v>0</v>
      </c>
      <c r="K1033">
        <f t="shared" ref="K1033:K1096" si="199">K1032-I1033*C1033-ABS(I1033*C1033*$F$2)</f>
        <v>-20136.047502458074</v>
      </c>
      <c r="L1033">
        <f t="shared" ref="L1033:L1096" si="200">K1033+H1033*C1033</f>
        <v>2179.5524975419285</v>
      </c>
      <c r="M1033">
        <f t="shared" ref="M1033:M1096" si="201">L1033-L1032</f>
        <v>0</v>
      </c>
      <c r="N1033">
        <f t="shared" si="191"/>
        <v>2179.5524975419285</v>
      </c>
      <c r="O1033" s="5">
        <f t="shared" si="194"/>
        <v>2.7419859959939008E-3</v>
      </c>
      <c r="P1033">
        <f t="shared" ref="P1033:P1096" si="202">P1032</f>
        <v>10000</v>
      </c>
      <c r="Q1033">
        <f t="shared" si="195"/>
        <v>27.419859959939007</v>
      </c>
    </row>
    <row r="1034" spans="1:17" x14ac:dyDescent="0.15">
      <c r="A1034" s="10">
        <v>45903.465277777985</v>
      </c>
      <c r="B1034">
        <f>COUNT(A1034:$A$1158)/(48*252)</f>
        <v>1.0333994708994709E-2</v>
      </c>
      <c r="C1034">
        <v>2.3679999999999999</v>
      </c>
      <c r="D1034">
        <v>0.16400000000000001</v>
      </c>
      <c r="E1034">
        <f t="shared" si="192"/>
        <v>1.5519249374067159</v>
      </c>
      <c r="F1034">
        <f t="shared" si="193"/>
        <v>0.93965990738611316</v>
      </c>
      <c r="G1034">
        <f t="shared" si="196"/>
        <v>-6.0000000000002274E-3</v>
      </c>
      <c r="H1034">
        <f>IF(MOD(COUNTA($C$7:C1034)-1,$J$2),H1033,ROUND(F1034*P1034,-2))</f>
        <v>9400</v>
      </c>
      <c r="I1034">
        <f t="shared" si="197"/>
        <v>0</v>
      </c>
      <c r="J1034">
        <f t="shared" si="198"/>
        <v>0</v>
      </c>
      <c r="K1034">
        <f t="shared" si="199"/>
        <v>-20136.047502458074</v>
      </c>
      <c r="L1034">
        <f t="shared" si="200"/>
        <v>2123.1524975419234</v>
      </c>
      <c r="M1034">
        <f t="shared" si="201"/>
        <v>-56.400000000005093</v>
      </c>
      <c r="N1034">
        <f t="shared" ref="N1034:N1097" si="203">L1034-$F$1</f>
        <v>2123.1524975419234</v>
      </c>
      <c r="O1034" s="5">
        <f t="shared" si="194"/>
        <v>3.0353177184021529E-3</v>
      </c>
      <c r="P1034">
        <f t="shared" si="202"/>
        <v>10000</v>
      </c>
      <c r="Q1034">
        <f t="shared" si="195"/>
        <v>30.353177184021529</v>
      </c>
    </row>
    <row r="1035" spans="1:17" x14ac:dyDescent="0.15">
      <c r="A1035" s="10">
        <v>45903.46875</v>
      </c>
      <c r="B1035">
        <f>COUNT(A1035:$A$1158)/(48*252)</f>
        <v>1.0251322751322751E-2</v>
      </c>
      <c r="C1035">
        <v>2.367</v>
      </c>
      <c r="D1035">
        <v>0.16500000000000001</v>
      </c>
      <c r="E1035">
        <f t="shared" si="192"/>
        <v>1.549157036133586</v>
      </c>
      <c r="F1035">
        <f t="shared" si="193"/>
        <v>0.93932801264025989</v>
      </c>
      <c r="G1035">
        <f t="shared" si="196"/>
        <v>-9.9999999999988987E-4</v>
      </c>
      <c r="H1035">
        <f>IF(MOD(COUNTA($C$7:C1035)-1,$J$2),H1034,ROUND(F1035*P1035,-2))</f>
        <v>9400</v>
      </c>
      <c r="I1035">
        <f t="shared" si="197"/>
        <v>0</v>
      </c>
      <c r="J1035">
        <f t="shared" si="198"/>
        <v>0</v>
      </c>
      <c r="K1035">
        <f t="shared" si="199"/>
        <v>-20136.047502458074</v>
      </c>
      <c r="L1035">
        <f t="shared" si="200"/>
        <v>2113.7524975419255</v>
      </c>
      <c r="M1035">
        <f t="shared" si="201"/>
        <v>-9.3999999999978172</v>
      </c>
      <c r="N1035">
        <f t="shared" si="203"/>
        <v>2113.7524975419255</v>
      </c>
      <c r="O1035" s="5">
        <f t="shared" si="194"/>
        <v>3.0411491545134783E-3</v>
      </c>
      <c r="P1035">
        <f t="shared" si="202"/>
        <v>10000</v>
      </c>
      <c r="Q1035">
        <f t="shared" si="195"/>
        <v>30.411491545134783</v>
      </c>
    </row>
    <row r="1036" spans="1:17" x14ac:dyDescent="0.15">
      <c r="A1036" s="10">
        <v>45903.472222222015</v>
      </c>
      <c r="B1036">
        <f>COUNT(A1036:$A$1158)/(48*252)</f>
        <v>1.0168650793650794E-2</v>
      </c>
      <c r="C1036">
        <v>2.3620000000000001</v>
      </c>
      <c r="D1036">
        <v>0.16300000000000001</v>
      </c>
      <c r="E1036">
        <f t="shared" si="192"/>
        <v>1.5111244649187694</v>
      </c>
      <c r="F1036">
        <f t="shared" si="193"/>
        <v>0.93462162870639698</v>
      </c>
      <c r="G1036">
        <f t="shared" si="196"/>
        <v>-4.9999999999998934E-3</v>
      </c>
      <c r="H1036">
        <f>IF(MOD(COUNTA($C$7:C1036)-1,$J$2),H1035,ROUND(F1036*P1036,-2))</f>
        <v>9400</v>
      </c>
      <c r="I1036">
        <f t="shared" si="197"/>
        <v>0</v>
      </c>
      <c r="J1036">
        <f t="shared" si="198"/>
        <v>0</v>
      </c>
      <c r="K1036">
        <f t="shared" si="199"/>
        <v>-20136.047502458074</v>
      </c>
      <c r="L1036">
        <f t="shared" si="200"/>
        <v>2066.7524975419255</v>
      </c>
      <c r="M1036">
        <f t="shared" si="201"/>
        <v>-47</v>
      </c>
      <c r="N1036">
        <f t="shared" si="203"/>
        <v>2066.7524975419255</v>
      </c>
      <c r="O1036" s="5">
        <f t="shared" si="194"/>
        <v>3.2995651590261854E-3</v>
      </c>
      <c r="P1036">
        <f t="shared" si="202"/>
        <v>10000</v>
      </c>
      <c r="Q1036">
        <f t="shared" si="195"/>
        <v>32.995651590261858</v>
      </c>
    </row>
    <row r="1037" spans="1:17" x14ac:dyDescent="0.15">
      <c r="A1037" s="10">
        <v>45903.475694444962</v>
      </c>
      <c r="B1037">
        <f>COUNT(A1037:$A$1158)/(48*252)</f>
        <v>1.0085978835978835E-2</v>
      </c>
      <c r="C1037">
        <v>2.3610000000000002</v>
      </c>
      <c r="D1037">
        <v>0.16300000000000001</v>
      </c>
      <c r="E1037">
        <f t="shared" si="192"/>
        <v>1.5081958264945445</v>
      </c>
      <c r="F1037">
        <f t="shared" si="193"/>
        <v>0.93424779242978206</v>
      </c>
      <c r="G1037">
        <f t="shared" si="196"/>
        <v>-9.9999999999988987E-4</v>
      </c>
      <c r="H1037">
        <f>IF(MOD(COUNTA($C$7:C1037)-1,$J$2),H1036,ROUND(F1037*P1037,-2))</f>
        <v>9400</v>
      </c>
      <c r="I1037">
        <f t="shared" si="197"/>
        <v>0</v>
      </c>
      <c r="J1037">
        <f t="shared" si="198"/>
        <v>0</v>
      </c>
      <c r="K1037">
        <f t="shared" si="199"/>
        <v>-20136.047502458074</v>
      </c>
      <c r="L1037">
        <f t="shared" si="200"/>
        <v>2057.3524975419277</v>
      </c>
      <c r="M1037">
        <f t="shared" si="201"/>
        <v>-9.3999999999978172</v>
      </c>
      <c r="N1037">
        <f t="shared" si="203"/>
        <v>2057.3524975419277</v>
      </c>
      <c r="O1037" s="5">
        <f t="shared" si="194"/>
        <v>3.3066059086566679E-3</v>
      </c>
      <c r="P1037">
        <f t="shared" si="202"/>
        <v>10000</v>
      </c>
      <c r="Q1037">
        <f t="shared" si="195"/>
        <v>33.066059086566682</v>
      </c>
    </row>
    <row r="1038" spans="1:17" x14ac:dyDescent="0.15">
      <c r="A1038" s="10">
        <v>45903.479166666977</v>
      </c>
      <c r="B1038">
        <f>COUNT(A1038:$A$1158)/(48*252)</f>
        <v>1.0003306878306879E-2</v>
      </c>
      <c r="C1038">
        <v>2.363</v>
      </c>
      <c r="D1038">
        <v>0.16400000000000001</v>
      </c>
      <c r="E1038">
        <f t="shared" si="192"/>
        <v>1.5319585311075958</v>
      </c>
      <c r="F1038">
        <f t="shared" si="193"/>
        <v>0.93723366584503376</v>
      </c>
      <c r="G1038">
        <f t="shared" si="196"/>
        <v>1.9999999999997797E-3</v>
      </c>
      <c r="H1038">
        <f>IF(MOD(COUNTA($C$7:C1038)-1,$J$2),H1037,ROUND(F1038*P1038,-2))</f>
        <v>9400</v>
      </c>
      <c r="I1038">
        <f t="shared" si="197"/>
        <v>0</v>
      </c>
      <c r="J1038">
        <f t="shared" si="198"/>
        <v>0</v>
      </c>
      <c r="K1038">
        <f t="shared" si="199"/>
        <v>-20136.047502458074</v>
      </c>
      <c r="L1038">
        <f t="shared" si="200"/>
        <v>2076.152497541927</v>
      </c>
      <c r="M1038">
        <f t="shared" si="201"/>
        <v>18.799999999999272</v>
      </c>
      <c r="N1038">
        <f t="shared" si="203"/>
        <v>2076.152497541927</v>
      </c>
      <c r="O1038" s="5">
        <f t="shared" si="194"/>
        <v>3.1202383564035152E-3</v>
      </c>
      <c r="P1038">
        <f t="shared" si="202"/>
        <v>10000</v>
      </c>
      <c r="Q1038">
        <f t="shared" si="195"/>
        <v>31.202383564035152</v>
      </c>
    </row>
    <row r="1039" spans="1:17" x14ac:dyDescent="0.15">
      <c r="A1039" s="10">
        <v>45903.545138888992</v>
      </c>
      <c r="B1039">
        <f>COUNT(A1039:$A$1158)/(48*252)</f>
        <v>9.9206349206349201E-3</v>
      </c>
      <c r="C1039">
        <v>2.36</v>
      </c>
      <c r="D1039">
        <v>0.161</v>
      </c>
      <c r="E1039">
        <f t="shared" si="192"/>
        <v>1.5112738707923548</v>
      </c>
      <c r="F1039">
        <f t="shared" si="193"/>
        <v>0.93464065585041067</v>
      </c>
      <c r="G1039">
        <f t="shared" si="196"/>
        <v>-3.0000000000001137E-3</v>
      </c>
      <c r="H1039">
        <f>IF(MOD(COUNTA($C$7:C1039)-1,$J$2),H1038,ROUND(F1039*P1039,-2))</f>
        <v>9300</v>
      </c>
      <c r="I1039">
        <f t="shared" si="197"/>
        <v>-100</v>
      </c>
      <c r="J1039">
        <f t="shared" si="198"/>
        <v>0</v>
      </c>
      <c r="K1039">
        <f t="shared" si="199"/>
        <v>-19900.058122458075</v>
      </c>
      <c r="L1039">
        <f t="shared" si="200"/>
        <v>2047.9418775419254</v>
      </c>
      <c r="M1039">
        <f t="shared" si="201"/>
        <v>-28.210620000001654</v>
      </c>
      <c r="N1039">
        <f t="shared" si="203"/>
        <v>2047.9418775419254</v>
      </c>
      <c r="O1039" s="5">
        <f t="shared" si="194"/>
        <v>3.2544467892527684E-3</v>
      </c>
      <c r="P1039">
        <f t="shared" si="202"/>
        <v>10000</v>
      </c>
      <c r="Q1039">
        <f t="shared" si="195"/>
        <v>32.544467892527685</v>
      </c>
    </row>
    <row r="1040" spans="1:17" x14ac:dyDescent="0.15">
      <c r="A1040" s="10">
        <v>45903.548611111008</v>
      </c>
      <c r="B1040">
        <f>COUNT(A1040:$A$1158)/(48*252)</f>
        <v>9.8379629629629633E-3</v>
      </c>
      <c r="C1040">
        <v>2.3610000000000002</v>
      </c>
      <c r="D1040">
        <v>0.16200000000000001</v>
      </c>
      <c r="E1040">
        <f t="shared" si="192"/>
        <v>1.5263358117237773</v>
      </c>
      <c r="F1040">
        <f t="shared" si="193"/>
        <v>0.93653687283374365</v>
      </c>
      <c r="G1040">
        <f t="shared" si="196"/>
        <v>1.000000000000334E-3</v>
      </c>
      <c r="H1040">
        <f>IF(MOD(COUNTA($C$7:C1040)-1,$J$2),H1039,ROUND(F1040*P1040,-2))</f>
        <v>9300</v>
      </c>
      <c r="I1040">
        <f t="shared" si="197"/>
        <v>0</v>
      </c>
      <c r="J1040">
        <f t="shared" si="198"/>
        <v>0</v>
      </c>
      <c r="K1040">
        <f t="shared" si="199"/>
        <v>-19900.058122458075</v>
      </c>
      <c r="L1040">
        <f t="shared" si="200"/>
        <v>2057.2418775419283</v>
      </c>
      <c r="M1040">
        <f t="shared" si="201"/>
        <v>9.3000000000029104</v>
      </c>
      <c r="N1040">
        <f t="shared" si="203"/>
        <v>2057.2418775419283</v>
      </c>
      <c r="O1040" s="5">
        <f t="shared" si="194"/>
        <v>3.1316150460893588E-3</v>
      </c>
      <c r="P1040">
        <f t="shared" si="202"/>
        <v>10000</v>
      </c>
      <c r="Q1040">
        <f t="shared" si="195"/>
        <v>31.316150460893589</v>
      </c>
    </row>
    <row r="1041" spans="1:17" x14ac:dyDescent="0.15">
      <c r="A1041" s="10">
        <v>45903.552083333023</v>
      </c>
      <c r="B1041">
        <f>COUNT(A1041:$A$1158)/(48*252)</f>
        <v>9.7552910052910047E-3</v>
      </c>
      <c r="C1041">
        <v>2.3679999999999999</v>
      </c>
      <c r="D1041">
        <v>0.16400000000000001</v>
      </c>
      <c r="E1041">
        <f t="shared" si="192"/>
        <v>1.5955300728372999</v>
      </c>
      <c r="F1041">
        <f t="shared" si="193"/>
        <v>0.94470312469354889</v>
      </c>
      <c r="G1041">
        <f t="shared" si="196"/>
        <v>6.9999999999996732E-3</v>
      </c>
      <c r="H1041">
        <f>IF(MOD(COUNTA($C$7:C1041)-1,$J$2),H1040,ROUND(F1041*P1041,-2))</f>
        <v>9300</v>
      </c>
      <c r="I1041">
        <f t="shared" si="197"/>
        <v>0</v>
      </c>
      <c r="J1041">
        <f t="shared" si="198"/>
        <v>0</v>
      </c>
      <c r="K1041">
        <f t="shared" si="199"/>
        <v>-19900.058122458075</v>
      </c>
      <c r="L1041">
        <f t="shared" si="200"/>
        <v>2122.3418775419232</v>
      </c>
      <c r="M1041">
        <f t="shared" si="201"/>
        <v>65.099999999994907</v>
      </c>
      <c r="N1041">
        <f t="shared" si="203"/>
        <v>2122.3418775419232</v>
      </c>
      <c r="O1041" s="5">
        <f t="shared" si="194"/>
        <v>2.6613413035384281E-3</v>
      </c>
      <c r="P1041">
        <f t="shared" si="202"/>
        <v>10000</v>
      </c>
      <c r="Q1041">
        <f t="shared" si="195"/>
        <v>26.61341303538428</v>
      </c>
    </row>
    <row r="1042" spans="1:17" x14ac:dyDescent="0.15">
      <c r="A1042" s="10">
        <v>45903.555555555969</v>
      </c>
      <c r="B1042">
        <f>COUNT(A1042:$A$1158)/(48*252)</f>
        <v>9.6726190476190479E-3</v>
      </c>
      <c r="C1042">
        <v>2.3650000000000002</v>
      </c>
      <c r="D1042">
        <v>0.16400000000000001</v>
      </c>
      <c r="E1042">
        <f t="shared" si="192"/>
        <v>1.5749921892539589</v>
      </c>
      <c r="F1042">
        <f t="shared" si="193"/>
        <v>0.94237087626816607</v>
      </c>
      <c r="G1042">
        <f t="shared" si="196"/>
        <v>-2.9999999999996696E-3</v>
      </c>
      <c r="H1042">
        <f>IF(MOD(COUNTA($C$7:C1042)-1,$J$2),H1041,ROUND(F1042*P1042,-2))</f>
        <v>9300</v>
      </c>
      <c r="I1042">
        <f t="shared" si="197"/>
        <v>0</v>
      </c>
      <c r="J1042">
        <f t="shared" si="198"/>
        <v>0</v>
      </c>
      <c r="K1042">
        <f t="shared" si="199"/>
        <v>-19900.058122458075</v>
      </c>
      <c r="L1042">
        <f t="shared" si="200"/>
        <v>2094.441877541929</v>
      </c>
      <c r="M1042">
        <f t="shared" si="201"/>
        <v>-27.899999999994179</v>
      </c>
      <c r="N1042">
        <f t="shared" si="203"/>
        <v>2094.441877541929</v>
      </c>
      <c r="O1042" s="5">
        <f t="shared" si="194"/>
        <v>2.7774150980388879E-3</v>
      </c>
      <c r="P1042">
        <f t="shared" si="202"/>
        <v>10000</v>
      </c>
      <c r="Q1042">
        <f t="shared" si="195"/>
        <v>27.774150980388878</v>
      </c>
    </row>
    <row r="1043" spans="1:17" x14ac:dyDescent="0.15">
      <c r="A1043" s="10">
        <v>45903.559027777985</v>
      </c>
      <c r="B1043">
        <f>COUNT(A1043:$A$1158)/(48*252)</f>
        <v>9.5899470899470894E-3</v>
      </c>
      <c r="C1043">
        <v>2.371</v>
      </c>
      <c r="D1043">
        <v>0.16800000000000001</v>
      </c>
      <c r="E1043">
        <f t="shared" si="192"/>
        <v>1.6358886710781773</v>
      </c>
      <c r="F1043">
        <f t="shared" si="193"/>
        <v>0.94906855528332057</v>
      </c>
      <c r="G1043">
        <f t="shared" si="196"/>
        <v>5.9999999999997833E-3</v>
      </c>
      <c r="H1043">
        <f>IF(MOD(COUNTA($C$7:C1043)-1,$J$2),H1042,ROUND(F1043*P1043,-2))</f>
        <v>9300</v>
      </c>
      <c r="I1043">
        <f t="shared" si="197"/>
        <v>0</v>
      </c>
      <c r="J1043">
        <f t="shared" si="198"/>
        <v>0</v>
      </c>
      <c r="K1043">
        <f t="shared" si="199"/>
        <v>-19900.058122458075</v>
      </c>
      <c r="L1043">
        <f t="shared" si="200"/>
        <v>2150.2418775419246</v>
      </c>
      <c r="M1043">
        <f t="shared" si="201"/>
        <v>55.799999999995634</v>
      </c>
      <c r="N1043">
        <f t="shared" si="203"/>
        <v>2150.2418775419246</v>
      </c>
      <c r="O1043" s="5">
        <f t="shared" si="194"/>
        <v>2.4001649118694374E-3</v>
      </c>
      <c r="P1043">
        <f t="shared" si="202"/>
        <v>10000</v>
      </c>
      <c r="Q1043">
        <f t="shared" si="195"/>
        <v>24.001649118694374</v>
      </c>
    </row>
    <row r="1044" spans="1:17" x14ac:dyDescent="0.15">
      <c r="A1044" s="10">
        <v>45903.5625</v>
      </c>
      <c r="B1044">
        <f>COUNT(A1044:$A$1158)/(48*252)</f>
        <v>9.5072751322751326E-3</v>
      </c>
      <c r="C1044">
        <v>2.37</v>
      </c>
      <c r="D1044">
        <v>0.16700000000000001</v>
      </c>
      <c r="E1044">
        <f t="shared" si="192"/>
        <v>1.6336382160684682</v>
      </c>
      <c r="F1044">
        <f t="shared" si="193"/>
        <v>0.94883258077991095</v>
      </c>
      <c r="G1044">
        <f t="shared" si="196"/>
        <v>-9.9999999999988987E-4</v>
      </c>
      <c r="H1044">
        <f>IF(MOD(COUNTA($C$7:C1044)-1,$J$2),H1043,ROUND(F1044*P1044,-2))</f>
        <v>9300</v>
      </c>
      <c r="I1044">
        <f t="shared" si="197"/>
        <v>0</v>
      </c>
      <c r="J1044">
        <f t="shared" si="198"/>
        <v>0</v>
      </c>
      <c r="K1044">
        <f t="shared" si="199"/>
        <v>-19900.058122458075</v>
      </c>
      <c r="L1044">
        <f t="shared" si="200"/>
        <v>2140.9418775419254</v>
      </c>
      <c r="M1044">
        <f t="shared" si="201"/>
        <v>-9.2999999999992724</v>
      </c>
      <c r="N1044">
        <f t="shared" si="203"/>
        <v>2140.9418775419254</v>
      </c>
      <c r="O1044" s="5">
        <f t="shared" si="194"/>
        <v>2.4014886084820219E-3</v>
      </c>
      <c r="P1044">
        <f t="shared" si="202"/>
        <v>10000</v>
      </c>
      <c r="Q1044">
        <f t="shared" si="195"/>
        <v>24.014886084820219</v>
      </c>
    </row>
    <row r="1045" spans="1:17" x14ac:dyDescent="0.15">
      <c r="A1045" s="10">
        <v>45903.565972222015</v>
      </c>
      <c r="B1045">
        <f>COUNT(A1045:$A$1158)/(48*252)</f>
        <v>9.4246031746031741E-3</v>
      </c>
      <c r="C1045">
        <v>2.37</v>
      </c>
      <c r="D1045">
        <v>0.16600000000000001</v>
      </c>
      <c r="E1045">
        <f t="shared" si="192"/>
        <v>1.6405313571534579</v>
      </c>
      <c r="F1045">
        <f t="shared" si="193"/>
        <v>0.94955263293298853</v>
      </c>
      <c r="G1045">
        <f t="shared" si="196"/>
        <v>0</v>
      </c>
      <c r="H1045">
        <f>IF(MOD(COUNTA($C$7:C1045)-1,$J$2),H1044,ROUND(F1045*P1045,-2))</f>
        <v>9500</v>
      </c>
      <c r="I1045">
        <f t="shared" si="197"/>
        <v>200</v>
      </c>
      <c r="J1045">
        <f t="shared" si="198"/>
        <v>0</v>
      </c>
      <c r="K1045">
        <f t="shared" si="199"/>
        <v>-20374.079452458074</v>
      </c>
      <c r="L1045">
        <f t="shared" si="200"/>
        <v>2140.9205475419258</v>
      </c>
      <c r="M1045">
        <f t="shared" si="201"/>
        <v>-2.1329999999579741E-2</v>
      </c>
      <c r="N1045">
        <f t="shared" si="203"/>
        <v>2140.9205475419258</v>
      </c>
      <c r="O1045" s="5">
        <f t="shared" si="194"/>
        <v>2.3517438869612717E-3</v>
      </c>
      <c r="P1045">
        <f t="shared" si="202"/>
        <v>10000</v>
      </c>
      <c r="Q1045">
        <f t="shared" si="195"/>
        <v>23.517438869612718</v>
      </c>
    </row>
    <row r="1046" spans="1:17" x14ac:dyDescent="0.15">
      <c r="A1046" s="10">
        <v>45903.569444444962</v>
      </c>
      <c r="B1046">
        <f>COUNT(A1046:$A$1158)/(48*252)</f>
        <v>9.3419312169312173E-3</v>
      </c>
      <c r="C1046">
        <v>2.3650000000000002</v>
      </c>
      <c r="D1046">
        <v>0.16500000000000001</v>
      </c>
      <c r="E1046">
        <f t="shared" si="192"/>
        <v>1.601596035134067</v>
      </c>
      <c r="F1046">
        <f t="shared" si="193"/>
        <v>0.94537751592555019</v>
      </c>
      <c r="G1046">
        <f t="shared" si="196"/>
        <v>-4.9999999999998934E-3</v>
      </c>
      <c r="H1046">
        <f>IF(MOD(COUNTA($C$7:C1046)-1,$J$2),H1045,ROUND(F1046*P1046,-2))</f>
        <v>9500</v>
      </c>
      <c r="I1046">
        <f t="shared" si="197"/>
        <v>0</v>
      </c>
      <c r="J1046">
        <f t="shared" si="198"/>
        <v>0</v>
      </c>
      <c r="K1046">
        <f t="shared" si="199"/>
        <v>-20374.079452458074</v>
      </c>
      <c r="L1046">
        <f t="shared" si="200"/>
        <v>2093.4205475419294</v>
      </c>
      <c r="M1046">
        <f t="shared" si="201"/>
        <v>-47.499999999996362</v>
      </c>
      <c r="N1046">
        <f t="shared" si="203"/>
        <v>2093.4205475419294</v>
      </c>
      <c r="O1046" s="5">
        <f t="shared" si="194"/>
        <v>2.5630583496396298E-3</v>
      </c>
      <c r="P1046">
        <f t="shared" si="202"/>
        <v>10000</v>
      </c>
      <c r="Q1046">
        <f t="shared" si="195"/>
        <v>25.630583496396298</v>
      </c>
    </row>
    <row r="1047" spans="1:17" x14ac:dyDescent="0.15">
      <c r="A1047" s="10">
        <v>45903.572916666977</v>
      </c>
      <c r="B1047">
        <f>COUNT(A1047:$A$1158)/(48*252)</f>
        <v>9.2592592592592587E-3</v>
      </c>
      <c r="C1047">
        <v>2.3639999999999999</v>
      </c>
      <c r="D1047">
        <v>0.16400000000000001</v>
      </c>
      <c r="E1047">
        <f t="shared" si="192"/>
        <v>1.5992347658950135</v>
      </c>
      <c r="F1047">
        <f t="shared" si="193"/>
        <v>0.94511577591916462</v>
      </c>
      <c r="G1047">
        <f t="shared" si="196"/>
        <v>-1.000000000000334E-3</v>
      </c>
      <c r="H1047">
        <f>IF(MOD(COUNTA($C$7:C1047)-1,$J$2),H1046,ROUND(F1047*P1047,-2))</f>
        <v>9500</v>
      </c>
      <c r="I1047">
        <f t="shared" si="197"/>
        <v>0</v>
      </c>
      <c r="J1047">
        <f t="shared" si="198"/>
        <v>0</v>
      </c>
      <c r="K1047">
        <f t="shared" si="199"/>
        <v>-20374.079452458074</v>
      </c>
      <c r="L1047">
        <f t="shared" si="200"/>
        <v>2083.9205475419258</v>
      </c>
      <c r="M1047">
        <f t="shared" si="201"/>
        <v>-9.500000000003638</v>
      </c>
      <c r="N1047">
        <f t="shared" si="203"/>
        <v>2083.9205475419258</v>
      </c>
      <c r="O1047" s="5">
        <f t="shared" si="194"/>
        <v>2.5646839026584878E-3</v>
      </c>
      <c r="P1047">
        <f t="shared" si="202"/>
        <v>10000</v>
      </c>
      <c r="Q1047">
        <f t="shared" si="195"/>
        <v>25.646839026584878</v>
      </c>
    </row>
    <row r="1048" spans="1:17" x14ac:dyDescent="0.15">
      <c r="A1048" s="10">
        <v>45903.576388888992</v>
      </c>
      <c r="B1048">
        <f>COUNT(A1048:$A$1158)/(48*252)</f>
        <v>9.1765873015873019E-3</v>
      </c>
      <c r="C1048">
        <v>2.3540000000000001</v>
      </c>
      <c r="D1048">
        <v>0.155</v>
      </c>
      <c r="E1048">
        <f t="shared" si="192"/>
        <v>1.5131631400033927</v>
      </c>
      <c r="F1048">
        <f t="shared" si="193"/>
        <v>0.93488088773113687</v>
      </c>
      <c r="G1048">
        <f t="shared" si="196"/>
        <v>-9.9999999999997868E-3</v>
      </c>
      <c r="H1048">
        <f>IF(MOD(COUNTA($C$7:C1048)-1,$J$2),H1047,ROUND(F1048*P1048,-2))</f>
        <v>9500</v>
      </c>
      <c r="I1048">
        <f t="shared" si="197"/>
        <v>0</v>
      </c>
      <c r="J1048">
        <f t="shared" si="198"/>
        <v>0</v>
      </c>
      <c r="K1048">
        <f t="shared" si="199"/>
        <v>-20374.079452458074</v>
      </c>
      <c r="L1048">
        <f t="shared" si="200"/>
        <v>1988.9205475419258</v>
      </c>
      <c r="M1048">
        <f t="shared" si="201"/>
        <v>-95</v>
      </c>
      <c r="N1048">
        <f t="shared" si="203"/>
        <v>1988.9205475419258</v>
      </c>
      <c r="O1048" s="5">
        <f t="shared" si="194"/>
        <v>3.1063455529401485E-3</v>
      </c>
      <c r="P1048">
        <f t="shared" si="202"/>
        <v>10000</v>
      </c>
      <c r="Q1048">
        <f t="shared" si="195"/>
        <v>31.063455529401484</v>
      </c>
    </row>
    <row r="1049" spans="1:17" x14ac:dyDescent="0.15">
      <c r="A1049" s="10">
        <v>45903.579861111008</v>
      </c>
      <c r="B1049">
        <f>COUNT(A1049:$A$1158)/(48*252)</f>
        <v>9.0939153439153434E-3</v>
      </c>
      <c r="C1049">
        <v>2.3530000000000002</v>
      </c>
      <c r="D1049">
        <v>0.155</v>
      </c>
      <c r="E1049">
        <f t="shared" si="192"/>
        <v>1.5104007353891624</v>
      </c>
      <c r="F1049">
        <f t="shared" si="193"/>
        <v>0.93452939944744173</v>
      </c>
      <c r="G1049">
        <f t="shared" si="196"/>
        <v>-9.9999999999988987E-4</v>
      </c>
      <c r="H1049">
        <f>IF(MOD(COUNTA($C$7:C1049)-1,$J$2),H1048,ROUND(F1049*P1049,-2))</f>
        <v>9500</v>
      </c>
      <c r="I1049">
        <f t="shared" si="197"/>
        <v>0</v>
      </c>
      <c r="J1049">
        <f t="shared" si="198"/>
        <v>0</v>
      </c>
      <c r="K1049">
        <f t="shared" si="199"/>
        <v>-20374.079452458074</v>
      </c>
      <c r="L1049">
        <f t="shared" si="200"/>
        <v>1979.4205475419294</v>
      </c>
      <c r="M1049">
        <f t="shared" si="201"/>
        <v>-9.499999999996362</v>
      </c>
      <c r="N1049">
        <f t="shared" si="203"/>
        <v>1979.4205475419294</v>
      </c>
      <c r="O1049" s="5">
        <f t="shared" si="194"/>
        <v>3.1104038514210564E-3</v>
      </c>
      <c r="P1049">
        <f t="shared" si="202"/>
        <v>10000</v>
      </c>
      <c r="Q1049">
        <f t="shared" si="195"/>
        <v>31.104038514210565</v>
      </c>
    </row>
    <row r="1050" spans="1:17" x14ac:dyDescent="0.15">
      <c r="A1050" s="10">
        <v>45903.583333333023</v>
      </c>
      <c r="B1050">
        <f>COUNT(A1050:$A$1158)/(48*252)</f>
        <v>9.0112433862433866E-3</v>
      </c>
      <c r="C1050">
        <v>2.3559999999999999</v>
      </c>
      <c r="D1050">
        <v>0.157</v>
      </c>
      <c r="E1050">
        <f t="shared" si="192"/>
        <v>1.545259673734108</v>
      </c>
      <c r="F1050">
        <f t="shared" si="193"/>
        <v>0.93885826726287558</v>
      </c>
      <c r="G1050">
        <f t="shared" si="196"/>
        <v>2.9999999999996696E-3</v>
      </c>
      <c r="H1050">
        <f>IF(MOD(COUNTA($C$7:C1050)-1,$J$2),H1049,ROUND(F1050*P1050,-2))</f>
        <v>9500</v>
      </c>
      <c r="I1050">
        <f t="shared" si="197"/>
        <v>0</v>
      </c>
      <c r="J1050">
        <f t="shared" si="198"/>
        <v>0</v>
      </c>
      <c r="K1050">
        <f t="shared" si="199"/>
        <v>-20374.079452458074</v>
      </c>
      <c r="L1050">
        <f t="shared" si="200"/>
        <v>2007.9205475419258</v>
      </c>
      <c r="M1050">
        <f t="shared" si="201"/>
        <v>28.499999999996362</v>
      </c>
      <c r="N1050">
        <f t="shared" si="203"/>
        <v>2007.9205475419258</v>
      </c>
      <c r="O1050" s="5">
        <f t="shared" si="194"/>
        <v>2.8604652779951334E-3</v>
      </c>
      <c r="P1050">
        <f t="shared" si="202"/>
        <v>10000</v>
      </c>
      <c r="Q1050">
        <f t="shared" si="195"/>
        <v>28.604652779951333</v>
      </c>
    </row>
    <row r="1051" spans="1:17" x14ac:dyDescent="0.15">
      <c r="A1051" s="10">
        <v>45903.586805555969</v>
      </c>
      <c r="B1051">
        <f>COUNT(A1051:$A$1158)/(48*252)</f>
        <v>8.9285714285714281E-3</v>
      </c>
      <c r="C1051">
        <v>2.3580000000000001</v>
      </c>
      <c r="D1051">
        <v>0.157</v>
      </c>
      <c r="E1051">
        <f t="shared" si="192"/>
        <v>1.5710062878530964</v>
      </c>
      <c r="F1051">
        <f t="shared" si="193"/>
        <v>0.94190940587212801</v>
      </c>
      <c r="G1051">
        <f t="shared" si="196"/>
        <v>2.0000000000002238E-3</v>
      </c>
      <c r="H1051">
        <f>IF(MOD(COUNTA($C$7:C1051)-1,$J$2),H1050,ROUND(F1051*P1051,-2))</f>
        <v>9400</v>
      </c>
      <c r="I1051">
        <f t="shared" si="197"/>
        <v>-100</v>
      </c>
      <c r="J1051">
        <f t="shared" si="198"/>
        <v>0</v>
      </c>
      <c r="K1051">
        <f t="shared" si="199"/>
        <v>-20138.290063458076</v>
      </c>
      <c r="L1051">
        <f t="shared" si="200"/>
        <v>2026.9099365419243</v>
      </c>
      <c r="M1051">
        <f t="shared" si="201"/>
        <v>18.989388999998482</v>
      </c>
      <c r="N1051">
        <f t="shared" si="203"/>
        <v>2026.9099365419243</v>
      </c>
      <c r="O1051" s="5">
        <f t="shared" si="194"/>
        <v>2.683594722476812E-3</v>
      </c>
      <c r="P1051">
        <f t="shared" si="202"/>
        <v>10000</v>
      </c>
      <c r="Q1051">
        <f t="shared" si="195"/>
        <v>26.83594722476812</v>
      </c>
    </row>
    <row r="1052" spans="1:17" x14ac:dyDescent="0.15">
      <c r="A1052" s="10">
        <v>45903.590277777985</v>
      </c>
      <c r="B1052">
        <f>COUNT(A1052:$A$1158)/(48*252)</f>
        <v>8.8458994708994713E-3</v>
      </c>
      <c r="C1052">
        <v>2.3610000000000002</v>
      </c>
      <c r="D1052">
        <v>0.16</v>
      </c>
      <c r="E1052">
        <f t="shared" si="192"/>
        <v>1.6064763181948933</v>
      </c>
      <c r="F1052">
        <f t="shared" si="193"/>
        <v>0.94591535290450557</v>
      </c>
      <c r="G1052">
        <f t="shared" si="196"/>
        <v>3.0000000000001137E-3</v>
      </c>
      <c r="H1052">
        <f>IF(MOD(COUNTA($C$7:C1052)-1,$J$2),H1051,ROUND(F1052*P1052,-2))</f>
        <v>9400</v>
      </c>
      <c r="I1052">
        <f t="shared" si="197"/>
        <v>0</v>
      </c>
      <c r="J1052">
        <f t="shared" si="198"/>
        <v>0</v>
      </c>
      <c r="K1052">
        <f t="shared" si="199"/>
        <v>-20138.290063458076</v>
      </c>
      <c r="L1052">
        <f t="shared" si="200"/>
        <v>2055.109936541925</v>
      </c>
      <c r="M1052">
        <f t="shared" si="201"/>
        <v>28.200000000000728</v>
      </c>
      <c r="N1052">
        <f t="shared" si="203"/>
        <v>2055.109936541925</v>
      </c>
      <c r="O1052" s="5">
        <f t="shared" si="194"/>
        <v>2.460114370108013E-3</v>
      </c>
      <c r="P1052">
        <f t="shared" si="202"/>
        <v>10000</v>
      </c>
      <c r="Q1052">
        <f t="shared" si="195"/>
        <v>24.601143701080129</v>
      </c>
    </row>
    <row r="1053" spans="1:17" x14ac:dyDescent="0.15">
      <c r="A1053" s="10">
        <v>45903.59375</v>
      </c>
      <c r="B1053">
        <f>COUNT(A1053:$A$1158)/(48*252)</f>
        <v>8.7632275132275127E-3</v>
      </c>
      <c r="C1053">
        <v>2.36</v>
      </c>
      <c r="D1053">
        <v>0.159</v>
      </c>
      <c r="E1053">
        <f t="shared" si="192"/>
        <v>1.6042597589790972</v>
      </c>
      <c r="F1053">
        <f t="shared" si="193"/>
        <v>0.94567159637682607</v>
      </c>
      <c r="G1053">
        <f t="shared" si="196"/>
        <v>-1.000000000000334E-3</v>
      </c>
      <c r="H1053">
        <f>IF(MOD(COUNTA($C$7:C1053)-1,$J$2),H1052,ROUND(F1053*P1053,-2))</f>
        <v>9400</v>
      </c>
      <c r="I1053">
        <f t="shared" si="197"/>
        <v>0</v>
      </c>
      <c r="J1053">
        <f t="shared" si="198"/>
        <v>0</v>
      </c>
      <c r="K1053">
        <f t="shared" si="199"/>
        <v>-20138.290063458076</v>
      </c>
      <c r="L1053">
        <f t="shared" si="200"/>
        <v>2045.7099365419235</v>
      </c>
      <c r="M1053">
        <f t="shared" si="201"/>
        <v>-9.4000000000014552</v>
      </c>
      <c r="N1053">
        <f t="shared" si="203"/>
        <v>2045.7099365419235</v>
      </c>
      <c r="O1053" s="5">
        <f t="shared" si="194"/>
        <v>2.4602305737028984E-3</v>
      </c>
      <c r="P1053">
        <f t="shared" si="202"/>
        <v>10000</v>
      </c>
      <c r="Q1053">
        <f t="shared" si="195"/>
        <v>24.602305737028985</v>
      </c>
    </row>
    <row r="1054" spans="1:17" x14ac:dyDescent="0.15">
      <c r="A1054" s="10">
        <v>45903.597222222015</v>
      </c>
      <c r="B1054">
        <f>COUNT(A1054:$A$1158)/(48*252)</f>
        <v>8.6805555555555559E-3</v>
      </c>
      <c r="C1054">
        <v>2.3559999999999999</v>
      </c>
      <c r="D1054">
        <v>0.157</v>
      </c>
      <c r="E1054">
        <f t="shared" si="192"/>
        <v>1.5733498768572389</v>
      </c>
      <c r="F1054">
        <f t="shared" si="193"/>
        <v>0.94218108688684266</v>
      </c>
      <c r="G1054">
        <f t="shared" si="196"/>
        <v>-4.0000000000000036E-3</v>
      </c>
      <c r="H1054">
        <f>IF(MOD(COUNTA($C$7:C1054)-1,$J$2),H1053,ROUND(F1054*P1054,-2))</f>
        <v>9400</v>
      </c>
      <c r="I1054">
        <f t="shared" si="197"/>
        <v>0</v>
      </c>
      <c r="J1054">
        <f t="shared" si="198"/>
        <v>0</v>
      </c>
      <c r="K1054">
        <f t="shared" si="199"/>
        <v>-20138.290063458076</v>
      </c>
      <c r="L1054">
        <f t="shared" si="200"/>
        <v>2008.1099365419213</v>
      </c>
      <c r="M1054">
        <f t="shared" si="201"/>
        <v>-37.600000000002183</v>
      </c>
      <c r="N1054">
        <f t="shared" si="203"/>
        <v>2008.1099365419213</v>
      </c>
      <c r="O1054" s="5">
        <f t="shared" si="194"/>
        <v>2.628711443884546E-3</v>
      </c>
      <c r="P1054">
        <f t="shared" si="202"/>
        <v>10000</v>
      </c>
      <c r="Q1054">
        <f t="shared" si="195"/>
        <v>26.28711443884546</v>
      </c>
    </row>
    <row r="1055" spans="1:17" x14ac:dyDescent="0.15">
      <c r="A1055" s="10">
        <v>45903.600694444962</v>
      </c>
      <c r="B1055">
        <f>COUNT(A1055:$A$1158)/(48*252)</f>
        <v>8.5978835978835974E-3</v>
      </c>
      <c r="C1055">
        <v>2.3570000000000002</v>
      </c>
      <c r="D1055">
        <v>0.157</v>
      </c>
      <c r="E1055">
        <f t="shared" si="192"/>
        <v>1.5902456404796297</v>
      </c>
      <c r="F1055">
        <f t="shared" si="193"/>
        <v>0.94411027678992865</v>
      </c>
      <c r="G1055">
        <f t="shared" si="196"/>
        <v>1.000000000000334E-3</v>
      </c>
      <c r="H1055">
        <f>IF(MOD(COUNTA($C$7:C1055)-1,$J$2),H1054,ROUND(F1055*P1055,-2))</f>
        <v>9400</v>
      </c>
      <c r="I1055">
        <f t="shared" si="197"/>
        <v>0</v>
      </c>
      <c r="J1055">
        <f t="shared" si="198"/>
        <v>0</v>
      </c>
      <c r="K1055">
        <f t="shared" si="199"/>
        <v>-20138.290063458076</v>
      </c>
      <c r="L1055">
        <f t="shared" si="200"/>
        <v>2017.5099365419264</v>
      </c>
      <c r="M1055">
        <f t="shared" si="201"/>
        <v>9.4000000000050932</v>
      </c>
      <c r="N1055">
        <f t="shared" si="203"/>
        <v>2017.5099365419264</v>
      </c>
      <c r="O1055" s="5">
        <f t="shared" si="194"/>
        <v>2.5152586222859374E-3</v>
      </c>
      <c r="P1055">
        <f t="shared" si="202"/>
        <v>10000</v>
      </c>
      <c r="Q1055">
        <f t="shared" si="195"/>
        <v>25.152586222859373</v>
      </c>
    </row>
    <row r="1056" spans="1:17" x14ac:dyDescent="0.15">
      <c r="A1056" s="10">
        <v>45903.604166666977</v>
      </c>
      <c r="B1056">
        <f>COUNT(A1056:$A$1158)/(48*252)</f>
        <v>8.5152116402116406E-3</v>
      </c>
      <c r="C1056">
        <v>2.335</v>
      </c>
      <c r="D1056">
        <v>0.14199999999999999</v>
      </c>
      <c r="E1056">
        <f t="shared" si="192"/>
        <v>1.3841028759990663</v>
      </c>
      <c r="F1056">
        <f t="shared" si="193"/>
        <v>0.91683652178450137</v>
      </c>
      <c r="G1056">
        <f t="shared" si="196"/>
        <v>-2.2000000000000242E-2</v>
      </c>
      <c r="H1056">
        <f>IF(MOD(COUNTA($C$7:C1056)-1,$J$2),H1055,ROUND(F1056*P1056,-2))</f>
        <v>9400</v>
      </c>
      <c r="I1056">
        <f t="shared" si="197"/>
        <v>0</v>
      </c>
      <c r="J1056">
        <f t="shared" si="198"/>
        <v>0</v>
      </c>
      <c r="K1056">
        <f t="shared" si="199"/>
        <v>-20138.290063458076</v>
      </c>
      <c r="L1056">
        <f t="shared" si="200"/>
        <v>1810.7099365419235</v>
      </c>
      <c r="M1056">
        <f t="shared" si="201"/>
        <v>-206.80000000000291</v>
      </c>
      <c r="N1056">
        <f t="shared" si="203"/>
        <v>1810.7099365419235</v>
      </c>
      <c r="O1056" s="5">
        <f t="shared" si="194"/>
        <v>3.9630512466705126E-3</v>
      </c>
      <c r="P1056">
        <f t="shared" si="202"/>
        <v>10000</v>
      </c>
      <c r="Q1056">
        <f t="shared" si="195"/>
        <v>39.630512466705127</v>
      </c>
    </row>
    <row r="1057" spans="1:17" x14ac:dyDescent="0.15">
      <c r="A1057" s="10">
        <v>45903.607638888992</v>
      </c>
      <c r="B1057">
        <f>COUNT(A1057:$A$1158)/(48*252)</f>
        <v>8.4325396825396821E-3</v>
      </c>
      <c r="C1057">
        <v>2.3460000000000001</v>
      </c>
      <c r="D1057">
        <v>0.14499999999999999</v>
      </c>
      <c r="E1057">
        <f t="shared" si="192"/>
        <v>1.4981610237464262</v>
      </c>
      <c r="F1057">
        <f t="shared" si="193"/>
        <v>0.93295429027532917</v>
      </c>
      <c r="G1057">
        <f t="shared" si="196"/>
        <v>1.1000000000000121E-2</v>
      </c>
      <c r="H1057">
        <f>IF(MOD(COUNTA($C$7:C1057)-1,$J$2),H1056,ROUND(F1057*P1057,-2))</f>
        <v>9300</v>
      </c>
      <c r="I1057">
        <f t="shared" si="197"/>
        <v>-100</v>
      </c>
      <c r="J1057">
        <f t="shared" si="198"/>
        <v>0</v>
      </c>
      <c r="K1057">
        <f t="shared" si="199"/>
        <v>-19903.700620458079</v>
      </c>
      <c r="L1057">
        <f t="shared" si="200"/>
        <v>1914.0993795419199</v>
      </c>
      <c r="M1057">
        <f t="shared" si="201"/>
        <v>103.38944299999639</v>
      </c>
      <c r="N1057">
        <f t="shared" si="203"/>
        <v>1914.0993795419199</v>
      </c>
      <c r="O1057" s="5">
        <f t="shared" si="194"/>
        <v>3.0690222117830401E-3</v>
      </c>
      <c r="P1057">
        <f t="shared" si="202"/>
        <v>10000</v>
      </c>
      <c r="Q1057">
        <f t="shared" si="195"/>
        <v>30.690222117830402</v>
      </c>
    </row>
    <row r="1058" spans="1:17" x14ac:dyDescent="0.15">
      <c r="A1058" s="10">
        <v>45903.611111111008</v>
      </c>
      <c r="B1058">
        <f>COUNT(A1058:$A$1158)/(48*252)</f>
        <v>8.3498677248677253E-3</v>
      </c>
      <c r="C1058">
        <v>2.3479999999999999</v>
      </c>
      <c r="D1058">
        <v>0.14599999999999999</v>
      </c>
      <c r="E1058">
        <f t="shared" si="192"/>
        <v>1.5248857317137605</v>
      </c>
      <c r="F1058">
        <f t="shared" si="193"/>
        <v>0.93635619934314063</v>
      </c>
      <c r="G1058">
        <f t="shared" si="196"/>
        <v>1.9999999999997797E-3</v>
      </c>
      <c r="H1058">
        <f>IF(MOD(COUNTA($C$7:C1058)-1,$J$2),H1057,ROUND(F1058*P1058,-2))</f>
        <v>9300</v>
      </c>
      <c r="I1058">
        <f t="shared" si="197"/>
        <v>0</v>
      </c>
      <c r="J1058">
        <f t="shared" si="198"/>
        <v>0</v>
      </c>
      <c r="K1058">
        <f t="shared" si="199"/>
        <v>-19903.700620458079</v>
      </c>
      <c r="L1058">
        <f t="shared" si="200"/>
        <v>1932.6993795419185</v>
      </c>
      <c r="M1058">
        <f t="shared" si="201"/>
        <v>18.599999999998545</v>
      </c>
      <c r="N1058">
        <f t="shared" si="203"/>
        <v>1932.6993795419185</v>
      </c>
      <c r="O1058" s="5">
        <f t="shared" si="194"/>
        <v>2.8745869423789927E-3</v>
      </c>
      <c r="P1058">
        <f t="shared" si="202"/>
        <v>10000</v>
      </c>
      <c r="Q1058">
        <f t="shared" si="195"/>
        <v>28.745869423789927</v>
      </c>
    </row>
    <row r="1059" spans="1:17" x14ac:dyDescent="0.15">
      <c r="A1059" s="10">
        <v>45903.614583333023</v>
      </c>
      <c r="B1059">
        <f>COUNT(A1059:$A$1158)/(48*252)</f>
        <v>8.2671957671957667E-3</v>
      </c>
      <c r="C1059">
        <v>2.3439999999999999</v>
      </c>
      <c r="D1059">
        <v>0.14499999999999999</v>
      </c>
      <c r="E1059">
        <f t="shared" si="192"/>
        <v>1.4928079961369891</v>
      </c>
      <c r="F1059">
        <f t="shared" si="193"/>
        <v>0.93225627319595672</v>
      </c>
      <c r="G1059">
        <f t="shared" si="196"/>
        <v>-4.0000000000000036E-3</v>
      </c>
      <c r="H1059">
        <f>IF(MOD(COUNTA($C$7:C1059)-1,$J$2),H1058,ROUND(F1059*P1059,-2))</f>
        <v>9300</v>
      </c>
      <c r="I1059">
        <f t="shared" si="197"/>
        <v>0</v>
      </c>
      <c r="J1059">
        <f t="shared" si="198"/>
        <v>0</v>
      </c>
      <c r="K1059">
        <f t="shared" si="199"/>
        <v>-19903.700620458079</v>
      </c>
      <c r="L1059">
        <f t="shared" si="200"/>
        <v>1895.4993795419177</v>
      </c>
      <c r="M1059">
        <f t="shared" si="201"/>
        <v>-37.200000000000728</v>
      </c>
      <c r="N1059">
        <f t="shared" si="203"/>
        <v>1895.4993795419177</v>
      </c>
      <c r="O1059" s="5">
        <f t="shared" si="194"/>
        <v>3.0729702790993629E-3</v>
      </c>
      <c r="P1059">
        <f t="shared" si="202"/>
        <v>10000</v>
      </c>
      <c r="Q1059">
        <f t="shared" si="195"/>
        <v>30.729702790993628</v>
      </c>
    </row>
    <row r="1060" spans="1:17" x14ac:dyDescent="0.15">
      <c r="A1060" s="10">
        <v>45903.618055555969</v>
      </c>
      <c r="B1060">
        <f>COUNT(A1060:$A$1158)/(48*252)</f>
        <v>8.1845238095238099E-3</v>
      </c>
      <c r="C1060">
        <v>2.3460000000000001</v>
      </c>
      <c r="D1060">
        <v>0.14899999999999999</v>
      </c>
      <c r="E1060">
        <f t="shared" si="192"/>
        <v>1.5198659466364981</v>
      </c>
      <c r="F1060">
        <f t="shared" si="193"/>
        <v>0.93572766469750712</v>
      </c>
      <c r="G1060">
        <f t="shared" si="196"/>
        <v>2.0000000000002238E-3</v>
      </c>
      <c r="H1060">
        <f>IF(MOD(COUNTA($C$7:C1060)-1,$J$2),H1059,ROUND(F1060*P1060,-2))</f>
        <v>9300</v>
      </c>
      <c r="I1060">
        <f t="shared" si="197"/>
        <v>0</v>
      </c>
      <c r="J1060">
        <f t="shared" si="198"/>
        <v>0</v>
      </c>
      <c r="K1060">
        <f t="shared" si="199"/>
        <v>-19903.700620458079</v>
      </c>
      <c r="L1060">
        <f t="shared" si="200"/>
        <v>1914.0993795419199</v>
      </c>
      <c r="M1060">
        <f t="shared" si="201"/>
        <v>18.600000000002183</v>
      </c>
      <c r="N1060">
        <f t="shared" si="203"/>
        <v>1914.0993795419199</v>
      </c>
      <c r="O1060" s="5">
        <f t="shared" si="194"/>
        <v>2.8761174207962148E-3</v>
      </c>
      <c r="P1060">
        <f t="shared" si="202"/>
        <v>10000</v>
      </c>
      <c r="Q1060">
        <f t="shared" si="195"/>
        <v>28.761174207962149</v>
      </c>
    </row>
    <row r="1061" spans="1:17" x14ac:dyDescent="0.15">
      <c r="A1061" s="10">
        <v>45903.621527777985</v>
      </c>
      <c r="B1061">
        <f>COUNT(A1061:$A$1158)/(48*252)</f>
        <v>8.1018518518518514E-3</v>
      </c>
      <c r="C1061">
        <v>2.351</v>
      </c>
      <c r="D1061">
        <v>0.14799999999999999</v>
      </c>
      <c r="E1061">
        <f t="shared" si="192"/>
        <v>1.5770333639423559</v>
      </c>
      <c r="F1061">
        <f t="shared" si="193"/>
        <v>0.94260607582625366</v>
      </c>
      <c r="G1061">
        <f t="shared" si="196"/>
        <v>4.9999999999998934E-3</v>
      </c>
      <c r="H1061">
        <f>IF(MOD(COUNTA($C$7:C1061)-1,$J$2),H1060,ROUND(F1061*P1061,-2))</f>
        <v>9300</v>
      </c>
      <c r="I1061">
        <f t="shared" si="197"/>
        <v>0</v>
      </c>
      <c r="J1061">
        <f t="shared" si="198"/>
        <v>0</v>
      </c>
      <c r="K1061">
        <f t="shared" si="199"/>
        <v>-19903.700620458079</v>
      </c>
      <c r="L1061">
        <f t="shared" si="200"/>
        <v>1960.5993795419199</v>
      </c>
      <c r="M1061">
        <f t="shared" si="201"/>
        <v>46.5</v>
      </c>
      <c r="N1061">
        <f t="shared" si="203"/>
        <v>1960.5993795419199</v>
      </c>
      <c r="O1061" s="5">
        <f t="shared" si="194"/>
        <v>2.5109489277074237E-3</v>
      </c>
      <c r="P1061">
        <f t="shared" si="202"/>
        <v>10000</v>
      </c>
      <c r="Q1061">
        <f t="shared" si="195"/>
        <v>25.109489277074239</v>
      </c>
    </row>
    <row r="1062" spans="1:17" x14ac:dyDescent="0.15">
      <c r="A1062" s="10">
        <v>45903.625</v>
      </c>
      <c r="B1062">
        <f>COUNT(A1062:$A$1158)/(48*252)</f>
        <v>8.0191798941798946E-3</v>
      </c>
      <c r="C1062">
        <v>2.35</v>
      </c>
      <c r="D1062">
        <v>0.14699999999999999</v>
      </c>
      <c r="E1062">
        <f t="shared" si="192"/>
        <v>1.57487928109459</v>
      </c>
      <c r="F1062">
        <f t="shared" si="193"/>
        <v>0.94235784404596046</v>
      </c>
      <c r="G1062">
        <f t="shared" si="196"/>
        <v>-9.9999999999988987E-4</v>
      </c>
      <c r="H1062">
        <f>IF(MOD(COUNTA($C$7:C1062)-1,$J$2),H1061,ROUND(F1062*P1062,-2))</f>
        <v>9300</v>
      </c>
      <c r="I1062">
        <f t="shared" si="197"/>
        <v>0</v>
      </c>
      <c r="J1062">
        <f t="shared" si="198"/>
        <v>0</v>
      </c>
      <c r="K1062">
        <f t="shared" si="199"/>
        <v>-19903.700620458079</v>
      </c>
      <c r="L1062">
        <f t="shared" si="200"/>
        <v>1951.2993795419206</v>
      </c>
      <c r="M1062">
        <f t="shared" si="201"/>
        <v>-9.2999999999992724</v>
      </c>
      <c r="N1062">
        <f t="shared" si="203"/>
        <v>1951.2993795419206</v>
      </c>
      <c r="O1062" s="5">
        <f t="shared" si="194"/>
        <v>2.5094673760293895E-3</v>
      </c>
      <c r="P1062">
        <f t="shared" si="202"/>
        <v>10000</v>
      </c>
      <c r="Q1062">
        <f t="shared" si="195"/>
        <v>25.094673760293894</v>
      </c>
    </row>
    <row r="1063" spans="1:17" x14ac:dyDescent="0.15">
      <c r="A1063" s="10">
        <v>45904.399305555969</v>
      </c>
      <c r="B1063">
        <f>COUNT(A1063:$A$1158)/(48*252)</f>
        <v>7.9365079365079361E-3</v>
      </c>
      <c r="C1063">
        <v>2.34</v>
      </c>
      <c r="D1063">
        <v>0.14299999999999999</v>
      </c>
      <c r="E1063">
        <f t="shared" si="192"/>
        <v>1.48218271835254</v>
      </c>
      <c r="F1063">
        <f t="shared" si="193"/>
        <v>0.93085415819583195</v>
      </c>
      <c r="G1063">
        <f t="shared" si="196"/>
        <v>-1.0000000000000231E-2</v>
      </c>
      <c r="H1063">
        <f>IF(MOD(COUNTA($C$7:C1063)-1,$J$2),H1062,ROUND(F1063*P1063,-2))</f>
        <v>9300</v>
      </c>
      <c r="I1063">
        <f t="shared" si="197"/>
        <v>0</v>
      </c>
      <c r="J1063">
        <f t="shared" si="198"/>
        <v>0</v>
      </c>
      <c r="K1063">
        <f t="shared" si="199"/>
        <v>-19903.700620458079</v>
      </c>
      <c r="L1063">
        <f t="shared" si="200"/>
        <v>1858.2993795419206</v>
      </c>
      <c r="M1063">
        <f t="shared" si="201"/>
        <v>-93</v>
      </c>
      <c r="N1063">
        <f t="shared" si="203"/>
        <v>1858.2993795419206</v>
      </c>
      <c r="O1063" s="5">
        <f t="shared" si="194"/>
        <v>3.0782109840645777E-3</v>
      </c>
      <c r="P1063">
        <f t="shared" si="202"/>
        <v>10000</v>
      </c>
      <c r="Q1063">
        <f t="shared" si="195"/>
        <v>30.782109840645777</v>
      </c>
    </row>
    <row r="1064" spans="1:17" x14ac:dyDescent="0.15">
      <c r="A1064" s="10">
        <v>45904.402777777985</v>
      </c>
      <c r="B1064">
        <f>COUNT(A1064:$A$1158)/(48*252)</f>
        <v>7.8538359788359793E-3</v>
      </c>
      <c r="C1064">
        <v>2.3380000000000001</v>
      </c>
      <c r="D1064">
        <v>0.13900000000000001</v>
      </c>
      <c r="E1064">
        <f t="shared" si="192"/>
        <v>1.4694053298803154</v>
      </c>
      <c r="F1064">
        <f t="shared" si="193"/>
        <v>0.92913855873006923</v>
      </c>
      <c r="G1064">
        <f t="shared" si="196"/>
        <v>-1.9999999999997797E-3</v>
      </c>
      <c r="H1064">
        <f>IF(MOD(COUNTA($C$7:C1064)-1,$J$2),H1063,ROUND(F1064*P1064,-2))</f>
        <v>9300</v>
      </c>
      <c r="I1064">
        <f t="shared" si="197"/>
        <v>0</v>
      </c>
      <c r="J1064">
        <f t="shared" si="198"/>
        <v>0</v>
      </c>
      <c r="K1064">
        <f t="shared" si="199"/>
        <v>-19903.700620458079</v>
      </c>
      <c r="L1064">
        <f t="shared" si="200"/>
        <v>1839.6993795419221</v>
      </c>
      <c r="M1064">
        <f t="shared" si="201"/>
        <v>-18.599999999998545</v>
      </c>
      <c r="N1064">
        <f t="shared" si="203"/>
        <v>1839.6993795419221</v>
      </c>
      <c r="O1064" s="5">
        <f t="shared" si="194"/>
        <v>3.1491055407755209E-3</v>
      </c>
      <c r="P1064">
        <f t="shared" si="202"/>
        <v>10000</v>
      </c>
      <c r="Q1064">
        <f t="shared" si="195"/>
        <v>31.491055407755209</v>
      </c>
    </row>
    <row r="1065" spans="1:17" x14ac:dyDescent="0.15">
      <c r="A1065" s="10">
        <v>45904.40625</v>
      </c>
      <c r="B1065">
        <f>COUNT(A1065:$A$1158)/(48*252)</f>
        <v>7.7711640211640207E-3</v>
      </c>
      <c r="C1065">
        <v>2.3330000000000002</v>
      </c>
      <c r="D1065">
        <v>0.13700000000000001</v>
      </c>
      <c r="E1065">
        <f t="shared" si="192"/>
        <v>1.4258801438892967</v>
      </c>
      <c r="F1065">
        <f t="shared" si="193"/>
        <v>0.92304852906913948</v>
      </c>
      <c r="G1065">
        <f t="shared" si="196"/>
        <v>-4.9999999999998934E-3</v>
      </c>
      <c r="H1065">
        <f>IF(MOD(COUNTA($C$7:C1065)-1,$J$2),H1064,ROUND(F1065*P1065,-2))</f>
        <v>9300</v>
      </c>
      <c r="I1065">
        <f t="shared" si="197"/>
        <v>0</v>
      </c>
      <c r="J1065">
        <f t="shared" si="198"/>
        <v>0</v>
      </c>
      <c r="K1065">
        <f t="shared" si="199"/>
        <v>-19903.700620458079</v>
      </c>
      <c r="L1065">
        <f t="shared" si="200"/>
        <v>1793.1993795419221</v>
      </c>
      <c r="M1065">
        <f t="shared" si="201"/>
        <v>-46.5</v>
      </c>
      <c r="N1065">
        <f t="shared" si="203"/>
        <v>1793.1993795419221</v>
      </c>
      <c r="O1065" s="5">
        <f t="shared" si="194"/>
        <v>3.4461681702249169E-3</v>
      </c>
      <c r="P1065">
        <f t="shared" si="202"/>
        <v>10000</v>
      </c>
      <c r="Q1065">
        <f t="shared" si="195"/>
        <v>34.461681702249166</v>
      </c>
    </row>
    <row r="1066" spans="1:17" x14ac:dyDescent="0.15">
      <c r="A1066" s="10">
        <v>45904.409722222015</v>
      </c>
      <c r="B1066">
        <f>COUNT(A1066:$A$1158)/(48*252)</f>
        <v>7.6884920634920631E-3</v>
      </c>
      <c r="C1066">
        <v>2.335</v>
      </c>
      <c r="D1066">
        <v>0.13500000000000001</v>
      </c>
      <c r="E1066">
        <f t="shared" si="192"/>
        <v>1.4537798590247863</v>
      </c>
      <c r="F1066">
        <f t="shared" si="193"/>
        <v>0.92699632539435228</v>
      </c>
      <c r="G1066">
        <f t="shared" si="196"/>
        <v>1.9999999999997797E-3</v>
      </c>
      <c r="H1066">
        <f>IF(MOD(COUNTA($C$7:C1066)-1,$J$2),H1065,ROUND(F1066*P1066,-2))</f>
        <v>9300</v>
      </c>
      <c r="I1066">
        <f t="shared" si="197"/>
        <v>0</v>
      </c>
      <c r="J1066">
        <f t="shared" si="198"/>
        <v>0</v>
      </c>
      <c r="K1066">
        <f t="shared" si="199"/>
        <v>-19903.700620458079</v>
      </c>
      <c r="L1066">
        <f t="shared" si="200"/>
        <v>1811.7993795419206</v>
      </c>
      <c r="M1066">
        <f t="shared" si="201"/>
        <v>18.599999999998545</v>
      </c>
      <c r="N1066">
        <f t="shared" si="203"/>
        <v>1811.7993795419206</v>
      </c>
      <c r="O1066" s="5">
        <f t="shared" si="194"/>
        <v>3.2227884423336184E-3</v>
      </c>
      <c r="P1066">
        <f t="shared" si="202"/>
        <v>10000</v>
      </c>
      <c r="Q1066">
        <f t="shared" si="195"/>
        <v>32.227884423336185</v>
      </c>
    </row>
    <row r="1067" spans="1:17" x14ac:dyDescent="0.15">
      <c r="A1067" s="10">
        <v>45904.413194444962</v>
      </c>
      <c r="B1067">
        <f>COUNT(A1067:$A$1158)/(48*252)</f>
        <v>7.6058201058201054E-3</v>
      </c>
      <c r="C1067">
        <v>2.3330000000000002</v>
      </c>
      <c r="D1067">
        <v>0.13500000000000001</v>
      </c>
      <c r="E1067">
        <f t="shared" si="192"/>
        <v>1.4407249176853283</v>
      </c>
      <c r="F1067">
        <f t="shared" si="193"/>
        <v>0.92516879378250705</v>
      </c>
      <c r="G1067">
        <f t="shared" si="196"/>
        <v>-1.9999999999997797E-3</v>
      </c>
      <c r="H1067">
        <f>IF(MOD(COUNTA($C$7:C1067)-1,$J$2),H1066,ROUND(F1067*P1067,-2))</f>
        <v>9300</v>
      </c>
      <c r="I1067">
        <f t="shared" si="197"/>
        <v>0</v>
      </c>
      <c r="J1067">
        <f t="shared" si="198"/>
        <v>0</v>
      </c>
      <c r="K1067">
        <f t="shared" si="199"/>
        <v>-19903.700620458079</v>
      </c>
      <c r="L1067">
        <f t="shared" si="200"/>
        <v>1793.1993795419221</v>
      </c>
      <c r="M1067">
        <f t="shared" si="201"/>
        <v>-18.599999999998545</v>
      </c>
      <c r="N1067">
        <f t="shared" si="203"/>
        <v>1793.1993795419221</v>
      </c>
      <c r="O1067" s="5">
        <f t="shared" si="194"/>
        <v>3.2975623605210891E-3</v>
      </c>
      <c r="P1067">
        <f t="shared" si="202"/>
        <v>10000</v>
      </c>
      <c r="Q1067">
        <f t="shared" si="195"/>
        <v>32.975623605210892</v>
      </c>
    </row>
    <row r="1068" spans="1:17" x14ac:dyDescent="0.15">
      <c r="A1068" s="10">
        <v>45904.416666666977</v>
      </c>
      <c r="B1068">
        <f>COUNT(A1068:$A$1158)/(48*252)</f>
        <v>7.5231481481481477E-3</v>
      </c>
      <c r="C1068">
        <v>2.335</v>
      </c>
      <c r="D1068">
        <v>0.13400000000000001</v>
      </c>
      <c r="E1068">
        <f t="shared" si="192"/>
        <v>1.4690949141260883</v>
      </c>
      <c r="F1068">
        <f t="shared" si="193"/>
        <v>0.92909647647939675</v>
      </c>
      <c r="G1068">
        <f t="shared" si="196"/>
        <v>1.9999999999997797E-3</v>
      </c>
      <c r="H1068">
        <f>IF(MOD(COUNTA($C$7:C1068)-1,$J$2),H1067,ROUND(F1068*P1068,-2))</f>
        <v>9300</v>
      </c>
      <c r="I1068">
        <f t="shared" si="197"/>
        <v>0</v>
      </c>
      <c r="J1068">
        <f t="shared" si="198"/>
        <v>0</v>
      </c>
      <c r="K1068">
        <f t="shared" si="199"/>
        <v>-19903.700620458079</v>
      </c>
      <c r="L1068">
        <f t="shared" si="200"/>
        <v>1811.7993795419206</v>
      </c>
      <c r="M1068">
        <f t="shared" si="201"/>
        <v>18.599999999998545</v>
      </c>
      <c r="N1068">
        <f t="shared" si="203"/>
        <v>1811.7993795419206</v>
      </c>
      <c r="O1068" s="5">
        <f t="shared" si="194"/>
        <v>3.0792000025067212E-3</v>
      </c>
      <c r="P1068">
        <f t="shared" si="202"/>
        <v>10000</v>
      </c>
      <c r="Q1068">
        <f t="shared" si="195"/>
        <v>30.79200002506721</v>
      </c>
    </row>
    <row r="1069" spans="1:17" x14ac:dyDescent="0.15">
      <c r="A1069" s="10">
        <v>45904.420138888992</v>
      </c>
      <c r="B1069">
        <f>COUNT(A1069:$A$1158)/(48*252)</f>
        <v>7.4404761904761901E-3</v>
      </c>
      <c r="C1069">
        <v>2.3260000000000001</v>
      </c>
      <c r="D1069">
        <v>0.13100000000000001</v>
      </c>
      <c r="E1069">
        <f t="shared" si="192"/>
        <v>1.3828558578952141</v>
      </c>
      <c r="F1069">
        <f t="shared" si="193"/>
        <v>0.91664546619883602</v>
      </c>
      <c r="G1069">
        <f t="shared" si="196"/>
        <v>-8.999999999999897E-3</v>
      </c>
      <c r="H1069">
        <f>IF(MOD(COUNTA($C$7:C1069)-1,$J$2),H1068,ROUND(F1069*P1069,-2))</f>
        <v>9200</v>
      </c>
      <c r="I1069">
        <f t="shared" si="197"/>
        <v>-100</v>
      </c>
      <c r="J1069">
        <f t="shared" si="198"/>
        <v>0</v>
      </c>
      <c r="K1069">
        <f t="shared" si="199"/>
        <v>-19671.111087458081</v>
      </c>
      <c r="L1069">
        <f t="shared" si="200"/>
        <v>1728.0889125419199</v>
      </c>
      <c r="M1069">
        <f t="shared" si="201"/>
        <v>-83.71046700000079</v>
      </c>
      <c r="N1069">
        <f t="shared" si="203"/>
        <v>1728.0889125419199</v>
      </c>
      <c r="O1069" s="5">
        <f t="shared" si="194"/>
        <v>3.6960278348205922E-3</v>
      </c>
      <c r="P1069">
        <f t="shared" si="202"/>
        <v>10000</v>
      </c>
      <c r="Q1069">
        <f t="shared" si="195"/>
        <v>36.960278348205918</v>
      </c>
    </row>
    <row r="1070" spans="1:17" x14ac:dyDescent="0.15">
      <c r="A1070" s="10">
        <v>45904.423611111008</v>
      </c>
      <c r="B1070">
        <f>COUNT(A1070:$A$1158)/(48*252)</f>
        <v>7.3578042328042324E-3</v>
      </c>
      <c r="C1070">
        <v>2.3290000000000002</v>
      </c>
      <c r="D1070">
        <v>0.129</v>
      </c>
      <c r="E1070">
        <f t="shared" si="192"/>
        <v>1.4218924997307882</v>
      </c>
      <c r="F1070">
        <f t="shared" si="193"/>
        <v>0.92247126956196857</v>
      </c>
      <c r="G1070">
        <f t="shared" si="196"/>
        <v>3.0000000000001137E-3</v>
      </c>
      <c r="H1070">
        <f>IF(MOD(COUNTA($C$7:C1070)-1,$J$2),H1069,ROUND(F1070*P1070,-2))</f>
        <v>9200</v>
      </c>
      <c r="I1070">
        <f t="shared" si="197"/>
        <v>0</v>
      </c>
      <c r="J1070">
        <f t="shared" si="198"/>
        <v>0</v>
      </c>
      <c r="K1070">
        <f t="shared" si="199"/>
        <v>-19671.111087458081</v>
      </c>
      <c r="L1070">
        <f t="shared" si="200"/>
        <v>1755.688912541922</v>
      </c>
      <c r="M1070">
        <f t="shared" si="201"/>
        <v>27.600000000002183</v>
      </c>
      <c r="N1070">
        <f t="shared" si="203"/>
        <v>1755.688912541922</v>
      </c>
      <c r="O1070" s="5">
        <f t="shared" si="194"/>
        <v>3.3758114188672528E-3</v>
      </c>
      <c r="P1070">
        <f t="shared" si="202"/>
        <v>10000</v>
      </c>
      <c r="Q1070">
        <f t="shared" si="195"/>
        <v>33.758114188672529</v>
      </c>
    </row>
    <row r="1071" spans="1:17" x14ac:dyDescent="0.15">
      <c r="A1071" s="10">
        <v>45904.427083333023</v>
      </c>
      <c r="B1071">
        <f>COUNT(A1071:$A$1158)/(48*252)</f>
        <v>7.2751322751322747E-3</v>
      </c>
      <c r="C1071">
        <v>2.33</v>
      </c>
      <c r="D1071">
        <v>0.129</v>
      </c>
      <c r="E1071">
        <f t="shared" si="192"/>
        <v>1.4402339722465289</v>
      </c>
      <c r="F1071">
        <f t="shared" si="193"/>
        <v>0.92509939259621465</v>
      </c>
      <c r="G1071">
        <f t="shared" si="196"/>
        <v>9.9999999999988987E-4</v>
      </c>
      <c r="H1071">
        <f>IF(MOD(COUNTA($C$7:C1071)-1,$J$2),H1070,ROUND(F1071*P1071,-2))</f>
        <v>9200</v>
      </c>
      <c r="I1071">
        <f t="shared" si="197"/>
        <v>0</v>
      </c>
      <c r="J1071">
        <f t="shared" si="198"/>
        <v>0</v>
      </c>
      <c r="K1071">
        <f t="shared" si="199"/>
        <v>-19671.111087458081</v>
      </c>
      <c r="L1071">
        <f t="shared" si="200"/>
        <v>1764.8889125419191</v>
      </c>
      <c r="M1071">
        <f t="shared" si="201"/>
        <v>9.1999999999970896</v>
      </c>
      <c r="N1071">
        <f t="shared" si="203"/>
        <v>1764.8889125419191</v>
      </c>
      <c r="O1071" s="5">
        <f t="shared" si="194"/>
        <v>3.2232920725123737E-3</v>
      </c>
      <c r="P1071">
        <f t="shared" si="202"/>
        <v>10000</v>
      </c>
      <c r="Q1071">
        <f t="shared" si="195"/>
        <v>32.232920725123734</v>
      </c>
    </row>
    <row r="1072" spans="1:17" x14ac:dyDescent="0.15">
      <c r="A1072" s="10">
        <v>45904.430555555969</v>
      </c>
      <c r="B1072">
        <f>COUNT(A1072:$A$1158)/(48*252)</f>
        <v>7.1924603174603171E-3</v>
      </c>
      <c r="C1072">
        <v>2.3279999999999998</v>
      </c>
      <c r="D1072">
        <v>0.127</v>
      </c>
      <c r="E1072">
        <f t="shared" si="192"/>
        <v>1.4269142135777251</v>
      </c>
      <c r="F1072">
        <f t="shared" si="193"/>
        <v>0.92319768831611615</v>
      </c>
      <c r="G1072">
        <f t="shared" si="196"/>
        <v>-2.0000000000002238E-3</v>
      </c>
      <c r="H1072">
        <f>IF(MOD(COUNTA($C$7:C1072)-1,$J$2),H1071,ROUND(F1072*P1072,-2))</f>
        <v>9200</v>
      </c>
      <c r="I1072">
        <f t="shared" si="197"/>
        <v>0</v>
      </c>
      <c r="J1072">
        <f t="shared" si="198"/>
        <v>0</v>
      </c>
      <c r="K1072">
        <f t="shared" si="199"/>
        <v>-19671.111087458081</v>
      </c>
      <c r="L1072">
        <f t="shared" si="200"/>
        <v>1746.4889125419177</v>
      </c>
      <c r="M1072">
        <f t="shared" si="201"/>
        <v>-18.400000000001455</v>
      </c>
      <c r="N1072">
        <f t="shared" si="203"/>
        <v>1746.4889125419177</v>
      </c>
      <c r="O1072" s="5">
        <f t="shared" si="194"/>
        <v>3.2985348716464413E-3</v>
      </c>
      <c r="P1072">
        <f t="shared" si="202"/>
        <v>10000</v>
      </c>
      <c r="Q1072">
        <f t="shared" si="195"/>
        <v>32.985348716464415</v>
      </c>
    </row>
    <row r="1073" spans="1:17" x14ac:dyDescent="0.15">
      <c r="A1073" s="10">
        <v>45904.434027777985</v>
      </c>
      <c r="B1073">
        <f>COUNT(A1073:$A$1158)/(48*252)</f>
        <v>7.1097883597883594E-3</v>
      </c>
      <c r="C1073">
        <v>2.3159999999999998</v>
      </c>
      <c r="D1073">
        <v>0.11899999999999999</v>
      </c>
      <c r="E1073">
        <f t="shared" si="192"/>
        <v>1.3060839609688095</v>
      </c>
      <c r="F1073">
        <f t="shared" si="193"/>
        <v>0.90423799665548998</v>
      </c>
      <c r="G1073">
        <f t="shared" si="196"/>
        <v>-1.2000000000000011E-2</v>
      </c>
      <c r="H1073">
        <f>IF(MOD(COUNTA($C$7:C1073)-1,$J$2),H1072,ROUND(F1073*P1073,-2))</f>
        <v>9200</v>
      </c>
      <c r="I1073">
        <f t="shared" si="197"/>
        <v>0</v>
      </c>
      <c r="J1073">
        <f t="shared" si="198"/>
        <v>0</v>
      </c>
      <c r="K1073">
        <f t="shared" si="199"/>
        <v>-19671.111087458081</v>
      </c>
      <c r="L1073">
        <f t="shared" si="200"/>
        <v>1636.0889125419162</v>
      </c>
      <c r="M1073">
        <f t="shared" si="201"/>
        <v>-110.40000000000146</v>
      </c>
      <c r="N1073">
        <f t="shared" si="203"/>
        <v>1636.0889125419162</v>
      </c>
      <c r="O1073" s="5">
        <f t="shared" si="194"/>
        <v>4.2462558998467848E-3</v>
      </c>
      <c r="P1073">
        <f t="shared" si="202"/>
        <v>10000</v>
      </c>
      <c r="Q1073">
        <f t="shared" si="195"/>
        <v>42.462558998467848</v>
      </c>
    </row>
    <row r="1074" spans="1:17" x14ac:dyDescent="0.15">
      <c r="A1074" s="10">
        <v>45904.4375</v>
      </c>
      <c r="B1074">
        <f>COUNT(A1074:$A$1158)/(48*252)</f>
        <v>7.0271164021164017E-3</v>
      </c>
      <c r="C1074">
        <v>2.3140000000000001</v>
      </c>
      <c r="D1074">
        <v>0.11700000000000001</v>
      </c>
      <c r="E1074">
        <f t="shared" si="192"/>
        <v>1.2917885030513923</v>
      </c>
      <c r="F1074">
        <f t="shared" si="193"/>
        <v>0.90178480103451641</v>
      </c>
      <c r="G1074">
        <f t="shared" si="196"/>
        <v>-1.9999999999997797E-3</v>
      </c>
      <c r="H1074">
        <f>IF(MOD(COUNTA($C$7:C1074)-1,$J$2),H1073,ROUND(F1074*P1074,-2))</f>
        <v>9200</v>
      </c>
      <c r="I1074">
        <f t="shared" si="197"/>
        <v>0</v>
      </c>
      <c r="J1074">
        <f t="shared" si="198"/>
        <v>0</v>
      </c>
      <c r="K1074">
        <f t="shared" si="199"/>
        <v>-19671.111087458081</v>
      </c>
      <c r="L1074">
        <f t="shared" si="200"/>
        <v>1617.6889125419184</v>
      </c>
      <c r="M1074">
        <f t="shared" si="201"/>
        <v>-18.399999999997817</v>
      </c>
      <c r="N1074">
        <f t="shared" si="203"/>
        <v>1617.6889125419184</v>
      </c>
      <c r="O1074" s="5">
        <f t="shared" si="194"/>
        <v>4.3478493032017562E-3</v>
      </c>
      <c r="P1074">
        <f t="shared" si="202"/>
        <v>10000</v>
      </c>
      <c r="Q1074">
        <f t="shared" si="195"/>
        <v>43.47849303201756</v>
      </c>
    </row>
    <row r="1075" spans="1:17" x14ac:dyDescent="0.15">
      <c r="A1075" s="10">
        <v>45904.440972222015</v>
      </c>
      <c r="B1075">
        <f>COUNT(A1075:$A$1158)/(48*252)</f>
        <v>6.9444444444444441E-3</v>
      </c>
      <c r="C1075">
        <v>2.3039999999999998</v>
      </c>
      <c r="D1075">
        <v>0.109</v>
      </c>
      <c r="E1075">
        <f t="shared" si="192"/>
        <v>1.1899353103038512</v>
      </c>
      <c r="F1075">
        <f t="shared" si="193"/>
        <v>0.88296409063620684</v>
      </c>
      <c r="G1075">
        <f t="shared" si="196"/>
        <v>-1.0000000000000231E-2</v>
      </c>
      <c r="H1075">
        <f>IF(MOD(COUNTA($C$7:C1075)-1,$J$2),H1074,ROUND(F1075*P1075,-2))</f>
        <v>8800</v>
      </c>
      <c r="I1075">
        <f t="shared" si="197"/>
        <v>-400</v>
      </c>
      <c r="J1075">
        <f t="shared" si="198"/>
        <v>0</v>
      </c>
      <c r="K1075">
        <f t="shared" si="199"/>
        <v>-18749.552559458083</v>
      </c>
      <c r="L1075">
        <f t="shared" si="200"/>
        <v>1525.647440541914</v>
      </c>
      <c r="M1075">
        <f t="shared" si="201"/>
        <v>-92.041472000004433</v>
      </c>
      <c r="N1075">
        <f t="shared" si="203"/>
        <v>1525.647440541914</v>
      </c>
      <c r="O1075" s="5">
        <f t="shared" si="194"/>
        <v>5.3221088355238089E-3</v>
      </c>
      <c r="P1075">
        <f t="shared" si="202"/>
        <v>10000</v>
      </c>
      <c r="Q1075">
        <f t="shared" si="195"/>
        <v>53.221088355238088</v>
      </c>
    </row>
    <row r="1076" spans="1:17" x14ac:dyDescent="0.15">
      <c r="A1076" s="10">
        <v>45904.444444444962</v>
      </c>
      <c r="B1076">
        <f>COUNT(A1076:$A$1158)/(48*252)</f>
        <v>6.8617724867724864E-3</v>
      </c>
      <c r="C1076">
        <v>2.3109999999999999</v>
      </c>
      <c r="D1076">
        <v>0.111</v>
      </c>
      <c r="E1076">
        <f t="shared" si="192"/>
        <v>1.2737456554248492</v>
      </c>
      <c r="F1076">
        <f t="shared" si="193"/>
        <v>0.89862321476623408</v>
      </c>
      <c r="G1076">
        <f t="shared" si="196"/>
        <v>7.0000000000001172E-3</v>
      </c>
      <c r="H1076">
        <f>IF(MOD(COUNTA($C$7:C1076)-1,$J$2),H1075,ROUND(F1076*P1076,-2))</f>
        <v>8800</v>
      </c>
      <c r="I1076">
        <f t="shared" si="197"/>
        <v>0</v>
      </c>
      <c r="J1076">
        <f t="shared" si="198"/>
        <v>0</v>
      </c>
      <c r="K1076">
        <f t="shared" si="199"/>
        <v>-18749.552559458083</v>
      </c>
      <c r="L1076">
        <f t="shared" si="200"/>
        <v>1587.2474405419161</v>
      </c>
      <c r="M1076">
        <f t="shared" si="201"/>
        <v>61.600000000002183</v>
      </c>
      <c r="N1076">
        <f t="shared" si="203"/>
        <v>1587.2474405419161</v>
      </c>
      <c r="O1076" s="5">
        <f t="shared" si="194"/>
        <v>4.4570902321509343E-3</v>
      </c>
      <c r="P1076">
        <f t="shared" si="202"/>
        <v>10000</v>
      </c>
      <c r="Q1076">
        <f t="shared" si="195"/>
        <v>44.570902321509344</v>
      </c>
    </row>
    <row r="1077" spans="1:17" x14ac:dyDescent="0.15">
      <c r="A1077" s="10">
        <v>45904.447916666977</v>
      </c>
      <c r="B1077">
        <f>COUNT(A1077:$A$1158)/(48*252)</f>
        <v>6.7791005291005287E-3</v>
      </c>
      <c r="C1077">
        <v>2.3140000000000001</v>
      </c>
      <c r="D1077">
        <v>0.114</v>
      </c>
      <c r="E1077">
        <f t="shared" si="192"/>
        <v>1.3142999357679748</v>
      </c>
      <c r="F1077">
        <f t="shared" si="193"/>
        <v>0.90562735555426732</v>
      </c>
      <c r="G1077">
        <f t="shared" si="196"/>
        <v>3.0000000000001137E-3</v>
      </c>
      <c r="H1077">
        <f>IF(MOD(COUNTA($C$7:C1077)-1,$J$2),H1076,ROUND(F1077*P1077,-2))</f>
        <v>8800</v>
      </c>
      <c r="I1077">
        <f t="shared" si="197"/>
        <v>0</v>
      </c>
      <c r="J1077">
        <f t="shared" si="198"/>
        <v>0</v>
      </c>
      <c r="K1077">
        <f t="shared" si="199"/>
        <v>-18749.552559458083</v>
      </c>
      <c r="L1077">
        <f t="shared" si="200"/>
        <v>1613.6474405419176</v>
      </c>
      <c r="M1077">
        <f t="shared" si="201"/>
        <v>26.400000000001455</v>
      </c>
      <c r="N1077">
        <f t="shared" si="203"/>
        <v>1613.6474405419176</v>
      </c>
      <c r="O1077" s="5">
        <f t="shared" si="194"/>
        <v>4.0689854153261318E-3</v>
      </c>
      <c r="P1077">
        <f t="shared" si="202"/>
        <v>10000</v>
      </c>
      <c r="Q1077">
        <f t="shared" si="195"/>
        <v>40.689854153261315</v>
      </c>
    </row>
    <row r="1078" spans="1:17" x14ac:dyDescent="0.15">
      <c r="A1078" s="10">
        <v>45904.451388888992</v>
      </c>
      <c r="B1078">
        <f>COUNT(A1078:$A$1158)/(48*252)</f>
        <v>6.6964285714285711E-3</v>
      </c>
      <c r="C1078">
        <v>2.3159999999999998</v>
      </c>
      <c r="D1078">
        <v>0.11700000000000001</v>
      </c>
      <c r="E1078">
        <f t="shared" si="192"/>
        <v>1.3442713330319493</v>
      </c>
      <c r="F1078">
        <f t="shared" si="193"/>
        <v>0.9105696689761813</v>
      </c>
      <c r="G1078">
        <f t="shared" si="196"/>
        <v>1.9999999999997797E-3</v>
      </c>
      <c r="H1078">
        <f>IF(MOD(COUNTA($C$7:C1078)-1,$J$2),H1077,ROUND(F1078*P1078,-2))</f>
        <v>8800</v>
      </c>
      <c r="I1078">
        <f t="shared" si="197"/>
        <v>0</v>
      </c>
      <c r="J1078">
        <f t="shared" si="198"/>
        <v>0</v>
      </c>
      <c r="K1078">
        <f t="shared" si="199"/>
        <v>-18749.552559458083</v>
      </c>
      <c r="L1078">
        <f t="shared" si="200"/>
        <v>1631.2474405419161</v>
      </c>
      <c r="M1078">
        <f t="shared" si="201"/>
        <v>17.599999999998545</v>
      </c>
      <c r="N1078">
        <f t="shared" si="203"/>
        <v>1631.2474405419161</v>
      </c>
      <c r="O1078" s="5">
        <f t="shared" si="194"/>
        <v>3.7942655870696895E-3</v>
      </c>
      <c r="P1078">
        <f t="shared" si="202"/>
        <v>10000</v>
      </c>
      <c r="Q1078">
        <f t="shared" si="195"/>
        <v>37.942655870696896</v>
      </c>
    </row>
    <row r="1079" spans="1:17" x14ac:dyDescent="0.15">
      <c r="A1079" s="10">
        <v>45904.454861111008</v>
      </c>
      <c r="B1079">
        <f>COUNT(A1079:$A$1158)/(48*252)</f>
        <v>6.6137566137566134E-3</v>
      </c>
      <c r="C1079">
        <v>2.3140000000000001</v>
      </c>
      <c r="D1079">
        <v>0.115</v>
      </c>
      <c r="E1079">
        <f t="shared" si="192"/>
        <v>1.330015374440932</v>
      </c>
      <c r="F1079">
        <f t="shared" si="193"/>
        <v>0.90824339710484725</v>
      </c>
      <c r="G1079">
        <f t="shared" si="196"/>
        <v>-1.9999999999997797E-3</v>
      </c>
      <c r="H1079">
        <f>IF(MOD(COUNTA($C$7:C1079)-1,$J$2),H1078,ROUND(F1079*P1079,-2))</f>
        <v>8800</v>
      </c>
      <c r="I1079">
        <f t="shared" si="197"/>
        <v>0</v>
      </c>
      <c r="J1079">
        <f t="shared" si="198"/>
        <v>0</v>
      </c>
      <c r="K1079">
        <f t="shared" si="199"/>
        <v>-18749.552559458083</v>
      </c>
      <c r="L1079">
        <f t="shared" si="200"/>
        <v>1613.6474405419176</v>
      </c>
      <c r="M1079">
        <f t="shared" si="201"/>
        <v>-17.599999999998545</v>
      </c>
      <c r="N1079">
        <f t="shared" si="203"/>
        <v>1613.6474405419176</v>
      </c>
      <c r="O1079" s="5">
        <f t="shared" si="194"/>
        <v>3.8848922414481679E-3</v>
      </c>
      <c r="P1079">
        <f t="shared" si="202"/>
        <v>10000</v>
      </c>
      <c r="Q1079">
        <f t="shared" si="195"/>
        <v>38.848922414481677</v>
      </c>
    </row>
    <row r="1080" spans="1:17" x14ac:dyDescent="0.15">
      <c r="A1080" s="10">
        <v>45904.458333333023</v>
      </c>
      <c r="B1080">
        <f>COUNT(A1080:$A$1158)/(48*252)</f>
        <v>6.5310846560846557E-3</v>
      </c>
      <c r="C1080">
        <v>2.3159999999999998</v>
      </c>
      <c r="D1080">
        <v>0.115</v>
      </c>
      <c r="E1080">
        <f t="shared" si="192"/>
        <v>1.3605653159205557</v>
      </c>
      <c r="F1080">
        <f t="shared" si="193"/>
        <v>0.9131744506652365</v>
      </c>
      <c r="G1080">
        <f t="shared" si="196"/>
        <v>1.9999999999997797E-3</v>
      </c>
      <c r="H1080">
        <f>IF(MOD(COUNTA($C$7:C1080)-1,$J$2),H1079,ROUND(F1080*P1080,-2))</f>
        <v>8800</v>
      </c>
      <c r="I1080">
        <f t="shared" si="197"/>
        <v>0</v>
      </c>
      <c r="J1080">
        <f t="shared" si="198"/>
        <v>0</v>
      </c>
      <c r="K1080">
        <f t="shared" si="199"/>
        <v>-18749.552559458083</v>
      </c>
      <c r="L1080">
        <f t="shared" si="200"/>
        <v>1631.2474405419161</v>
      </c>
      <c r="M1080">
        <f t="shared" si="201"/>
        <v>17.599999999998545</v>
      </c>
      <c r="N1080">
        <f t="shared" si="203"/>
        <v>1631.2474405419161</v>
      </c>
      <c r="O1080" s="5">
        <f t="shared" si="194"/>
        <v>3.6161958272546424E-3</v>
      </c>
      <c r="P1080">
        <f t="shared" si="202"/>
        <v>10000</v>
      </c>
      <c r="Q1080">
        <f t="shared" si="195"/>
        <v>36.161958272546421</v>
      </c>
    </row>
    <row r="1081" spans="1:17" x14ac:dyDescent="0.15">
      <c r="A1081" s="10">
        <v>45904.461805555969</v>
      </c>
      <c r="B1081">
        <f>COUNT(A1081:$A$1158)/(48*252)</f>
        <v>6.4484126984126981E-3</v>
      </c>
      <c r="C1081">
        <v>2.3159999999999998</v>
      </c>
      <c r="D1081">
        <v>0.11899999999999999</v>
      </c>
      <c r="E1081">
        <f t="shared" si="192"/>
        <v>1.3689492675791473</v>
      </c>
      <c r="F1081">
        <f t="shared" si="193"/>
        <v>0.91449243311738315</v>
      </c>
      <c r="G1081">
        <f t="shared" si="196"/>
        <v>0</v>
      </c>
      <c r="H1081">
        <f>IF(MOD(COUNTA($C$7:C1081)-1,$J$2),H1080,ROUND(F1081*P1081,-2))</f>
        <v>9100</v>
      </c>
      <c r="I1081">
        <f t="shared" si="197"/>
        <v>300</v>
      </c>
      <c r="J1081">
        <f t="shared" si="198"/>
        <v>0</v>
      </c>
      <c r="K1081">
        <f t="shared" si="199"/>
        <v>-19444.383825458084</v>
      </c>
      <c r="L1081">
        <f t="shared" si="200"/>
        <v>1631.2161745419144</v>
      </c>
      <c r="M1081">
        <f t="shared" si="201"/>
        <v>-3.1266000001778593E-2</v>
      </c>
      <c r="N1081">
        <f t="shared" si="203"/>
        <v>1631.2161745419144</v>
      </c>
      <c r="O1081" s="5">
        <f t="shared" si="194"/>
        <v>3.5278055686811804E-3</v>
      </c>
      <c r="P1081">
        <f t="shared" si="202"/>
        <v>10000</v>
      </c>
      <c r="Q1081">
        <f t="shared" si="195"/>
        <v>35.278055686811804</v>
      </c>
    </row>
    <row r="1082" spans="1:17" x14ac:dyDescent="0.15">
      <c r="A1082" s="10">
        <v>45904.465277777985</v>
      </c>
      <c r="B1082">
        <f>COUNT(A1082:$A$1158)/(48*252)</f>
        <v>6.3657407407407404E-3</v>
      </c>
      <c r="C1082">
        <v>2.3149999999999999</v>
      </c>
      <c r="D1082">
        <v>0.11600000000000001</v>
      </c>
      <c r="E1082">
        <f t="shared" si="192"/>
        <v>1.3661222934573154</v>
      </c>
      <c r="F1082">
        <f t="shared" si="193"/>
        <v>0.91404970896078508</v>
      </c>
      <c r="G1082">
        <f t="shared" si="196"/>
        <v>-9.9999999999988987E-4</v>
      </c>
      <c r="H1082">
        <f>IF(MOD(COUNTA($C$7:C1082)-1,$J$2),H1081,ROUND(F1082*P1082,-2))</f>
        <v>9100</v>
      </c>
      <c r="I1082">
        <f t="shared" si="197"/>
        <v>0</v>
      </c>
      <c r="J1082">
        <f t="shared" si="198"/>
        <v>0</v>
      </c>
      <c r="K1082">
        <f t="shared" si="199"/>
        <v>-19444.383825458084</v>
      </c>
      <c r="L1082">
        <f t="shared" si="200"/>
        <v>1622.1161745419158</v>
      </c>
      <c r="M1082">
        <f t="shared" si="201"/>
        <v>-9.0999999999985448</v>
      </c>
      <c r="N1082">
        <f t="shared" si="203"/>
        <v>1622.1161745419158</v>
      </c>
      <c r="O1082" s="5">
        <f t="shared" si="194"/>
        <v>3.5249290633747321E-3</v>
      </c>
      <c r="P1082">
        <f t="shared" si="202"/>
        <v>10000</v>
      </c>
      <c r="Q1082">
        <f t="shared" si="195"/>
        <v>35.249290633747322</v>
      </c>
    </row>
    <row r="1083" spans="1:17" x14ac:dyDescent="0.15">
      <c r="A1083" s="10">
        <v>45904.46875</v>
      </c>
      <c r="B1083">
        <f>COUNT(A1083:$A$1158)/(48*252)</f>
        <v>6.2830687830687827E-3</v>
      </c>
      <c r="C1083">
        <v>2.3140000000000001</v>
      </c>
      <c r="D1083">
        <v>0.114</v>
      </c>
      <c r="E1083">
        <f t="shared" si="192"/>
        <v>1.3633114008335419</v>
      </c>
      <c r="F1083">
        <f t="shared" si="193"/>
        <v>0.91360780477432024</v>
      </c>
      <c r="G1083">
        <f t="shared" si="196"/>
        <v>-9.9999999999988987E-4</v>
      </c>
      <c r="H1083">
        <f>IF(MOD(COUNTA($C$7:C1083)-1,$J$2),H1082,ROUND(F1083*P1083,-2))</f>
        <v>9100</v>
      </c>
      <c r="I1083">
        <f t="shared" si="197"/>
        <v>0</v>
      </c>
      <c r="J1083">
        <f t="shared" si="198"/>
        <v>0</v>
      </c>
      <c r="K1083">
        <f t="shared" si="199"/>
        <v>-19444.383825458084</v>
      </c>
      <c r="L1083">
        <f t="shared" si="200"/>
        <v>1613.0161745419173</v>
      </c>
      <c r="M1083">
        <f t="shared" si="201"/>
        <v>-9.0999999999985448</v>
      </c>
      <c r="N1083">
        <f t="shared" si="203"/>
        <v>1613.0161745419173</v>
      </c>
      <c r="O1083" s="5">
        <f t="shared" si="194"/>
        <v>3.5216095093756616E-3</v>
      </c>
      <c r="P1083">
        <f t="shared" si="202"/>
        <v>10000</v>
      </c>
      <c r="Q1083">
        <f t="shared" si="195"/>
        <v>35.216095093756614</v>
      </c>
    </row>
    <row r="1084" spans="1:17" x14ac:dyDescent="0.15">
      <c r="A1084" s="10">
        <v>45904.472222222015</v>
      </c>
      <c r="B1084">
        <f>COUNT(A1084:$A$1158)/(48*252)</f>
        <v>6.2003968253968251E-3</v>
      </c>
      <c r="C1084">
        <v>2.3130000000000002</v>
      </c>
      <c r="D1084">
        <v>0.115</v>
      </c>
      <c r="E1084">
        <f t="shared" si="192"/>
        <v>1.3605176947179396</v>
      </c>
      <c r="F1084">
        <f t="shared" si="193"/>
        <v>0.91316692135851885</v>
      </c>
      <c r="G1084">
        <f t="shared" si="196"/>
        <v>-9.9999999999988987E-4</v>
      </c>
      <c r="H1084">
        <f>IF(MOD(COUNTA($C$7:C1084)-1,$J$2),H1083,ROUND(F1084*P1084,-2))</f>
        <v>9100</v>
      </c>
      <c r="I1084">
        <f t="shared" si="197"/>
        <v>0</v>
      </c>
      <c r="J1084">
        <f t="shared" si="198"/>
        <v>0</v>
      </c>
      <c r="K1084">
        <f t="shared" si="199"/>
        <v>-19444.383825458084</v>
      </c>
      <c r="L1084">
        <f t="shared" si="200"/>
        <v>1603.9161745419187</v>
      </c>
      <c r="M1084">
        <f t="shared" si="201"/>
        <v>-9.0999999999985448</v>
      </c>
      <c r="N1084">
        <f t="shared" si="203"/>
        <v>1603.9161745419187</v>
      </c>
      <c r="O1084" s="5">
        <f t="shared" si="194"/>
        <v>3.5178321662874268E-3</v>
      </c>
      <c r="P1084">
        <f t="shared" si="202"/>
        <v>10000</v>
      </c>
      <c r="Q1084">
        <f t="shared" si="195"/>
        <v>35.178321662874268</v>
      </c>
    </row>
    <row r="1085" spans="1:17" x14ac:dyDescent="0.15">
      <c r="A1085" s="10">
        <v>45904.475694444962</v>
      </c>
      <c r="B1085">
        <f>COUNT(A1085:$A$1158)/(48*252)</f>
        <v>6.1177248677248674E-3</v>
      </c>
      <c r="C1085">
        <v>2.3130000000000002</v>
      </c>
      <c r="D1085">
        <v>0.114</v>
      </c>
      <c r="E1085">
        <f t="shared" si="192"/>
        <v>1.3693614246842898</v>
      </c>
      <c r="F1085">
        <f t="shared" si="193"/>
        <v>0.91455683693376166</v>
      </c>
      <c r="G1085">
        <f t="shared" si="196"/>
        <v>0</v>
      </c>
      <c r="H1085">
        <f>IF(MOD(COUNTA($C$7:C1085)-1,$J$2),H1084,ROUND(F1085*P1085,-2))</f>
        <v>9100</v>
      </c>
      <c r="I1085">
        <f t="shared" si="197"/>
        <v>0</v>
      </c>
      <c r="J1085">
        <f t="shared" si="198"/>
        <v>0</v>
      </c>
      <c r="K1085">
        <f t="shared" si="199"/>
        <v>-19444.383825458084</v>
      </c>
      <c r="L1085">
        <f t="shared" si="200"/>
        <v>1603.9161745419187</v>
      </c>
      <c r="M1085">
        <f t="shared" si="201"/>
        <v>0</v>
      </c>
      <c r="N1085">
        <f t="shared" si="203"/>
        <v>1603.9161745419187</v>
      </c>
      <c r="O1085" s="5">
        <f t="shared" si="194"/>
        <v>3.4272263037186668E-3</v>
      </c>
      <c r="P1085">
        <f t="shared" si="202"/>
        <v>10000</v>
      </c>
      <c r="Q1085">
        <f t="shared" si="195"/>
        <v>34.272263037186669</v>
      </c>
    </row>
    <row r="1086" spans="1:17" x14ac:dyDescent="0.15">
      <c r="A1086" s="10">
        <v>45904.479166666977</v>
      </c>
      <c r="B1086">
        <f>COUNT(A1086:$A$1158)/(48*252)</f>
        <v>6.0350529100529097E-3</v>
      </c>
      <c r="C1086">
        <v>2.3170000000000002</v>
      </c>
      <c r="D1086">
        <v>0.11600000000000001</v>
      </c>
      <c r="E1086">
        <f t="shared" si="192"/>
        <v>1.4251314817356182</v>
      </c>
      <c r="F1086">
        <f t="shared" si="193"/>
        <v>0.9229404010488369</v>
      </c>
      <c r="G1086">
        <f t="shared" si="196"/>
        <v>4.0000000000000036E-3</v>
      </c>
      <c r="H1086">
        <f>IF(MOD(COUNTA($C$7:C1086)-1,$J$2),H1085,ROUND(F1086*P1086,-2))</f>
        <v>9100</v>
      </c>
      <c r="I1086">
        <f t="shared" si="197"/>
        <v>0</v>
      </c>
      <c r="J1086">
        <f t="shared" si="198"/>
        <v>0</v>
      </c>
      <c r="K1086">
        <f t="shared" si="199"/>
        <v>-19444.383825458084</v>
      </c>
      <c r="L1086">
        <f t="shared" si="200"/>
        <v>1640.3161745419166</v>
      </c>
      <c r="M1086">
        <f t="shared" si="201"/>
        <v>36.399999999997817</v>
      </c>
      <c r="N1086">
        <f t="shared" si="203"/>
        <v>1640.3161745419166</v>
      </c>
      <c r="O1086" s="5">
        <f t="shared" si="194"/>
        <v>3.0150638756977766E-3</v>
      </c>
      <c r="P1086">
        <f t="shared" si="202"/>
        <v>10000</v>
      </c>
      <c r="Q1086">
        <f t="shared" si="195"/>
        <v>30.150638756977767</v>
      </c>
    </row>
    <row r="1087" spans="1:17" x14ac:dyDescent="0.15">
      <c r="A1087" s="10">
        <v>45904.545138888992</v>
      </c>
      <c r="B1087">
        <f>COUNT(A1087:$A$1158)/(48*252)</f>
        <v>5.9523809523809521E-3</v>
      </c>
      <c r="C1087">
        <v>2.3140000000000001</v>
      </c>
      <c r="D1087">
        <v>0.114</v>
      </c>
      <c r="E1087">
        <f t="shared" si="192"/>
        <v>1.3993793278101649</v>
      </c>
      <c r="F1087">
        <f t="shared" si="193"/>
        <v>0.91915036871045375</v>
      </c>
      <c r="G1087">
        <f t="shared" si="196"/>
        <v>-3.0000000000001137E-3</v>
      </c>
      <c r="H1087">
        <f>IF(MOD(COUNTA($C$7:C1087)-1,$J$2),H1086,ROUND(F1087*P1087,-2))</f>
        <v>9200</v>
      </c>
      <c r="I1087">
        <f t="shared" si="197"/>
        <v>100</v>
      </c>
      <c r="J1087">
        <f t="shared" si="198"/>
        <v>0</v>
      </c>
      <c r="K1087">
        <f t="shared" si="199"/>
        <v>-19675.794238458086</v>
      </c>
      <c r="L1087">
        <f t="shared" si="200"/>
        <v>1613.0057615419137</v>
      </c>
      <c r="M1087">
        <f t="shared" si="201"/>
        <v>-27.310413000002882</v>
      </c>
      <c r="N1087">
        <f t="shared" si="203"/>
        <v>1613.0057615419137</v>
      </c>
      <c r="O1087" s="5">
        <f t="shared" si="194"/>
        <v>3.165765818697569E-3</v>
      </c>
      <c r="P1087">
        <f t="shared" si="202"/>
        <v>10000</v>
      </c>
      <c r="Q1087">
        <f t="shared" si="195"/>
        <v>31.657658186975691</v>
      </c>
    </row>
    <row r="1088" spans="1:17" x14ac:dyDescent="0.15">
      <c r="A1088" s="10">
        <v>45904.548611111008</v>
      </c>
      <c r="B1088">
        <f>COUNT(A1088:$A$1158)/(48*252)</f>
        <v>5.8697089947089944E-3</v>
      </c>
      <c r="C1088">
        <v>2.3159999999999998</v>
      </c>
      <c r="D1088">
        <v>0.115</v>
      </c>
      <c r="E1088">
        <f t="shared" si="192"/>
        <v>1.4325733060274077</v>
      </c>
      <c r="F1088">
        <f t="shared" si="193"/>
        <v>0.92401009256889899</v>
      </c>
      <c r="G1088">
        <f t="shared" si="196"/>
        <v>1.9999999999997797E-3</v>
      </c>
      <c r="H1088">
        <f>IF(MOD(COUNTA($C$7:C1088)-1,$J$2),H1087,ROUND(F1088*P1088,-2))</f>
        <v>9200</v>
      </c>
      <c r="I1088">
        <f t="shared" si="197"/>
        <v>0</v>
      </c>
      <c r="J1088">
        <f t="shared" si="198"/>
        <v>0</v>
      </c>
      <c r="K1088">
        <f t="shared" si="199"/>
        <v>-19675.794238458086</v>
      </c>
      <c r="L1088">
        <f t="shared" si="200"/>
        <v>1631.4057615419115</v>
      </c>
      <c r="M1088">
        <f t="shared" si="201"/>
        <v>18.399999999997817</v>
      </c>
      <c r="N1088">
        <f t="shared" si="203"/>
        <v>1631.4057615419115</v>
      </c>
      <c r="O1088" s="5">
        <f t="shared" si="194"/>
        <v>2.9227000520450075E-3</v>
      </c>
      <c r="P1088">
        <f t="shared" si="202"/>
        <v>10000</v>
      </c>
      <c r="Q1088">
        <f t="shared" si="195"/>
        <v>29.227000520450076</v>
      </c>
    </row>
    <row r="1089" spans="1:17" x14ac:dyDescent="0.15">
      <c r="A1089" s="10">
        <v>45904.552083333023</v>
      </c>
      <c r="B1089">
        <f>COUNT(A1089:$A$1158)/(48*252)</f>
        <v>5.7870370370370367E-3</v>
      </c>
      <c r="C1089">
        <v>2.319</v>
      </c>
      <c r="D1089">
        <v>0.11600000000000001</v>
      </c>
      <c r="E1089">
        <f t="shared" si="192"/>
        <v>1.4782046264058164</v>
      </c>
      <c r="F1089">
        <f t="shared" si="193"/>
        <v>0.93032349201024367</v>
      </c>
      <c r="G1089">
        <f t="shared" si="196"/>
        <v>3.0000000000001137E-3</v>
      </c>
      <c r="H1089">
        <f>IF(MOD(COUNTA($C$7:C1089)-1,$J$2),H1088,ROUND(F1089*P1089,-2))</f>
        <v>9200</v>
      </c>
      <c r="I1089">
        <f t="shared" si="197"/>
        <v>0</v>
      </c>
      <c r="J1089">
        <f t="shared" si="198"/>
        <v>0</v>
      </c>
      <c r="K1089">
        <f t="shared" si="199"/>
        <v>-19675.794238458086</v>
      </c>
      <c r="L1089">
        <f t="shared" si="200"/>
        <v>1659.0057615419137</v>
      </c>
      <c r="M1089">
        <f t="shared" si="201"/>
        <v>27.600000000002183</v>
      </c>
      <c r="N1089">
        <f t="shared" si="203"/>
        <v>1659.0057615419137</v>
      </c>
      <c r="O1089" s="5">
        <f t="shared" si="194"/>
        <v>2.6220949992361298E-3</v>
      </c>
      <c r="P1089">
        <f t="shared" si="202"/>
        <v>10000</v>
      </c>
      <c r="Q1089">
        <f t="shared" si="195"/>
        <v>26.220949992361298</v>
      </c>
    </row>
    <row r="1090" spans="1:17" x14ac:dyDescent="0.15">
      <c r="A1090" s="10">
        <v>45904.555555555969</v>
      </c>
      <c r="B1090">
        <f>COUNT(A1090:$A$1158)/(48*252)</f>
        <v>5.704365079365079E-3</v>
      </c>
      <c r="C1090">
        <v>2.3180000000000001</v>
      </c>
      <c r="D1090">
        <v>0.11700000000000001</v>
      </c>
      <c r="E1090">
        <f t="shared" si="192"/>
        <v>1.4765467282056428</v>
      </c>
      <c r="F1090">
        <f t="shared" si="193"/>
        <v>0.93010140969757682</v>
      </c>
      <c r="G1090">
        <f t="shared" si="196"/>
        <v>-9.9999999999988987E-4</v>
      </c>
      <c r="H1090">
        <f>IF(MOD(COUNTA($C$7:C1090)-1,$J$2),H1089,ROUND(F1090*P1090,-2))</f>
        <v>9200</v>
      </c>
      <c r="I1090">
        <f t="shared" si="197"/>
        <v>0</v>
      </c>
      <c r="J1090">
        <f t="shared" si="198"/>
        <v>0</v>
      </c>
      <c r="K1090">
        <f t="shared" si="199"/>
        <v>-19675.794238458086</v>
      </c>
      <c r="L1090">
        <f t="shared" si="200"/>
        <v>1649.8057615419166</v>
      </c>
      <c r="M1090">
        <f t="shared" si="201"/>
        <v>-9.1999999999970896</v>
      </c>
      <c r="N1090">
        <f t="shared" si="203"/>
        <v>1649.8057615419166</v>
      </c>
      <c r="O1090" s="5">
        <f t="shared" si="194"/>
        <v>2.6117015450262127E-3</v>
      </c>
      <c r="P1090">
        <f t="shared" si="202"/>
        <v>10000</v>
      </c>
      <c r="Q1090">
        <f t="shared" si="195"/>
        <v>26.117015450262127</v>
      </c>
    </row>
    <row r="1091" spans="1:17" x14ac:dyDescent="0.15">
      <c r="A1091" s="10">
        <v>45904.559027777985</v>
      </c>
      <c r="B1091">
        <f>COUNT(A1091:$A$1158)/(48*252)</f>
        <v>5.6216931216931214E-3</v>
      </c>
      <c r="C1091">
        <v>2.3210000000000002</v>
      </c>
      <c r="D1091">
        <v>0.12</v>
      </c>
      <c r="E1091">
        <f t="shared" si="192"/>
        <v>1.5232850449887556</v>
      </c>
      <c r="F1091">
        <f t="shared" si="193"/>
        <v>0.93615629649448651</v>
      </c>
      <c r="G1091">
        <f t="shared" si="196"/>
        <v>3.0000000000001137E-3</v>
      </c>
      <c r="H1091">
        <f>IF(MOD(COUNTA($C$7:C1091)-1,$J$2),H1090,ROUND(F1091*P1091,-2))</f>
        <v>9200</v>
      </c>
      <c r="I1091">
        <f t="shared" si="197"/>
        <v>0</v>
      </c>
      <c r="J1091">
        <f t="shared" si="198"/>
        <v>0</v>
      </c>
      <c r="K1091">
        <f t="shared" si="199"/>
        <v>-19675.794238458086</v>
      </c>
      <c r="L1091">
        <f t="shared" si="200"/>
        <v>1677.4057615419151</v>
      </c>
      <c r="M1091">
        <f t="shared" si="201"/>
        <v>27.599999999998545</v>
      </c>
      <c r="N1091">
        <f t="shared" si="203"/>
        <v>1677.4057615419151</v>
      </c>
      <c r="O1091" s="5">
        <f t="shared" si="194"/>
        <v>2.3330195107731377E-3</v>
      </c>
      <c r="P1091">
        <f t="shared" si="202"/>
        <v>10000</v>
      </c>
      <c r="Q1091">
        <f t="shared" si="195"/>
        <v>23.330195107731377</v>
      </c>
    </row>
    <row r="1092" spans="1:17" x14ac:dyDescent="0.15">
      <c r="A1092" s="10">
        <v>45904.5625</v>
      </c>
      <c r="B1092">
        <f>COUNT(A1092:$A$1158)/(48*252)</f>
        <v>5.5390211640211637E-3</v>
      </c>
      <c r="C1092">
        <v>2.319</v>
      </c>
      <c r="D1092">
        <v>0.12</v>
      </c>
      <c r="E1092">
        <f t="shared" si="192"/>
        <v>1.5099334306142191</v>
      </c>
      <c r="F1092">
        <f t="shared" si="193"/>
        <v>0.93446979436555655</v>
      </c>
      <c r="G1092">
        <f t="shared" si="196"/>
        <v>-2.0000000000002238E-3</v>
      </c>
      <c r="H1092">
        <f>IF(MOD(COUNTA($C$7:C1092)-1,$J$2),H1091,ROUND(F1092*P1092,-2))</f>
        <v>9200</v>
      </c>
      <c r="I1092">
        <f t="shared" si="197"/>
        <v>0</v>
      </c>
      <c r="J1092">
        <f t="shared" si="198"/>
        <v>0</v>
      </c>
      <c r="K1092">
        <f t="shared" si="199"/>
        <v>-19675.794238458086</v>
      </c>
      <c r="L1092">
        <f t="shared" si="200"/>
        <v>1659.0057615419137</v>
      </c>
      <c r="M1092">
        <f t="shared" si="201"/>
        <v>-18.400000000001455</v>
      </c>
      <c r="N1092">
        <f t="shared" si="203"/>
        <v>1659.0057615419137</v>
      </c>
      <c r="O1092" s="5">
        <f t="shared" si="194"/>
        <v>2.385603314486201E-3</v>
      </c>
      <c r="P1092">
        <f t="shared" si="202"/>
        <v>10000</v>
      </c>
      <c r="Q1092">
        <f t="shared" si="195"/>
        <v>23.85603314486201</v>
      </c>
    </row>
    <row r="1093" spans="1:17" x14ac:dyDescent="0.15">
      <c r="A1093" s="10">
        <v>45904.565972222015</v>
      </c>
      <c r="B1093">
        <f>COUNT(A1093:$A$1158)/(48*252)</f>
        <v>5.456349206349206E-3</v>
      </c>
      <c r="C1093">
        <v>2.3210000000000002</v>
      </c>
      <c r="D1093">
        <v>0.11899999999999999</v>
      </c>
      <c r="E1093">
        <f t="shared" si="192"/>
        <v>1.5455191986451682</v>
      </c>
      <c r="F1093">
        <f t="shared" si="193"/>
        <v>0.93888963562816863</v>
      </c>
      <c r="G1093">
        <f t="shared" si="196"/>
        <v>2.0000000000002238E-3</v>
      </c>
      <c r="H1093">
        <f>IF(MOD(COUNTA($C$7:C1093)-1,$J$2),H1092,ROUND(F1093*P1093,-2))</f>
        <v>9400</v>
      </c>
      <c r="I1093">
        <f t="shared" si="197"/>
        <v>200</v>
      </c>
      <c r="J1093">
        <f t="shared" si="198"/>
        <v>0</v>
      </c>
      <c r="K1093">
        <f t="shared" si="199"/>
        <v>-20140.015127458086</v>
      </c>
      <c r="L1093">
        <f t="shared" si="200"/>
        <v>1677.3848725419157</v>
      </c>
      <c r="M1093">
        <f t="shared" si="201"/>
        <v>18.379111000002013</v>
      </c>
      <c r="N1093">
        <f t="shared" si="203"/>
        <v>1677.3848725419157</v>
      </c>
      <c r="O1093" s="5">
        <f t="shared" si="194"/>
        <v>2.182918974869108E-3</v>
      </c>
      <c r="P1093">
        <f t="shared" si="202"/>
        <v>10000</v>
      </c>
      <c r="Q1093">
        <f t="shared" si="195"/>
        <v>21.829189748691078</v>
      </c>
    </row>
    <row r="1094" spans="1:17" x14ac:dyDescent="0.15">
      <c r="A1094" s="10">
        <v>45904.569444444962</v>
      </c>
      <c r="B1094">
        <f>COUNT(A1094:$A$1158)/(48*252)</f>
        <v>5.3736772486772484E-3</v>
      </c>
      <c r="C1094">
        <v>2.3220000000000001</v>
      </c>
      <c r="D1094">
        <v>0.11899999999999999</v>
      </c>
      <c r="E1094">
        <f t="shared" si="192"/>
        <v>1.5693723608075625</v>
      </c>
      <c r="F1094">
        <f t="shared" si="193"/>
        <v>0.94171939980586683</v>
      </c>
      <c r="G1094">
        <f t="shared" si="196"/>
        <v>9.9999999999988987E-4</v>
      </c>
      <c r="H1094">
        <f>IF(MOD(COUNTA($C$7:C1094)-1,$J$2),H1093,ROUND(F1094*P1094,-2))</f>
        <v>9400</v>
      </c>
      <c r="I1094">
        <f t="shared" si="197"/>
        <v>0</v>
      </c>
      <c r="J1094">
        <f t="shared" si="198"/>
        <v>0</v>
      </c>
      <c r="K1094">
        <f t="shared" si="199"/>
        <v>-20140.015127458086</v>
      </c>
      <c r="L1094">
        <f t="shared" si="200"/>
        <v>1686.7848725419135</v>
      </c>
      <c r="M1094">
        <f t="shared" si="201"/>
        <v>9.3999999999978172</v>
      </c>
      <c r="N1094">
        <f t="shared" si="203"/>
        <v>1686.7848725419135</v>
      </c>
      <c r="O1094" s="5">
        <f t="shared" si="194"/>
        <v>2.0499609919853723E-3</v>
      </c>
      <c r="P1094">
        <f t="shared" si="202"/>
        <v>10000</v>
      </c>
      <c r="Q1094">
        <f t="shared" si="195"/>
        <v>20.499609919853722</v>
      </c>
    </row>
    <row r="1095" spans="1:17" x14ac:dyDescent="0.15">
      <c r="A1095" s="10">
        <v>45904.572916666977</v>
      </c>
      <c r="B1095">
        <f>COUNT(A1095:$A$1158)/(48*252)</f>
        <v>5.2910052910052907E-3</v>
      </c>
      <c r="C1095">
        <v>2.319</v>
      </c>
      <c r="D1095">
        <v>0.11799999999999999</v>
      </c>
      <c r="E1095">
        <f t="shared" si="192"/>
        <v>1.5438910454658896</v>
      </c>
      <c r="F1095">
        <f t="shared" si="193"/>
        <v>0.93869263512252643</v>
      </c>
      <c r="G1095">
        <f t="shared" si="196"/>
        <v>-3.0000000000001137E-3</v>
      </c>
      <c r="H1095">
        <f>IF(MOD(COUNTA($C$7:C1095)-1,$J$2),H1094,ROUND(F1095*P1095,-2))</f>
        <v>9400</v>
      </c>
      <c r="I1095">
        <f t="shared" si="197"/>
        <v>0</v>
      </c>
      <c r="J1095">
        <f t="shared" si="198"/>
        <v>0</v>
      </c>
      <c r="K1095">
        <f t="shared" si="199"/>
        <v>-20140.015127458086</v>
      </c>
      <c r="L1095">
        <f t="shared" si="200"/>
        <v>1658.5848725419128</v>
      </c>
      <c r="M1095">
        <f t="shared" si="201"/>
        <v>-28.200000000000728</v>
      </c>
      <c r="N1095">
        <f t="shared" si="203"/>
        <v>1658.5848725419128</v>
      </c>
      <c r="O1095" s="5">
        <f t="shared" si="194"/>
        <v>2.1554094712502858E-3</v>
      </c>
      <c r="P1095">
        <f t="shared" si="202"/>
        <v>10000</v>
      </c>
      <c r="Q1095">
        <f t="shared" si="195"/>
        <v>21.554094712502859</v>
      </c>
    </row>
    <row r="1096" spans="1:17" x14ac:dyDescent="0.15">
      <c r="A1096" s="10">
        <v>45904.576388888992</v>
      </c>
      <c r="B1096">
        <f>COUNT(A1096:$A$1158)/(48*252)</f>
        <v>5.208333333333333E-3</v>
      </c>
      <c r="C1096">
        <v>2.3149999999999999</v>
      </c>
      <c r="D1096">
        <v>0.11700000000000001</v>
      </c>
      <c r="E1096">
        <f t="shared" ref="E1096:E1158" si="204">(LN(C1096/$B$2)+($B$1+0.5*$D$1*$D$1)*B1096)/($D$1*SQRT(B1096))</f>
        <v>1.5054783317985097</v>
      </c>
      <c r="F1096">
        <f t="shared" ref="F1096:F1158" si="205">NORMSDIST(E1096)</f>
        <v>0.93389942821265426</v>
      </c>
      <c r="G1096">
        <f t="shared" si="196"/>
        <v>-4.0000000000000036E-3</v>
      </c>
      <c r="H1096">
        <f>IF(MOD(COUNTA($C$7:C1096)-1,$J$2),H1095,ROUND(F1096*P1096,-2))</f>
        <v>9400</v>
      </c>
      <c r="I1096">
        <f t="shared" si="197"/>
        <v>0</v>
      </c>
      <c r="J1096">
        <f t="shared" si="198"/>
        <v>0</v>
      </c>
      <c r="K1096">
        <f t="shared" si="199"/>
        <v>-20140.015127458086</v>
      </c>
      <c r="L1096">
        <f t="shared" si="200"/>
        <v>1620.9848725419142</v>
      </c>
      <c r="M1096">
        <f t="shared" si="201"/>
        <v>-37.599999999998545</v>
      </c>
      <c r="N1096">
        <f t="shared" si="203"/>
        <v>1620.9848725419142</v>
      </c>
      <c r="O1096" s="5">
        <f t="shared" ref="O1096:O1158" si="206">put_bs($B$1,$J$1,C1096,$B$2,B1096)</f>
        <v>2.33199571801046E-3</v>
      </c>
      <c r="P1096">
        <f t="shared" si="202"/>
        <v>10000</v>
      </c>
      <c r="Q1096">
        <f t="shared" ref="Q1096:Q1158" si="207">P1096*O1096</f>
        <v>23.319957180104602</v>
      </c>
    </row>
    <row r="1097" spans="1:17" x14ac:dyDescent="0.15">
      <c r="A1097" s="10">
        <v>45904.579861111008</v>
      </c>
      <c r="B1097">
        <f>COUNT(A1097:$A$1158)/(48*252)</f>
        <v>5.1256613756613754E-3</v>
      </c>
      <c r="C1097">
        <v>2.3159999999999998</v>
      </c>
      <c r="D1097">
        <v>0.11600000000000001</v>
      </c>
      <c r="E1097">
        <f t="shared" si="204"/>
        <v>1.5299005470542029</v>
      </c>
      <c r="F1097">
        <f t="shared" si="205"/>
        <v>0.93697932602554157</v>
      </c>
      <c r="G1097">
        <f t="shared" ref="G1097:G1158" si="208">C1097-C1096</f>
        <v>9.9999999999988987E-4</v>
      </c>
      <c r="H1097">
        <f>IF(MOD(COUNTA($C$7:C1097)-1,$J$2),H1096,ROUND(F1097*P1097,-2))</f>
        <v>9400</v>
      </c>
      <c r="I1097">
        <f t="shared" ref="I1097:I1158" si="209">H1097-H1096</f>
        <v>0</v>
      </c>
      <c r="J1097">
        <f t="shared" ref="J1097:J1158" si="210">J1096</f>
        <v>0</v>
      </c>
      <c r="K1097">
        <f t="shared" ref="K1097:K1158" si="211">K1096-I1097*C1097-ABS(I1097*C1097*$F$2)</f>
        <v>-20140.015127458086</v>
      </c>
      <c r="L1097">
        <f t="shared" ref="L1097:L1158" si="212">K1097+H1097*C1097</f>
        <v>1630.384872541912</v>
      </c>
      <c r="M1097">
        <f t="shared" ref="M1097:M1158" si="213">L1097-L1096</f>
        <v>9.3999999999978172</v>
      </c>
      <c r="N1097">
        <f t="shared" si="203"/>
        <v>1630.384872541912</v>
      </c>
      <c r="O1097" s="5">
        <f t="shared" si="206"/>
        <v>2.1879106034835838E-3</v>
      </c>
      <c r="P1097">
        <f t="shared" ref="P1097:P1158" si="214">P1096</f>
        <v>10000</v>
      </c>
      <c r="Q1097">
        <f t="shared" si="207"/>
        <v>21.879106034835839</v>
      </c>
    </row>
    <row r="1098" spans="1:17" x14ac:dyDescent="0.15">
      <c r="A1098" s="10">
        <v>45904.583333333023</v>
      </c>
      <c r="B1098">
        <f>COUNT(A1098:$A$1158)/(48*252)</f>
        <v>5.0429894179894177E-3</v>
      </c>
      <c r="C1098">
        <v>2.335</v>
      </c>
      <c r="D1098">
        <v>0.128</v>
      </c>
      <c r="E1098">
        <f t="shared" si="204"/>
        <v>1.7838326034456078</v>
      </c>
      <c r="F1098">
        <f t="shared" si="205"/>
        <v>0.96277456499159075</v>
      </c>
      <c r="G1098">
        <f t="shared" si="208"/>
        <v>1.9000000000000128E-2</v>
      </c>
      <c r="H1098">
        <f>IF(MOD(COUNTA($C$7:C1098)-1,$J$2),H1097,ROUND(F1098*P1098,-2))</f>
        <v>9400</v>
      </c>
      <c r="I1098">
        <f t="shared" si="209"/>
        <v>0</v>
      </c>
      <c r="J1098">
        <f t="shared" si="210"/>
        <v>0</v>
      </c>
      <c r="K1098">
        <f t="shared" si="211"/>
        <v>-20140.015127458086</v>
      </c>
      <c r="L1098">
        <f t="shared" si="212"/>
        <v>1808.9848725419142</v>
      </c>
      <c r="M1098">
        <f t="shared" si="213"/>
        <v>178.60000000000218</v>
      </c>
      <c r="N1098">
        <f t="shared" ref="N1098:N1158" si="215">L1098-$F$1</f>
        <v>1808.9848725419142</v>
      </c>
      <c r="O1098" s="5">
        <f t="shared" si="206"/>
        <v>1.1874454507721094E-3</v>
      </c>
      <c r="P1098">
        <f t="shared" si="214"/>
        <v>10000</v>
      </c>
      <c r="Q1098">
        <f t="shared" si="207"/>
        <v>11.874454507721094</v>
      </c>
    </row>
    <row r="1099" spans="1:17" x14ac:dyDescent="0.15">
      <c r="A1099" s="10">
        <v>45904.586805555969</v>
      </c>
      <c r="B1099">
        <f>COUNT(A1099:$A$1158)/(48*252)</f>
        <v>4.96031746031746E-3</v>
      </c>
      <c r="C1099">
        <v>2.3279999999999998</v>
      </c>
      <c r="D1099">
        <v>0.125</v>
      </c>
      <c r="E1099">
        <f t="shared" si="204"/>
        <v>1.7086937526074788</v>
      </c>
      <c r="F1099">
        <f t="shared" si="205"/>
        <v>0.9562461540219922</v>
      </c>
      <c r="G1099">
        <f t="shared" si="208"/>
        <v>-7.0000000000001172E-3</v>
      </c>
      <c r="H1099">
        <f>IF(MOD(COUNTA($C$7:C1099)-1,$J$2),H1098,ROUND(F1099*P1099,-2))</f>
        <v>9600</v>
      </c>
      <c r="I1099">
        <f t="shared" si="209"/>
        <v>200</v>
      </c>
      <c r="J1099">
        <f t="shared" si="210"/>
        <v>0</v>
      </c>
      <c r="K1099">
        <f t="shared" si="211"/>
        <v>-20605.636079458083</v>
      </c>
      <c r="L1099">
        <f t="shared" si="212"/>
        <v>1743.163920541916</v>
      </c>
      <c r="M1099">
        <f t="shared" si="213"/>
        <v>-65.820951999998215</v>
      </c>
      <c r="N1099">
        <f t="shared" si="215"/>
        <v>1743.163920541916</v>
      </c>
      <c r="O1099" s="5">
        <f t="shared" si="206"/>
        <v>1.4142097003563836E-3</v>
      </c>
      <c r="P1099">
        <f t="shared" si="214"/>
        <v>10000</v>
      </c>
      <c r="Q1099">
        <f t="shared" si="207"/>
        <v>14.142097003563837</v>
      </c>
    </row>
    <row r="1100" spans="1:17" x14ac:dyDescent="0.15">
      <c r="A1100" s="10">
        <v>45904.590277777985</v>
      </c>
      <c r="B1100">
        <f>COUNT(A1100:$A$1158)/(48*252)</f>
        <v>4.8776455026455024E-3</v>
      </c>
      <c r="C1100">
        <v>2.335</v>
      </c>
      <c r="D1100">
        <v>0.127</v>
      </c>
      <c r="E1100">
        <f t="shared" si="204"/>
        <v>1.8131025654431798</v>
      </c>
      <c r="F1100">
        <f t="shared" si="205"/>
        <v>0.9650919982109657</v>
      </c>
      <c r="G1100">
        <f t="shared" si="208"/>
        <v>7.0000000000001172E-3</v>
      </c>
      <c r="H1100">
        <f>IF(MOD(COUNTA($C$7:C1100)-1,$J$2),H1099,ROUND(F1100*P1100,-2))</f>
        <v>9600</v>
      </c>
      <c r="I1100">
        <f t="shared" si="209"/>
        <v>0</v>
      </c>
      <c r="J1100">
        <f t="shared" si="210"/>
        <v>0</v>
      </c>
      <c r="K1100">
        <f t="shared" si="211"/>
        <v>-20605.636079458083</v>
      </c>
      <c r="L1100">
        <f t="shared" si="212"/>
        <v>1810.3639205419167</v>
      </c>
      <c r="M1100">
        <f t="shared" si="213"/>
        <v>67.200000000000728</v>
      </c>
      <c r="N1100">
        <f t="shared" si="215"/>
        <v>1810.3639205419167</v>
      </c>
      <c r="O1100" s="5">
        <f t="shared" si="206"/>
        <v>1.0845911801032615E-3</v>
      </c>
      <c r="P1100">
        <f t="shared" si="214"/>
        <v>10000</v>
      </c>
      <c r="Q1100">
        <f t="shared" si="207"/>
        <v>10.845911801032615</v>
      </c>
    </row>
    <row r="1101" spans="1:17" x14ac:dyDescent="0.15">
      <c r="A1101" s="10">
        <v>45904.59375</v>
      </c>
      <c r="B1101">
        <f>COUNT(A1101:$A$1158)/(48*252)</f>
        <v>4.7949735449735447E-3</v>
      </c>
      <c r="C1101">
        <v>2.331</v>
      </c>
      <c r="D1101">
        <v>0.13</v>
      </c>
      <c r="E1101">
        <f t="shared" si="204"/>
        <v>1.7762710238941506</v>
      </c>
      <c r="F1101">
        <f t="shared" si="205"/>
        <v>0.962155871621722</v>
      </c>
      <c r="G1101">
        <f t="shared" si="208"/>
        <v>-4.0000000000000036E-3</v>
      </c>
      <c r="H1101">
        <f>IF(MOD(COUNTA($C$7:C1101)-1,$J$2),H1100,ROUND(F1101*P1101,-2))</f>
        <v>9600</v>
      </c>
      <c r="I1101">
        <f t="shared" si="209"/>
        <v>0</v>
      </c>
      <c r="J1101">
        <f t="shared" si="210"/>
        <v>0</v>
      </c>
      <c r="K1101">
        <f t="shared" si="211"/>
        <v>-20605.636079458083</v>
      </c>
      <c r="L1101">
        <f t="shared" si="212"/>
        <v>1771.9639205419153</v>
      </c>
      <c r="M1101">
        <f t="shared" si="213"/>
        <v>-38.400000000001455</v>
      </c>
      <c r="N1101">
        <f t="shared" si="215"/>
        <v>1771.9639205419153</v>
      </c>
      <c r="O1101" s="5">
        <f t="shared" si="206"/>
        <v>1.1776297433746252E-3</v>
      </c>
      <c r="P1101">
        <f t="shared" si="214"/>
        <v>10000</v>
      </c>
      <c r="Q1101">
        <f t="shared" si="207"/>
        <v>11.776297433746253</v>
      </c>
    </row>
    <row r="1102" spans="1:17" x14ac:dyDescent="0.15">
      <c r="A1102" s="10">
        <v>45904.597222222015</v>
      </c>
      <c r="B1102">
        <f>COUNT(A1102:$A$1158)/(48*252)</f>
        <v>4.712301587301587E-3</v>
      </c>
      <c r="C1102">
        <v>2.3439999999999999</v>
      </c>
      <c r="D1102">
        <v>0.14099999999999999</v>
      </c>
      <c r="E1102">
        <f t="shared" si="204"/>
        <v>1.9616869246431528</v>
      </c>
      <c r="F1102">
        <f t="shared" si="205"/>
        <v>0.97510052747364662</v>
      </c>
      <c r="G1102">
        <f t="shared" si="208"/>
        <v>1.2999999999999901E-2</v>
      </c>
      <c r="H1102">
        <f>IF(MOD(COUNTA($C$7:C1102)-1,$J$2),H1101,ROUND(F1102*P1102,-2))</f>
        <v>9600</v>
      </c>
      <c r="I1102">
        <f t="shared" si="209"/>
        <v>0</v>
      </c>
      <c r="J1102">
        <f t="shared" si="210"/>
        <v>0</v>
      </c>
      <c r="K1102">
        <f t="shared" si="211"/>
        <v>-20605.636079458083</v>
      </c>
      <c r="L1102">
        <f t="shared" si="212"/>
        <v>1896.7639205419146</v>
      </c>
      <c r="M1102">
        <f t="shared" si="213"/>
        <v>124.79999999999927</v>
      </c>
      <c r="N1102">
        <f t="shared" si="215"/>
        <v>1896.7639205419146</v>
      </c>
      <c r="O1102" s="5">
        <f t="shared" si="206"/>
        <v>7.2808627540440346E-4</v>
      </c>
      <c r="P1102">
        <f t="shared" si="214"/>
        <v>10000</v>
      </c>
      <c r="Q1102">
        <f t="shared" si="207"/>
        <v>7.2808627540440343</v>
      </c>
    </row>
    <row r="1103" spans="1:17" x14ac:dyDescent="0.15">
      <c r="A1103" s="10">
        <v>45904.600694444962</v>
      </c>
      <c r="B1103">
        <f>COUNT(A1103:$A$1158)/(48*252)</f>
        <v>4.6296296296296294E-3</v>
      </c>
      <c r="C1103">
        <v>2.3380000000000001</v>
      </c>
      <c r="D1103">
        <v>0.13600000000000001</v>
      </c>
      <c r="E1103">
        <f t="shared" si="204"/>
        <v>1.8995952231139281</v>
      </c>
      <c r="F1103">
        <f t="shared" si="205"/>
        <v>0.97125687020368345</v>
      </c>
      <c r="G1103">
        <f t="shared" si="208"/>
        <v>-5.9999999999997833E-3</v>
      </c>
      <c r="H1103">
        <f>IF(MOD(COUNTA($C$7:C1103)-1,$J$2),H1102,ROUND(F1103*P1103,-2))</f>
        <v>9600</v>
      </c>
      <c r="I1103">
        <f t="shared" si="209"/>
        <v>0</v>
      </c>
      <c r="J1103">
        <f t="shared" si="210"/>
        <v>0</v>
      </c>
      <c r="K1103">
        <f t="shared" si="211"/>
        <v>-20605.636079458083</v>
      </c>
      <c r="L1103">
        <f t="shared" si="212"/>
        <v>1839.163920541916</v>
      </c>
      <c r="M1103">
        <f t="shared" si="213"/>
        <v>-57.599999999998545</v>
      </c>
      <c r="N1103">
        <f t="shared" si="215"/>
        <v>1839.163920541916</v>
      </c>
      <c r="O1103" s="5">
        <f t="shared" si="206"/>
        <v>8.4720530816796702E-4</v>
      </c>
      <c r="P1103">
        <f t="shared" si="214"/>
        <v>10000</v>
      </c>
      <c r="Q1103">
        <f t="shared" si="207"/>
        <v>8.47205308167967</v>
      </c>
    </row>
    <row r="1104" spans="1:17" x14ac:dyDescent="0.15">
      <c r="A1104" s="10">
        <v>45904.604166666977</v>
      </c>
      <c r="B1104">
        <f>COUNT(A1104:$A$1158)/(48*252)</f>
        <v>4.5469576719576717E-3</v>
      </c>
      <c r="C1104">
        <v>2.335</v>
      </c>
      <c r="D1104">
        <v>0.13200000000000001</v>
      </c>
      <c r="E1104">
        <f t="shared" si="204"/>
        <v>1.8764005819637608</v>
      </c>
      <c r="F1104">
        <f t="shared" si="205"/>
        <v>0.96969985263135561</v>
      </c>
      <c r="G1104">
        <f t="shared" si="208"/>
        <v>-3.0000000000001137E-3</v>
      </c>
      <c r="H1104">
        <f>IF(MOD(COUNTA($C$7:C1104)-1,$J$2),H1103,ROUND(F1104*P1104,-2))</f>
        <v>9600</v>
      </c>
      <c r="I1104">
        <f t="shared" si="209"/>
        <v>0</v>
      </c>
      <c r="J1104">
        <f t="shared" si="210"/>
        <v>0</v>
      </c>
      <c r="K1104">
        <f t="shared" si="211"/>
        <v>-20605.636079458083</v>
      </c>
      <c r="L1104">
        <f t="shared" si="212"/>
        <v>1810.3639205419167</v>
      </c>
      <c r="M1104">
        <f t="shared" si="213"/>
        <v>-28.799999999999272</v>
      </c>
      <c r="N1104">
        <f t="shared" si="215"/>
        <v>1810.3639205419167</v>
      </c>
      <c r="O1104" s="5">
        <f t="shared" si="206"/>
        <v>8.9037819127719964E-4</v>
      </c>
      <c r="P1104">
        <f t="shared" si="214"/>
        <v>10000</v>
      </c>
      <c r="Q1104">
        <f t="shared" si="207"/>
        <v>8.903781912771997</v>
      </c>
    </row>
    <row r="1105" spans="1:17" x14ac:dyDescent="0.15">
      <c r="A1105" s="10">
        <v>45904.607638888992</v>
      </c>
      <c r="B1105">
        <f>COUNT(A1105:$A$1158)/(48*252)</f>
        <v>4.464285714285714E-3</v>
      </c>
      <c r="C1105">
        <v>2.3420000000000001</v>
      </c>
      <c r="D1105">
        <v>0.13600000000000001</v>
      </c>
      <c r="E1105">
        <f t="shared" si="204"/>
        <v>1.9874754313738707</v>
      </c>
      <c r="F1105">
        <f t="shared" si="205"/>
        <v>0.97656513205625917</v>
      </c>
      <c r="G1105">
        <f t="shared" si="208"/>
        <v>7.0000000000001172E-3</v>
      </c>
      <c r="H1105">
        <f>IF(MOD(COUNTA($C$7:C1105)-1,$J$2),H1104,ROUND(F1105*P1105,-2))</f>
        <v>9800</v>
      </c>
      <c r="I1105">
        <f t="shared" si="209"/>
        <v>200</v>
      </c>
      <c r="J1105">
        <f t="shared" si="210"/>
        <v>0</v>
      </c>
      <c r="K1105">
        <f t="shared" si="211"/>
        <v>-21074.057157458086</v>
      </c>
      <c r="L1105">
        <f t="shared" si="212"/>
        <v>1877.5428425419159</v>
      </c>
      <c r="M1105">
        <f t="shared" si="213"/>
        <v>67.178921999999147</v>
      </c>
      <c r="N1105">
        <f t="shared" si="215"/>
        <v>1877.5428425419159</v>
      </c>
      <c r="O1105" s="5">
        <f t="shared" si="206"/>
        <v>6.6089466101686839E-4</v>
      </c>
      <c r="P1105">
        <f t="shared" si="214"/>
        <v>10000</v>
      </c>
      <c r="Q1105">
        <f t="shared" si="207"/>
        <v>6.608946610168684</v>
      </c>
    </row>
    <row r="1106" spans="1:17" x14ac:dyDescent="0.15">
      <c r="A1106" s="10">
        <v>45904.611111111008</v>
      </c>
      <c r="B1106">
        <f>COUNT(A1106:$A$1158)/(48*252)</f>
        <v>4.3816137566137564E-3</v>
      </c>
      <c r="C1106">
        <v>2.3490000000000002</v>
      </c>
      <c r="D1106">
        <v>0.14299999999999999</v>
      </c>
      <c r="E1106">
        <f t="shared" si="204"/>
        <v>2.1005150059792927</v>
      </c>
      <c r="F1106">
        <f t="shared" si="205"/>
        <v>0.98215821900640721</v>
      </c>
      <c r="G1106">
        <f t="shared" si="208"/>
        <v>7.0000000000001172E-3</v>
      </c>
      <c r="H1106">
        <f>IF(MOD(COUNTA($C$7:C1106)-1,$J$2),H1105,ROUND(F1106*P1106,-2))</f>
        <v>9800</v>
      </c>
      <c r="I1106">
        <f t="shared" si="209"/>
        <v>0</v>
      </c>
      <c r="J1106">
        <f t="shared" si="210"/>
        <v>0</v>
      </c>
      <c r="K1106">
        <f t="shared" si="211"/>
        <v>-21074.057157458086</v>
      </c>
      <c r="L1106">
        <f t="shared" si="212"/>
        <v>1946.1428425419144</v>
      </c>
      <c r="M1106">
        <f t="shared" si="213"/>
        <v>68.599999999998545</v>
      </c>
      <c r="N1106">
        <f t="shared" si="215"/>
        <v>1946.1428425419144</v>
      </c>
      <c r="O1106" s="5">
        <f t="shared" si="206"/>
        <v>4.8291548790704159E-4</v>
      </c>
      <c r="P1106">
        <f t="shared" si="214"/>
        <v>10000</v>
      </c>
      <c r="Q1106">
        <f t="shared" si="207"/>
        <v>4.8291548790704155</v>
      </c>
    </row>
    <row r="1107" spans="1:17" x14ac:dyDescent="0.15">
      <c r="A1107" s="10">
        <v>45904.614583333023</v>
      </c>
      <c r="B1107">
        <f>COUNT(A1107:$A$1158)/(48*252)</f>
        <v>4.2989417989417987E-3</v>
      </c>
      <c r="C1107">
        <v>2.3479999999999999</v>
      </c>
      <c r="D1107">
        <v>0.14499999999999999</v>
      </c>
      <c r="E1107">
        <f t="shared" si="204"/>
        <v>2.1065883490901096</v>
      </c>
      <c r="F1107">
        <f t="shared" si="205"/>
        <v>0.98242336123470253</v>
      </c>
      <c r="G1107">
        <f t="shared" si="208"/>
        <v>-1.000000000000334E-3</v>
      </c>
      <c r="H1107">
        <f>IF(MOD(COUNTA($C$7:C1107)-1,$J$2),H1106,ROUND(F1107*P1107,-2))</f>
        <v>9800</v>
      </c>
      <c r="I1107">
        <f t="shared" si="209"/>
        <v>0</v>
      </c>
      <c r="J1107">
        <f t="shared" si="210"/>
        <v>0</v>
      </c>
      <c r="K1107">
        <f t="shared" si="211"/>
        <v>-21074.057157458086</v>
      </c>
      <c r="L1107">
        <f t="shared" si="212"/>
        <v>1936.3428425419115</v>
      </c>
      <c r="M1107">
        <f t="shared" si="213"/>
        <v>-9.8000000000029104</v>
      </c>
      <c r="N1107">
        <f t="shared" si="215"/>
        <v>1936.3428425419115</v>
      </c>
      <c r="O1107" s="5">
        <f t="shared" si="206"/>
        <v>4.7011824297341076E-4</v>
      </c>
      <c r="P1107">
        <f t="shared" si="214"/>
        <v>10000</v>
      </c>
      <c r="Q1107">
        <f t="shared" si="207"/>
        <v>4.7011824297341072</v>
      </c>
    </row>
    <row r="1108" spans="1:17" x14ac:dyDescent="0.15">
      <c r="A1108" s="10">
        <v>45904.618055555969</v>
      </c>
      <c r="B1108">
        <f>COUNT(A1108:$A$1158)/(48*252)</f>
        <v>4.216269841269841E-3</v>
      </c>
      <c r="C1108">
        <v>2.3519999999999999</v>
      </c>
      <c r="D1108">
        <v>0.14299999999999999</v>
      </c>
      <c r="E1108">
        <f t="shared" si="204"/>
        <v>2.1818482113842483</v>
      </c>
      <c r="F1108">
        <f t="shared" si="205"/>
        <v>0.98543963146604197</v>
      </c>
      <c r="G1108">
        <f t="shared" si="208"/>
        <v>4.0000000000000036E-3</v>
      </c>
      <c r="H1108">
        <f>IF(MOD(COUNTA($C$7:C1108)-1,$J$2),H1107,ROUND(F1108*P1108,-2))</f>
        <v>9800</v>
      </c>
      <c r="I1108">
        <f t="shared" si="209"/>
        <v>0</v>
      </c>
      <c r="J1108">
        <f t="shared" si="210"/>
        <v>0</v>
      </c>
      <c r="K1108">
        <f t="shared" si="211"/>
        <v>-21074.057157458086</v>
      </c>
      <c r="L1108">
        <f t="shared" si="212"/>
        <v>1975.5428425419123</v>
      </c>
      <c r="M1108">
        <f t="shared" si="213"/>
        <v>39.200000000000728</v>
      </c>
      <c r="N1108">
        <f t="shared" si="215"/>
        <v>1975.5428425419123</v>
      </c>
      <c r="O1108" s="5">
        <f t="shared" si="206"/>
        <v>3.7768550656643723E-4</v>
      </c>
      <c r="P1108">
        <f t="shared" si="214"/>
        <v>10000</v>
      </c>
      <c r="Q1108">
        <f t="shared" si="207"/>
        <v>3.7768550656643725</v>
      </c>
    </row>
    <row r="1109" spans="1:17" x14ac:dyDescent="0.15">
      <c r="A1109" s="10">
        <v>45904.621527777985</v>
      </c>
      <c r="B1109">
        <f>COUNT(A1109:$A$1158)/(48*252)</f>
        <v>4.1335978835978834E-3</v>
      </c>
      <c r="C1109">
        <v>2.3490000000000002</v>
      </c>
      <c r="D1109">
        <v>0.14399999999999999</v>
      </c>
      <c r="E1109">
        <f t="shared" si="204"/>
        <v>2.1614515722889074</v>
      </c>
      <c r="F1109">
        <f t="shared" si="205"/>
        <v>0.98466976300577969</v>
      </c>
      <c r="G1109">
        <f t="shared" si="208"/>
        <v>-2.9999999999996696E-3</v>
      </c>
      <c r="H1109">
        <f>IF(MOD(COUNTA($C$7:C1109)-1,$J$2),H1108,ROUND(F1109*P1109,-2))</f>
        <v>9800</v>
      </c>
      <c r="I1109">
        <f t="shared" si="209"/>
        <v>0</v>
      </c>
      <c r="J1109">
        <f t="shared" si="210"/>
        <v>0</v>
      </c>
      <c r="K1109">
        <f t="shared" si="211"/>
        <v>-21074.057157458086</v>
      </c>
      <c r="L1109">
        <f t="shared" si="212"/>
        <v>1946.1428425419144</v>
      </c>
      <c r="M1109">
        <f t="shared" si="213"/>
        <v>-29.399999999997817</v>
      </c>
      <c r="N1109">
        <f t="shared" si="215"/>
        <v>1946.1428425419144</v>
      </c>
      <c r="O1109" s="5">
        <f t="shared" si="206"/>
        <v>3.9559188243503546E-4</v>
      </c>
      <c r="P1109">
        <f t="shared" si="214"/>
        <v>10000</v>
      </c>
      <c r="Q1109">
        <f t="shared" si="207"/>
        <v>3.9559188243503547</v>
      </c>
    </row>
    <row r="1110" spans="1:17" x14ac:dyDescent="0.15">
      <c r="A1110" s="10">
        <v>45904.625</v>
      </c>
      <c r="B1110">
        <f>COUNT(A1110:$A$1158)/(48*252)</f>
        <v>4.0509259259259257E-3</v>
      </c>
      <c r="C1110">
        <v>2.3479999999999999</v>
      </c>
      <c r="D1110">
        <v>0.14599999999999999</v>
      </c>
      <c r="E1110">
        <f t="shared" si="204"/>
        <v>2.1689450271407127</v>
      </c>
      <c r="F1110">
        <f t="shared" si="205"/>
        <v>0.98495657114540403</v>
      </c>
      <c r="G1110">
        <f t="shared" si="208"/>
        <v>-1.000000000000334E-3</v>
      </c>
      <c r="H1110">
        <f>IF(MOD(COUNTA($C$7:C1110)-1,$J$2),H1109,ROUND(F1110*P1110,-2))</f>
        <v>9800</v>
      </c>
      <c r="I1110">
        <f t="shared" si="209"/>
        <v>0</v>
      </c>
      <c r="J1110">
        <f t="shared" si="210"/>
        <v>0</v>
      </c>
      <c r="K1110">
        <f t="shared" si="211"/>
        <v>-21074.057157458086</v>
      </c>
      <c r="L1110">
        <f t="shared" si="212"/>
        <v>1936.3428425419115</v>
      </c>
      <c r="M1110">
        <f t="shared" si="213"/>
        <v>-9.8000000000029104</v>
      </c>
      <c r="N1110">
        <f t="shared" si="215"/>
        <v>1936.3428425419115</v>
      </c>
      <c r="O1110" s="5">
        <f t="shared" si="206"/>
        <v>3.8322966741288766E-4</v>
      </c>
      <c r="P1110">
        <f t="shared" si="214"/>
        <v>10000</v>
      </c>
      <c r="Q1110">
        <f t="shared" si="207"/>
        <v>3.8322966741288766</v>
      </c>
    </row>
    <row r="1111" spans="1:17" x14ac:dyDescent="0.15">
      <c r="A1111" s="10">
        <v>45905.399305555969</v>
      </c>
      <c r="B1111">
        <f>COUNT(A1111:$A$1158)/(48*252)</f>
        <v>3.968253968253968E-3</v>
      </c>
      <c r="C1111">
        <v>2.335</v>
      </c>
      <c r="D1111">
        <v>0.13300000000000001</v>
      </c>
      <c r="E1111">
        <f t="shared" si="204"/>
        <v>2.0058019898530182</v>
      </c>
      <c r="F1111">
        <f t="shared" si="205"/>
        <v>0.97756131085657472</v>
      </c>
      <c r="G1111">
        <f t="shared" si="208"/>
        <v>-1.2999999999999901E-2</v>
      </c>
      <c r="H1111">
        <f>IF(MOD(COUNTA($C$7:C1111)-1,$J$2),H1110,ROUND(F1111*P1111,-2))</f>
        <v>9800</v>
      </c>
      <c r="I1111">
        <f t="shared" si="209"/>
        <v>0</v>
      </c>
      <c r="J1111">
        <f t="shared" si="210"/>
        <v>0</v>
      </c>
      <c r="K1111">
        <f t="shared" si="211"/>
        <v>-21074.057157458086</v>
      </c>
      <c r="L1111">
        <f t="shared" si="212"/>
        <v>1808.9428425419137</v>
      </c>
      <c r="M1111">
        <f t="shared" si="213"/>
        <v>-127.39999999999782</v>
      </c>
      <c r="N1111">
        <f t="shared" si="215"/>
        <v>1808.9428425419137</v>
      </c>
      <c r="O1111" s="5">
        <f t="shared" si="206"/>
        <v>5.9109721809141175E-4</v>
      </c>
      <c r="P1111">
        <f t="shared" si="214"/>
        <v>10000</v>
      </c>
      <c r="Q1111">
        <f t="shared" si="207"/>
        <v>5.9109721809141176</v>
      </c>
    </row>
    <row r="1112" spans="1:17" x14ac:dyDescent="0.15">
      <c r="A1112" s="10">
        <v>45905.402777777985</v>
      </c>
      <c r="B1112">
        <f>COUNT(A1112:$A$1158)/(48*252)</f>
        <v>3.8855820105820104E-3</v>
      </c>
      <c r="C1112">
        <v>2.3359999999999999</v>
      </c>
      <c r="D1112">
        <v>0.13700000000000001</v>
      </c>
      <c r="E1112">
        <f t="shared" si="204"/>
        <v>2.0410646341462404</v>
      </c>
      <c r="F1112">
        <f t="shared" si="205"/>
        <v>0.97937779846486006</v>
      </c>
      <c r="G1112">
        <f t="shared" si="208"/>
        <v>9.9999999999988987E-4</v>
      </c>
      <c r="H1112">
        <f>IF(MOD(COUNTA($C$7:C1112)-1,$J$2),H1111,ROUND(F1112*P1112,-2))</f>
        <v>9800</v>
      </c>
      <c r="I1112">
        <f t="shared" si="209"/>
        <v>0</v>
      </c>
      <c r="J1112">
        <f t="shared" si="210"/>
        <v>0</v>
      </c>
      <c r="K1112">
        <f t="shared" si="211"/>
        <v>-21074.057157458086</v>
      </c>
      <c r="L1112">
        <f t="shared" si="212"/>
        <v>1818.742842541913</v>
      </c>
      <c r="M1112">
        <f t="shared" si="213"/>
        <v>9.7999999999992724</v>
      </c>
      <c r="N1112">
        <f t="shared" si="215"/>
        <v>1818.742842541913</v>
      </c>
      <c r="O1112" s="5">
        <f t="shared" si="206"/>
        <v>5.3193364791249281E-4</v>
      </c>
      <c r="P1112">
        <f t="shared" si="214"/>
        <v>10000</v>
      </c>
      <c r="Q1112">
        <f t="shared" si="207"/>
        <v>5.319336479124928</v>
      </c>
    </row>
    <row r="1113" spans="1:17" x14ac:dyDescent="0.15">
      <c r="A1113" s="10">
        <v>45905.40625</v>
      </c>
      <c r="B1113">
        <f>COUNT(A1113:$A$1158)/(48*252)</f>
        <v>3.8029100529100527E-3</v>
      </c>
      <c r="C1113">
        <v>2.3340000000000001</v>
      </c>
      <c r="D1113">
        <v>0.13500000000000001</v>
      </c>
      <c r="E1113">
        <f t="shared" si="204"/>
        <v>2.0335374001647133</v>
      </c>
      <c r="F1113">
        <f t="shared" si="205"/>
        <v>0.97900087049507289</v>
      </c>
      <c r="G1113">
        <f t="shared" si="208"/>
        <v>-1.9999999999997797E-3</v>
      </c>
      <c r="H1113">
        <f>IF(MOD(COUNTA($C$7:C1113)-1,$J$2),H1112,ROUND(F1113*P1113,-2))</f>
        <v>9800</v>
      </c>
      <c r="I1113">
        <f t="shared" si="209"/>
        <v>0</v>
      </c>
      <c r="J1113">
        <f t="shared" si="210"/>
        <v>0</v>
      </c>
      <c r="K1113">
        <f t="shared" si="211"/>
        <v>-21074.057157458086</v>
      </c>
      <c r="L1113">
        <f t="shared" si="212"/>
        <v>1799.1428425419144</v>
      </c>
      <c r="M1113">
        <f t="shared" si="213"/>
        <v>-19.599999999998545</v>
      </c>
      <c r="N1113">
        <f t="shared" si="215"/>
        <v>1799.1428425419144</v>
      </c>
      <c r="O1113" s="5">
        <f t="shared" si="206"/>
        <v>5.3658266249132641E-4</v>
      </c>
      <c r="P1113">
        <f t="shared" si="214"/>
        <v>10000</v>
      </c>
      <c r="Q1113">
        <f t="shared" si="207"/>
        <v>5.3658266249132645</v>
      </c>
    </row>
    <row r="1114" spans="1:17" x14ac:dyDescent="0.15">
      <c r="A1114" s="10">
        <v>45905.409722222015</v>
      </c>
      <c r="B1114">
        <f>COUNT(A1114:$A$1158)/(48*252)</f>
        <v>3.720238095238095E-3</v>
      </c>
      <c r="C1114">
        <v>2.331</v>
      </c>
      <c r="D1114">
        <v>0.13400000000000001</v>
      </c>
      <c r="E1114">
        <f t="shared" si="204"/>
        <v>2.0112839503272855</v>
      </c>
      <c r="F1114">
        <f t="shared" si="205"/>
        <v>0.97785226361201327</v>
      </c>
      <c r="G1114">
        <f t="shared" si="208"/>
        <v>-3.0000000000001137E-3</v>
      </c>
      <c r="H1114">
        <f>IF(MOD(COUNTA($C$7:C1114)-1,$J$2),H1113,ROUND(F1114*P1114,-2))</f>
        <v>9800</v>
      </c>
      <c r="I1114">
        <f t="shared" si="209"/>
        <v>0</v>
      </c>
      <c r="J1114">
        <f t="shared" si="210"/>
        <v>0</v>
      </c>
      <c r="K1114">
        <f t="shared" si="211"/>
        <v>-21074.057157458086</v>
      </c>
      <c r="L1114">
        <f t="shared" si="212"/>
        <v>1769.742842541913</v>
      </c>
      <c r="M1114">
        <f t="shared" si="213"/>
        <v>-29.400000000001455</v>
      </c>
      <c r="N1114">
        <f t="shared" si="215"/>
        <v>1769.742842541913</v>
      </c>
      <c r="O1114" s="5">
        <f t="shared" si="206"/>
        <v>5.6280311376621234E-4</v>
      </c>
      <c r="P1114">
        <f t="shared" si="214"/>
        <v>10000</v>
      </c>
      <c r="Q1114">
        <f t="shared" si="207"/>
        <v>5.6280311376621235</v>
      </c>
    </row>
    <row r="1115" spans="1:17" x14ac:dyDescent="0.15">
      <c r="A1115" s="10">
        <v>45905.413194444962</v>
      </c>
      <c r="B1115">
        <f>COUNT(A1115:$A$1158)/(48*252)</f>
        <v>3.6375661375661374E-3</v>
      </c>
      <c r="C1115">
        <v>2.331</v>
      </c>
      <c r="D1115">
        <v>0.13200000000000001</v>
      </c>
      <c r="E1115">
        <f t="shared" si="204"/>
        <v>2.0335985047540244</v>
      </c>
      <c r="F1115">
        <f t="shared" si="205"/>
        <v>0.97900395363684656</v>
      </c>
      <c r="G1115">
        <f t="shared" si="208"/>
        <v>0</v>
      </c>
      <c r="H1115">
        <f>IF(MOD(COUNTA($C$7:C1115)-1,$J$2),H1114,ROUND(F1115*P1115,-2))</f>
        <v>9800</v>
      </c>
      <c r="I1115">
        <f t="shared" si="209"/>
        <v>0</v>
      </c>
      <c r="J1115">
        <f t="shared" si="210"/>
        <v>0</v>
      </c>
      <c r="K1115">
        <f t="shared" si="211"/>
        <v>-21074.057157458086</v>
      </c>
      <c r="L1115">
        <f t="shared" si="212"/>
        <v>1769.742842541913</v>
      </c>
      <c r="M1115">
        <f t="shared" si="213"/>
        <v>0</v>
      </c>
      <c r="N1115">
        <f t="shared" si="215"/>
        <v>1769.742842541913</v>
      </c>
      <c r="O1115" s="5">
        <f t="shared" si="206"/>
        <v>5.239121415244602E-4</v>
      </c>
      <c r="P1115">
        <f t="shared" si="214"/>
        <v>10000</v>
      </c>
      <c r="Q1115">
        <f t="shared" si="207"/>
        <v>5.2391214152446022</v>
      </c>
    </row>
    <row r="1116" spans="1:17" x14ac:dyDescent="0.15">
      <c r="A1116" s="10">
        <v>45905.416666666977</v>
      </c>
      <c r="B1116">
        <f>COUNT(A1116:$A$1158)/(48*252)</f>
        <v>3.5548941798941797E-3</v>
      </c>
      <c r="C1116">
        <v>2.3330000000000002</v>
      </c>
      <c r="D1116">
        <v>0.13200000000000001</v>
      </c>
      <c r="E1116">
        <f t="shared" si="204"/>
        <v>2.0869216814358396</v>
      </c>
      <c r="F1116">
        <f t="shared" si="205"/>
        <v>0.98155239266786187</v>
      </c>
      <c r="G1116">
        <f t="shared" si="208"/>
        <v>2.0000000000002238E-3</v>
      </c>
      <c r="H1116">
        <f>IF(MOD(COUNTA($C$7:C1116)-1,$J$2),H1115,ROUND(F1116*P1116,-2))</f>
        <v>9800</v>
      </c>
      <c r="I1116">
        <f t="shared" si="209"/>
        <v>0</v>
      </c>
      <c r="J1116">
        <f t="shared" si="210"/>
        <v>0</v>
      </c>
      <c r="K1116">
        <f t="shared" si="211"/>
        <v>-21074.057157458086</v>
      </c>
      <c r="L1116">
        <f t="shared" si="212"/>
        <v>1789.3428425419152</v>
      </c>
      <c r="M1116">
        <f t="shared" si="213"/>
        <v>19.600000000002183</v>
      </c>
      <c r="N1116">
        <f t="shared" si="215"/>
        <v>1789.3428425419152</v>
      </c>
      <c r="O1116" s="5">
        <f t="shared" si="206"/>
        <v>4.4805817653456592E-4</v>
      </c>
      <c r="P1116">
        <f t="shared" si="214"/>
        <v>10000</v>
      </c>
      <c r="Q1116">
        <f t="shared" si="207"/>
        <v>4.4805817653456597</v>
      </c>
    </row>
    <row r="1117" spans="1:17" x14ac:dyDescent="0.15">
      <c r="A1117" s="10">
        <v>45905.420138888992</v>
      </c>
      <c r="B1117">
        <f>COUNT(A1117:$A$1158)/(48*252)</f>
        <v>3.472222222222222E-3</v>
      </c>
      <c r="C1117">
        <v>2.3359999999999999</v>
      </c>
      <c r="D1117">
        <v>0.13500000000000001</v>
      </c>
      <c r="E1117">
        <f t="shared" si="204"/>
        <v>2.1570299475817234</v>
      </c>
      <c r="F1117">
        <f t="shared" si="205"/>
        <v>0.98449833444770374</v>
      </c>
      <c r="G1117">
        <f t="shared" si="208"/>
        <v>2.9999999999996696E-3</v>
      </c>
      <c r="H1117">
        <f>IF(MOD(COUNTA($C$7:C1117)-1,$J$2),H1116,ROUND(F1117*P1117,-2))</f>
        <v>9800</v>
      </c>
      <c r="I1117">
        <f t="shared" si="209"/>
        <v>0</v>
      </c>
      <c r="J1117">
        <f t="shared" si="210"/>
        <v>0</v>
      </c>
      <c r="K1117">
        <f t="shared" si="211"/>
        <v>-21074.057157458086</v>
      </c>
      <c r="L1117">
        <f t="shared" si="212"/>
        <v>1818.742842541913</v>
      </c>
      <c r="M1117">
        <f t="shared" si="213"/>
        <v>29.399999999997817</v>
      </c>
      <c r="N1117">
        <f t="shared" si="215"/>
        <v>1818.742842541913</v>
      </c>
      <c r="O1117" s="5">
        <f t="shared" si="206"/>
        <v>3.6476660951507284E-4</v>
      </c>
      <c r="P1117">
        <f t="shared" si="214"/>
        <v>10000</v>
      </c>
      <c r="Q1117">
        <f t="shared" si="207"/>
        <v>3.6476660951507283</v>
      </c>
    </row>
    <row r="1118" spans="1:17" x14ac:dyDescent="0.15">
      <c r="A1118" s="10">
        <v>45905.423611111008</v>
      </c>
      <c r="B1118">
        <f>COUNT(A1118:$A$1158)/(48*252)</f>
        <v>3.3895502645502644E-3</v>
      </c>
      <c r="C1118">
        <v>2.3340000000000001</v>
      </c>
      <c r="D1118">
        <v>0.13700000000000001</v>
      </c>
      <c r="E1118">
        <f t="shared" si="204"/>
        <v>2.1518306986098268</v>
      </c>
      <c r="F1118">
        <f t="shared" si="205"/>
        <v>0.98429465446995634</v>
      </c>
      <c r="G1118">
        <f t="shared" si="208"/>
        <v>-1.9999999999997797E-3</v>
      </c>
      <c r="H1118">
        <f>IF(MOD(COUNTA($C$7:C1118)-1,$J$2),H1117,ROUND(F1118*P1118,-2))</f>
        <v>9800</v>
      </c>
      <c r="I1118">
        <f t="shared" si="209"/>
        <v>0</v>
      </c>
      <c r="J1118">
        <f t="shared" si="210"/>
        <v>0</v>
      </c>
      <c r="K1118">
        <f t="shared" si="211"/>
        <v>-21074.057157458086</v>
      </c>
      <c r="L1118">
        <f t="shared" si="212"/>
        <v>1799.1428425419144</v>
      </c>
      <c r="M1118">
        <f t="shared" si="213"/>
        <v>-19.599999999998545</v>
      </c>
      <c r="N1118">
        <f t="shared" si="215"/>
        <v>1799.1428425419144</v>
      </c>
      <c r="O1118" s="5">
        <f t="shared" si="206"/>
        <v>3.6534736095768933E-4</v>
      </c>
      <c r="P1118">
        <f t="shared" si="214"/>
        <v>10000</v>
      </c>
      <c r="Q1118">
        <f t="shared" si="207"/>
        <v>3.6534736095768934</v>
      </c>
    </row>
    <row r="1119" spans="1:17" x14ac:dyDescent="0.15">
      <c r="A1119" s="10">
        <v>45905.427083333023</v>
      </c>
      <c r="B1119">
        <f>COUNT(A1119:$A$1158)/(48*252)</f>
        <v>3.3068783068783067E-3</v>
      </c>
      <c r="C1119">
        <v>2.3319999999999999</v>
      </c>
      <c r="D1119">
        <v>0.13200000000000001</v>
      </c>
      <c r="E1119">
        <f t="shared" si="204"/>
        <v>2.1468002772671366</v>
      </c>
      <c r="F1119">
        <f t="shared" si="205"/>
        <v>0.98409540736749057</v>
      </c>
      <c r="G1119">
        <f t="shared" si="208"/>
        <v>-2.0000000000002238E-3</v>
      </c>
      <c r="H1119">
        <f>IF(MOD(COUNTA($C$7:C1119)-1,$J$2),H1118,ROUND(F1119*P1119,-2))</f>
        <v>9800</v>
      </c>
      <c r="I1119">
        <f t="shared" si="209"/>
        <v>0</v>
      </c>
      <c r="J1119">
        <f t="shared" si="210"/>
        <v>0</v>
      </c>
      <c r="K1119">
        <f t="shared" si="211"/>
        <v>-21074.057157458086</v>
      </c>
      <c r="L1119">
        <f t="shared" si="212"/>
        <v>1779.5428425419123</v>
      </c>
      <c r="M1119">
        <f t="shared" si="213"/>
        <v>-19.600000000002183</v>
      </c>
      <c r="N1119">
        <f t="shared" si="215"/>
        <v>1779.5428425419123</v>
      </c>
      <c r="O1119" s="5">
        <f t="shared" si="206"/>
        <v>3.6563802965048492E-4</v>
      </c>
      <c r="P1119">
        <f t="shared" si="214"/>
        <v>10000</v>
      </c>
      <c r="Q1119">
        <f t="shared" si="207"/>
        <v>3.6563802965048491</v>
      </c>
    </row>
    <row r="1120" spans="1:17" x14ac:dyDescent="0.15">
      <c r="A1120" s="10">
        <v>45905.430555555969</v>
      </c>
      <c r="B1120">
        <f>COUNT(A1120:$A$1158)/(48*252)</f>
        <v>3.224206349206349E-3</v>
      </c>
      <c r="C1120">
        <v>2.335</v>
      </c>
      <c r="D1120">
        <v>0.13200000000000001</v>
      </c>
      <c r="E1120">
        <f t="shared" si="204"/>
        <v>2.2212938331235299</v>
      </c>
      <c r="F1120">
        <f t="shared" si="205"/>
        <v>0.98683446685765452</v>
      </c>
      <c r="G1120">
        <f t="shared" si="208"/>
        <v>3.0000000000001137E-3</v>
      </c>
      <c r="H1120">
        <f>IF(MOD(COUNTA($C$7:C1120)-1,$J$2),H1119,ROUND(F1120*P1120,-2))</f>
        <v>9800</v>
      </c>
      <c r="I1120">
        <f t="shared" si="209"/>
        <v>0</v>
      </c>
      <c r="J1120">
        <f t="shared" si="210"/>
        <v>0</v>
      </c>
      <c r="K1120">
        <f t="shared" si="211"/>
        <v>-21074.057157458086</v>
      </c>
      <c r="L1120">
        <f t="shared" si="212"/>
        <v>1808.9428425419137</v>
      </c>
      <c r="M1120">
        <f t="shared" si="213"/>
        <v>29.400000000001455</v>
      </c>
      <c r="N1120">
        <f t="shared" si="215"/>
        <v>1808.9428425419137</v>
      </c>
      <c r="O1120" s="5">
        <f t="shared" si="206"/>
        <v>2.9267022754676103E-4</v>
      </c>
      <c r="P1120">
        <f t="shared" si="214"/>
        <v>10000</v>
      </c>
      <c r="Q1120">
        <f t="shared" si="207"/>
        <v>2.9267022754676102</v>
      </c>
    </row>
    <row r="1121" spans="1:17" x14ac:dyDescent="0.15">
      <c r="A1121" s="10">
        <v>45905.434027777985</v>
      </c>
      <c r="B1121">
        <f>COUNT(A1121:$A$1158)/(48*252)</f>
        <v>3.1415343915343914E-3</v>
      </c>
      <c r="C1121">
        <v>2.3380000000000001</v>
      </c>
      <c r="D1121">
        <v>0.13500000000000001</v>
      </c>
      <c r="E1121">
        <f t="shared" si="204"/>
        <v>2.2980306680738005</v>
      </c>
      <c r="F1121">
        <f t="shared" si="205"/>
        <v>0.98921997814491258</v>
      </c>
      <c r="G1121">
        <f t="shared" si="208"/>
        <v>3.0000000000001137E-3</v>
      </c>
      <c r="H1121">
        <f>IF(MOD(COUNTA($C$7:C1121)-1,$J$2),H1120,ROUND(F1121*P1121,-2))</f>
        <v>9800</v>
      </c>
      <c r="I1121">
        <f t="shared" si="209"/>
        <v>0</v>
      </c>
      <c r="J1121">
        <f t="shared" si="210"/>
        <v>0</v>
      </c>
      <c r="K1121">
        <f t="shared" si="211"/>
        <v>-21074.057157458086</v>
      </c>
      <c r="L1121">
        <f t="shared" si="212"/>
        <v>1838.3428425419152</v>
      </c>
      <c r="M1121">
        <f t="shared" si="213"/>
        <v>29.400000000001455</v>
      </c>
      <c r="N1121">
        <f t="shared" si="215"/>
        <v>1838.3428425419152</v>
      </c>
      <c r="O1121" s="5">
        <f t="shared" si="206"/>
        <v>2.3157784324736794E-4</v>
      </c>
      <c r="P1121">
        <f t="shared" si="214"/>
        <v>10000</v>
      </c>
      <c r="Q1121">
        <f t="shared" si="207"/>
        <v>2.3157784324736794</v>
      </c>
    </row>
    <row r="1122" spans="1:17" x14ac:dyDescent="0.15">
      <c r="A1122" s="10">
        <v>45905.4375</v>
      </c>
      <c r="B1122">
        <f>COUNT(A1122:$A$1158)/(48*252)</f>
        <v>3.0588624338624337E-3</v>
      </c>
      <c r="C1122">
        <v>2.3340000000000001</v>
      </c>
      <c r="D1122">
        <v>0.13300000000000001</v>
      </c>
      <c r="E1122">
        <f t="shared" si="204"/>
        <v>2.2633619722430924</v>
      </c>
      <c r="F1122">
        <f t="shared" si="205"/>
        <v>0.98819330753577062</v>
      </c>
      <c r="G1122">
        <f t="shared" si="208"/>
        <v>-4.0000000000000036E-3</v>
      </c>
      <c r="H1122">
        <f>IF(MOD(COUNTA($C$7:C1122)-1,$J$2),H1121,ROUND(F1122*P1122,-2))</f>
        <v>9800</v>
      </c>
      <c r="I1122">
        <f t="shared" si="209"/>
        <v>0</v>
      </c>
      <c r="J1122">
        <f t="shared" si="210"/>
        <v>0</v>
      </c>
      <c r="K1122">
        <f t="shared" si="211"/>
        <v>-21074.057157458086</v>
      </c>
      <c r="L1122">
        <f t="shared" si="212"/>
        <v>1799.1428425419144</v>
      </c>
      <c r="M1122">
        <f t="shared" si="213"/>
        <v>-39.200000000000728</v>
      </c>
      <c r="N1122">
        <f t="shared" si="215"/>
        <v>1799.1428425419144</v>
      </c>
      <c r="O1122" s="5">
        <f t="shared" si="206"/>
        <v>2.5234733821997285E-4</v>
      </c>
      <c r="P1122">
        <f t="shared" si="214"/>
        <v>10000</v>
      </c>
      <c r="Q1122">
        <f t="shared" si="207"/>
        <v>2.5234733821997284</v>
      </c>
    </row>
    <row r="1123" spans="1:17" x14ac:dyDescent="0.15">
      <c r="A1123" s="10">
        <v>45905.440972222015</v>
      </c>
      <c r="B1123">
        <f>COUNT(A1123:$A$1158)/(48*252)</f>
        <v>2.976190476190476E-3</v>
      </c>
      <c r="C1123">
        <v>2.33</v>
      </c>
      <c r="D1123">
        <v>0.128</v>
      </c>
      <c r="E1123">
        <f t="shared" si="204"/>
        <v>2.2280492487260366</v>
      </c>
      <c r="F1123">
        <f t="shared" si="205"/>
        <v>0.98706138447154668</v>
      </c>
      <c r="G1123">
        <f t="shared" si="208"/>
        <v>-4.0000000000000036E-3</v>
      </c>
      <c r="H1123">
        <f>IF(MOD(COUNTA($C$7:C1123)-1,$J$2),H1122,ROUND(F1123*P1123,-2))</f>
        <v>9900</v>
      </c>
      <c r="I1123">
        <f t="shared" si="209"/>
        <v>100</v>
      </c>
      <c r="J1123">
        <f t="shared" si="210"/>
        <v>0</v>
      </c>
      <c r="K1123">
        <f t="shared" si="211"/>
        <v>-21307.067642458085</v>
      </c>
      <c r="L1123">
        <f t="shared" si="212"/>
        <v>1759.9323575419148</v>
      </c>
      <c r="M1123">
        <f t="shared" si="213"/>
        <v>-39.210484999999608</v>
      </c>
      <c r="N1123">
        <f t="shared" si="215"/>
        <v>1759.9323575419148</v>
      </c>
      <c r="O1123" s="5">
        <f t="shared" si="206"/>
        <v>2.7510869137154295E-4</v>
      </c>
      <c r="P1123">
        <f t="shared" si="214"/>
        <v>10000</v>
      </c>
      <c r="Q1123">
        <f t="shared" si="207"/>
        <v>2.7510869137154295</v>
      </c>
    </row>
    <row r="1124" spans="1:17" x14ac:dyDescent="0.15">
      <c r="A1124" s="10">
        <v>45905.444444444962</v>
      </c>
      <c r="B1124">
        <f>COUNT(A1124:$A$1158)/(48*252)</f>
        <v>2.8935185185185184E-3</v>
      </c>
      <c r="C1124">
        <v>2.33</v>
      </c>
      <c r="D1124">
        <v>0.128</v>
      </c>
      <c r="E1124">
        <f t="shared" si="204"/>
        <v>2.2591918139056895</v>
      </c>
      <c r="F1124">
        <f t="shared" si="205"/>
        <v>0.98806427209020997</v>
      </c>
      <c r="G1124">
        <f t="shared" si="208"/>
        <v>0</v>
      </c>
      <c r="H1124">
        <f>IF(MOD(COUNTA($C$7:C1124)-1,$J$2),H1123,ROUND(F1124*P1124,-2))</f>
        <v>9900</v>
      </c>
      <c r="I1124">
        <f t="shared" si="209"/>
        <v>0</v>
      </c>
      <c r="J1124">
        <f t="shared" si="210"/>
        <v>0</v>
      </c>
      <c r="K1124">
        <f t="shared" si="211"/>
        <v>-21307.067642458085</v>
      </c>
      <c r="L1124">
        <f t="shared" si="212"/>
        <v>1759.9323575419148</v>
      </c>
      <c r="M1124">
        <f t="shared" si="213"/>
        <v>0</v>
      </c>
      <c r="N1124">
        <f t="shared" si="215"/>
        <v>1759.9323575419148</v>
      </c>
      <c r="O1124" s="5">
        <f t="shared" si="206"/>
        <v>2.4793394231834368E-4</v>
      </c>
      <c r="P1124">
        <f t="shared" si="214"/>
        <v>10000</v>
      </c>
      <c r="Q1124">
        <f t="shared" si="207"/>
        <v>2.4793394231834367</v>
      </c>
    </row>
    <row r="1125" spans="1:17" x14ac:dyDescent="0.15">
      <c r="A1125" s="10">
        <v>45905.447916666977</v>
      </c>
      <c r="B1125">
        <f>COUNT(A1125:$A$1158)/(48*252)</f>
        <v>2.8108465608465607E-3</v>
      </c>
      <c r="C1125">
        <v>2.331</v>
      </c>
      <c r="D1125">
        <v>0.128</v>
      </c>
      <c r="E1125">
        <f t="shared" si="204"/>
        <v>2.3087142394791962</v>
      </c>
      <c r="F1125">
        <f t="shared" si="205"/>
        <v>0.98952027817349408</v>
      </c>
      <c r="G1125">
        <f t="shared" si="208"/>
        <v>9.9999999999988987E-4</v>
      </c>
      <c r="H1125">
        <f>IF(MOD(COUNTA($C$7:C1125)-1,$J$2),H1124,ROUND(F1125*P1125,-2))</f>
        <v>9900</v>
      </c>
      <c r="I1125">
        <f t="shared" si="209"/>
        <v>0</v>
      </c>
      <c r="J1125">
        <f t="shared" si="210"/>
        <v>0</v>
      </c>
      <c r="K1125">
        <f t="shared" si="211"/>
        <v>-21307.067642458085</v>
      </c>
      <c r="L1125">
        <f t="shared" si="212"/>
        <v>1769.8323575419126</v>
      </c>
      <c r="M1125">
        <f t="shared" si="213"/>
        <v>9.8999999999978172</v>
      </c>
      <c r="N1125">
        <f t="shared" si="215"/>
        <v>1769.8323575419126</v>
      </c>
      <c r="O1125" s="5">
        <f t="shared" si="206"/>
        <v>2.1155937830179619E-4</v>
      </c>
      <c r="P1125">
        <f t="shared" si="214"/>
        <v>10000</v>
      </c>
      <c r="Q1125">
        <f t="shared" si="207"/>
        <v>2.1155937830179621</v>
      </c>
    </row>
    <row r="1126" spans="1:17" x14ac:dyDescent="0.15">
      <c r="A1126" s="10">
        <v>45905.451388888992</v>
      </c>
      <c r="B1126">
        <f>COUNT(A1126:$A$1158)/(48*252)</f>
        <v>2.728174603174603E-3</v>
      </c>
      <c r="C1126">
        <v>2.3319999999999999</v>
      </c>
      <c r="D1126">
        <v>0.128</v>
      </c>
      <c r="E1126">
        <f t="shared" si="204"/>
        <v>2.3602148009838411</v>
      </c>
      <c r="F1126">
        <f t="shared" si="205"/>
        <v>0.99086782194945477</v>
      </c>
      <c r="G1126">
        <f t="shared" si="208"/>
        <v>9.9999999999988987E-4</v>
      </c>
      <c r="H1126">
        <f>IF(MOD(COUNTA($C$7:C1126)-1,$J$2),H1125,ROUND(F1126*P1126,-2))</f>
        <v>9900</v>
      </c>
      <c r="I1126">
        <f t="shared" si="209"/>
        <v>0</v>
      </c>
      <c r="J1126">
        <f t="shared" si="210"/>
        <v>0</v>
      </c>
      <c r="K1126">
        <f t="shared" si="211"/>
        <v>-21307.067642458085</v>
      </c>
      <c r="L1126">
        <f t="shared" si="212"/>
        <v>1779.7323575419141</v>
      </c>
      <c r="M1126">
        <f t="shared" si="213"/>
        <v>9.9000000000014552</v>
      </c>
      <c r="N1126">
        <f t="shared" si="215"/>
        <v>1779.7323575419141</v>
      </c>
      <c r="O1126" s="5">
        <f t="shared" si="206"/>
        <v>1.7901284764881148E-4</v>
      </c>
      <c r="P1126">
        <f t="shared" si="214"/>
        <v>10000</v>
      </c>
      <c r="Q1126">
        <f t="shared" si="207"/>
        <v>1.7901284764881149</v>
      </c>
    </row>
    <row r="1127" spans="1:17" x14ac:dyDescent="0.15">
      <c r="A1127" s="10">
        <v>45905.454861111008</v>
      </c>
      <c r="B1127">
        <f>COUNT(A1127:$A$1158)/(48*252)</f>
        <v>2.6455026455026454E-3</v>
      </c>
      <c r="C1127">
        <v>2.3370000000000002</v>
      </c>
      <c r="D1127">
        <v>0.13900000000000001</v>
      </c>
      <c r="E1127">
        <f t="shared" si="204"/>
        <v>2.4838383370236139</v>
      </c>
      <c r="F1127">
        <f t="shared" si="205"/>
        <v>0.99350126006268247</v>
      </c>
      <c r="G1127">
        <f t="shared" si="208"/>
        <v>5.0000000000003375E-3</v>
      </c>
      <c r="H1127">
        <f>IF(MOD(COUNTA($C$7:C1127)-1,$J$2),H1126,ROUND(F1127*P1127,-2))</f>
        <v>9900</v>
      </c>
      <c r="I1127">
        <f t="shared" si="209"/>
        <v>0</v>
      </c>
      <c r="J1127">
        <f t="shared" si="210"/>
        <v>0</v>
      </c>
      <c r="K1127">
        <f t="shared" si="211"/>
        <v>-21307.067642458085</v>
      </c>
      <c r="L1127">
        <f t="shared" si="212"/>
        <v>1829.2323575419177</v>
      </c>
      <c r="M1127">
        <f t="shared" si="213"/>
        <v>49.500000000003638</v>
      </c>
      <c r="N1127">
        <f t="shared" si="215"/>
        <v>1829.2323575419177</v>
      </c>
      <c r="O1127" s="5">
        <f t="shared" si="206"/>
        <v>1.2139312752381531E-4</v>
      </c>
      <c r="P1127">
        <f t="shared" si="214"/>
        <v>10000</v>
      </c>
      <c r="Q1127">
        <f t="shared" si="207"/>
        <v>1.2139312752381533</v>
      </c>
    </row>
    <row r="1128" spans="1:17" x14ac:dyDescent="0.15">
      <c r="A1128" s="10">
        <v>45905.458333333023</v>
      </c>
      <c r="B1128">
        <f>COUNT(A1128:$A$1158)/(48*252)</f>
        <v>2.5628306878306877E-3</v>
      </c>
      <c r="C1128">
        <v>2.335</v>
      </c>
      <c r="D1128">
        <v>0.13900000000000001</v>
      </c>
      <c r="E1128">
        <f t="shared" si="204"/>
        <v>2.4875484721401491</v>
      </c>
      <c r="F1128">
        <f t="shared" si="205"/>
        <v>0.9935686538043963</v>
      </c>
      <c r="G1128">
        <f t="shared" si="208"/>
        <v>-2.0000000000002238E-3</v>
      </c>
      <c r="H1128">
        <f>IF(MOD(COUNTA($C$7:C1128)-1,$J$2),H1127,ROUND(F1128*P1128,-2))</f>
        <v>9900</v>
      </c>
      <c r="I1128">
        <f t="shared" si="209"/>
        <v>0</v>
      </c>
      <c r="J1128">
        <f t="shared" si="210"/>
        <v>0</v>
      </c>
      <c r="K1128">
        <f t="shared" si="211"/>
        <v>-21307.067642458085</v>
      </c>
      <c r="L1128">
        <f t="shared" si="212"/>
        <v>1809.4323575419148</v>
      </c>
      <c r="M1128">
        <f t="shared" si="213"/>
        <v>-19.80000000000291</v>
      </c>
      <c r="N1128">
        <f t="shared" si="215"/>
        <v>1809.4323575419148</v>
      </c>
      <c r="O1128" s="5">
        <f t="shared" si="206"/>
        <v>1.1800539927733084E-4</v>
      </c>
      <c r="P1128">
        <f t="shared" si="214"/>
        <v>10000</v>
      </c>
      <c r="Q1128">
        <f t="shared" si="207"/>
        <v>1.1800539927733085</v>
      </c>
    </row>
    <row r="1129" spans="1:17" x14ac:dyDescent="0.15">
      <c r="A1129" s="10">
        <v>45905.461805555969</v>
      </c>
      <c r="B1129">
        <f>COUNT(A1129:$A$1158)/(48*252)</f>
        <v>2.48015873015873E-3</v>
      </c>
      <c r="C1129">
        <v>2.33</v>
      </c>
      <c r="D1129">
        <v>0.13100000000000001</v>
      </c>
      <c r="E1129">
        <f t="shared" si="204"/>
        <v>2.4377080062915915</v>
      </c>
      <c r="F1129">
        <f t="shared" si="205"/>
        <v>0.99260964609560165</v>
      </c>
      <c r="G1129">
        <f t="shared" si="208"/>
        <v>-4.9999999999998934E-3</v>
      </c>
      <c r="H1129">
        <f>IF(MOD(COUNTA($C$7:C1129)-1,$J$2),H1128,ROUND(F1129*P1129,-2))</f>
        <v>9900</v>
      </c>
      <c r="I1129">
        <f t="shared" si="209"/>
        <v>0</v>
      </c>
      <c r="J1129">
        <f t="shared" si="210"/>
        <v>0</v>
      </c>
      <c r="K1129">
        <f t="shared" si="211"/>
        <v>-21307.067642458085</v>
      </c>
      <c r="L1129">
        <f t="shared" si="212"/>
        <v>1759.9323575419148</v>
      </c>
      <c r="M1129">
        <f t="shared" si="213"/>
        <v>-49.5</v>
      </c>
      <c r="N1129">
        <f t="shared" si="215"/>
        <v>1759.9323575419148</v>
      </c>
      <c r="O1129" s="5">
        <f t="shared" si="206"/>
        <v>1.3496287337147819E-4</v>
      </c>
      <c r="P1129">
        <f t="shared" si="214"/>
        <v>10000</v>
      </c>
      <c r="Q1129">
        <f t="shared" si="207"/>
        <v>1.3496287337147819</v>
      </c>
    </row>
    <row r="1130" spans="1:17" x14ac:dyDescent="0.15">
      <c r="A1130" s="10">
        <v>45905.465277777985</v>
      </c>
      <c r="B1130">
        <f>COUNT(A1130:$A$1158)/(48*252)</f>
        <v>2.3974867724867724E-3</v>
      </c>
      <c r="C1130">
        <v>2.3290000000000002</v>
      </c>
      <c r="D1130">
        <v>0.129</v>
      </c>
      <c r="E1130">
        <f t="shared" si="204"/>
        <v>2.4604480885787936</v>
      </c>
      <c r="F1130">
        <f t="shared" si="205"/>
        <v>0.99306181775907831</v>
      </c>
      <c r="G1130">
        <f t="shared" si="208"/>
        <v>-9.9999999999988987E-4</v>
      </c>
      <c r="H1130">
        <f>IF(MOD(COUNTA($C$7:C1130)-1,$J$2),H1129,ROUND(F1130*P1130,-2))</f>
        <v>9900</v>
      </c>
      <c r="I1130">
        <f t="shared" si="209"/>
        <v>0</v>
      </c>
      <c r="J1130">
        <f t="shared" si="210"/>
        <v>0</v>
      </c>
      <c r="K1130">
        <f t="shared" si="211"/>
        <v>-21307.067642458085</v>
      </c>
      <c r="L1130">
        <f t="shared" si="212"/>
        <v>1750.032357541917</v>
      </c>
      <c r="M1130">
        <f t="shared" si="213"/>
        <v>-9.8999999999978172</v>
      </c>
      <c r="N1130">
        <f t="shared" si="215"/>
        <v>1750.032357541917</v>
      </c>
      <c r="O1130" s="5">
        <f t="shared" si="206"/>
        <v>1.237158193752759E-4</v>
      </c>
      <c r="P1130">
        <f t="shared" si="214"/>
        <v>10000</v>
      </c>
      <c r="Q1130">
        <f t="shared" si="207"/>
        <v>1.2371581937527589</v>
      </c>
    </row>
    <row r="1131" spans="1:17" x14ac:dyDescent="0.15">
      <c r="A1131" s="10">
        <v>45905.46875</v>
      </c>
      <c r="B1131">
        <f>COUNT(A1131:$A$1158)/(48*252)</f>
        <v>2.3148148148148147E-3</v>
      </c>
      <c r="C1131">
        <v>2.3239999999999998</v>
      </c>
      <c r="D1131">
        <v>0.128</v>
      </c>
      <c r="E1131">
        <f t="shared" si="204"/>
        <v>2.4096054484025964</v>
      </c>
      <c r="F1131">
        <f t="shared" si="205"/>
        <v>0.99201510980544316</v>
      </c>
      <c r="G1131">
        <f t="shared" si="208"/>
        <v>-5.0000000000003375E-3</v>
      </c>
      <c r="H1131">
        <f>IF(MOD(COUNTA($C$7:C1131)-1,$J$2),H1130,ROUND(F1131*P1131,-2))</f>
        <v>9900</v>
      </c>
      <c r="I1131">
        <f t="shared" si="209"/>
        <v>0</v>
      </c>
      <c r="J1131">
        <f t="shared" si="210"/>
        <v>0</v>
      </c>
      <c r="K1131">
        <f t="shared" si="211"/>
        <v>-21307.067642458085</v>
      </c>
      <c r="L1131">
        <f t="shared" si="212"/>
        <v>1700.5323575419134</v>
      </c>
      <c r="M1131">
        <f t="shared" si="213"/>
        <v>-49.500000000003638</v>
      </c>
      <c r="N1131">
        <f t="shared" si="215"/>
        <v>1700.5323575419134</v>
      </c>
      <c r="O1131" s="5">
        <f t="shared" si="206"/>
        <v>1.4159543156914631E-4</v>
      </c>
      <c r="P1131">
        <f t="shared" si="214"/>
        <v>10000</v>
      </c>
      <c r="Q1131">
        <f t="shared" si="207"/>
        <v>1.4159543156914631</v>
      </c>
    </row>
    <row r="1132" spans="1:17" x14ac:dyDescent="0.15">
      <c r="A1132" s="10">
        <v>45905.472222222015</v>
      </c>
      <c r="B1132">
        <f>COUNT(A1132:$A$1158)/(48*252)</f>
        <v>2.232142857142857E-3</v>
      </c>
      <c r="C1132">
        <v>2.3199999999999998</v>
      </c>
      <c r="D1132">
        <v>0.121</v>
      </c>
      <c r="E1132">
        <f t="shared" si="204"/>
        <v>2.3766678158329317</v>
      </c>
      <c r="F1132">
        <f t="shared" si="205"/>
        <v>0.99126509361966686</v>
      </c>
      <c r="G1132">
        <f t="shared" si="208"/>
        <v>-4.0000000000000036E-3</v>
      </c>
      <c r="H1132">
        <f>IF(MOD(COUNTA($C$7:C1132)-1,$J$2),H1131,ROUND(F1132*P1132,-2))</f>
        <v>9900</v>
      </c>
      <c r="I1132">
        <f t="shared" si="209"/>
        <v>0</v>
      </c>
      <c r="J1132">
        <f t="shared" si="210"/>
        <v>0</v>
      </c>
      <c r="K1132">
        <f t="shared" si="211"/>
        <v>-21307.067642458085</v>
      </c>
      <c r="L1132">
        <f t="shared" si="212"/>
        <v>1660.9323575419148</v>
      </c>
      <c r="M1132">
        <f t="shared" si="213"/>
        <v>-39.599999999998545</v>
      </c>
      <c r="N1132">
        <f t="shared" si="215"/>
        <v>1660.9323575419148</v>
      </c>
      <c r="O1132" s="5">
        <f t="shared" si="206"/>
        <v>1.5324789395959604E-4</v>
      </c>
      <c r="P1132">
        <f t="shared" si="214"/>
        <v>10000</v>
      </c>
      <c r="Q1132">
        <f t="shared" si="207"/>
        <v>1.5324789395959604</v>
      </c>
    </row>
    <row r="1133" spans="1:17" x14ac:dyDescent="0.15">
      <c r="A1133" s="10">
        <v>45905.475694444962</v>
      </c>
      <c r="B1133">
        <f>COUNT(A1133:$A$1158)/(48*252)</f>
        <v>2.1494708994708994E-3</v>
      </c>
      <c r="C1133">
        <v>2.3260000000000001</v>
      </c>
      <c r="D1133">
        <v>0.121</v>
      </c>
      <c r="E1133">
        <f t="shared" si="204"/>
        <v>2.5384856958723723</v>
      </c>
      <c r="F1133">
        <f t="shared" si="205"/>
        <v>0.99443333230030739</v>
      </c>
      <c r="G1133">
        <f t="shared" si="208"/>
        <v>6.0000000000002274E-3</v>
      </c>
      <c r="H1133">
        <f>IF(MOD(COUNTA($C$7:C1133)-1,$J$2),H1132,ROUND(F1133*P1133,-2))</f>
        <v>9900</v>
      </c>
      <c r="I1133">
        <f t="shared" si="209"/>
        <v>0</v>
      </c>
      <c r="J1133">
        <f t="shared" si="210"/>
        <v>0</v>
      </c>
      <c r="K1133">
        <f t="shared" si="211"/>
        <v>-21307.067642458085</v>
      </c>
      <c r="L1133">
        <f t="shared" si="212"/>
        <v>1720.3323575419163</v>
      </c>
      <c r="M1133">
        <f t="shared" si="213"/>
        <v>59.400000000001455</v>
      </c>
      <c r="N1133">
        <f t="shared" si="215"/>
        <v>1720.3323575419163</v>
      </c>
      <c r="O1133" s="5">
        <f t="shared" si="206"/>
        <v>9.1820621041453776E-5</v>
      </c>
      <c r="P1133">
        <f t="shared" si="214"/>
        <v>10000</v>
      </c>
      <c r="Q1133">
        <f t="shared" si="207"/>
        <v>0.91820621041453776</v>
      </c>
    </row>
    <row r="1134" spans="1:17" x14ac:dyDescent="0.15">
      <c r="A1134" s="10">
        <v>45905.479166666977</v>
      </c>
      <c r="B1134">
        <f>COUNT(A1134:$A$1158)/(48*252)</f>
        <v>2.0667989417989417E-3</v>
      </c>
      <c r="C1134">
        <v>2.3250000000000002</v>
      </c>
      <c r="D1134">
        <v>0.122</v>
      </c>
      <c r="E1134">
        <f t="shared" si="204"/>
        <v>2.5683318501493924</v>
      </c>
      <c r="F1134">
        <f t="shared" si="205"/>
        <v>0.99489053618176526</v>
      </c>
      <c r="G1134">
        <f t="shared" si="208"/>
        <v>-9.9999999999988987E-4</v>
      </c>
      <c r="H1134">
        <f>IF(MOD(COUNTA($C$7:C1134)-1,$J$2),H1133,ROUND(F1134*P1134,-2))</f>
        <v>9900</v>
      </c>
      <c r="I1134">
        <f t="shared" si="209"/>
        <v>0</v>
      </c>
      <c r="J1134">
        <f t="shared" si="210"/>
        <v>0</v>
      </c>
      <c r="K1134">
        <f t="shared" si="211"/>
        <v>-21307.067642458085</v>
      </c>
      <c r="L1134">
        <f t="shared" si="212"/>
        <v>1710.4323575419148</v>
      </c>
      <c r="M1134">
        <f t="shared" si="213"/>
        <v>-9.9000000000014552</v>
      </c>
      <c r="N1134">
        <f t="shared" si="215"/>
        <v>1710.4323575419148</v>
      </c>
      <c r="O1134" s="5">
        <f t="shared" si="206"/>
        <v>8.1923209800275482E-5</v>
      </c>
      <c r="P1134">
        <f t="shared" si="214"/>
        <v>10000</v>
      </c>
      <c r="Q1134">
        <f t="shared" si="207"/>
        <v>0.81923209800275476</v>
      </c>
    </row>
    <row r="1135" spans="1:17" x14ac:dyDescent="0.15">
      <c r="A1135" s="10">
        <v>45905.545138888992</v>
      </c>
      <c r="B1135">
        <f>COUNT(A1135:$A$1158)/(48*252)</f>
        <v>1.984126984126984E-3</v>
      </c>
      <c r="C1135">
        <v>2.3220000000000001</v>
      </c>
      <c r="D1135">
        <v>0.121</v>
      </c>
      <c r="E1135">
        <f t="shared" si="204"/>
        <v>2.5598165900233778</v>
      </c>
      <c r="F1135">
        <f t="shared" si="205"/>
        <v>0.9947636291040397</v>
      </c>
      <c r="G1135">
        <f t="shared" si="208"/>
        <v>-3.0000000000001137E-3</v>
      </c>
      <c r="H1135">
        <f>IF(MOD(COUNTA($C$7:C1135)-1,$J$2),H1134,ROUND(F1135*P1135,-2))</f>
        <v>9900</v>
      </c>
      <c r="I1135">
        <f t="shared" si="209"/>
        <v>0</v>
      </c>
      <c r="J1135">
        <f t="shared" si="210"/>
        <v>0</v>
      </c>
      <c r="K1135">
        <f t="shared" si="211"/>
        <v>-21307.067642458085</v>
      </c>
      <c r="L1135">
        <f t="shared" si="212"/>
        <v>1680.7323575419141</v>
      </c>
      <c r="M1135">
        <f t="shared" si="213"/>
        <v>-29.700000000000728</v>
      </c>
      <c r="N1135">
        <f t="shared" si="215"/>
        <v>1680.7323575419141</v>
      </c>
      <c r="O1135" s="5">
        <f t="shared" si="206"/>
        <v>8.2336514370087016E-5</v>
      </c>
      <c r="P1135">
        <f t="shared" si="214"/>
        <v>10000</v>
      </c>
      <c r="Q1135">
        <f t="shared" si="207"/>
        <v>0.82336514370087022</v>
      </c>
    </row>
    <row r="1136" spans="1:17" x14ac:dyDescent="0.15">
      <c r="A1136" s="10">
        <v>45905.548611111008</v>
      </c>
      <c r="B1136">
        <f>COUNT(A1136:$A$1158)/(48*252)</f>
        <v>1.9014550264550263E-3</v>
      </c>
      <c r="C1136">
        <v>2.3279999999999998</v>
      </c>
      <c r="D1136">
        <v>0.124</v>
      </c>
      <c r="E1136">
        <f t="shared" si="204"/>
        <v>2.738677374444431</v>
      </c>
      <c r="F1136">
        <f t="shared" si="205"/>
        <v>0.99691565625502288</v>
      </c>
      <c r="G1136">
        <f t="shared" si="208"/>
        <v>5.9999999999997833E-3</v>
      </c>
      <c r="H1136">
        <f>IF(MOD(COUNTA($C$7:C1136)-1,$J$2),H1135,ROUND(F1136*P1136,-2))</f>
        <v>9900</v>
      </c>
      <c r="I1136">
        <f t="shared" si="209"/>
        <v>0</v>
      </c>
      <c r="J1136">
        <f t="shared" si="210"/>
        <v>0</v>
      </c>
      <c r="K1136">
        <f t="shared" si="211"/>
        <v>-21307.067642458085</v>
      </c>
      <c r="L1136">
        <f t="shared" si="212"/>
        <v>1740.1323575419119</v>
      </c>
      <c r="M1136">
        <f t="shared" si="213"/>
        <v>59.399999999997817</v>
      </c>
      <c r="N1136">
        <f t="shared" si="215"/>
        <v>1740.1323575419119</v>
      </c>
      <c r="O1136" s="5">
        <f t="shared" si="206"/>
        <v>4.5359099460847568E-5</v>
      </c>
      <c r="P1136">
        <f t="shared" si="214"/>
        <v>10000</v>
      </c>
      <c r="Q1136">
        <f t="shared" si="207"/>
        <v>0.45359099460847568</v>
      </c>
    </row>
    <row r="1137" spans="1:17" x14ac:dyDescent="0.15">
      <c r="A1137" s="10">
        <v>45905.552083333023</v>
      </c>
      <c r="B1137">
        <f>COUNT(A1137:$A$1158)/(48*252)</f>
        <v>1.8187830687830687E-3</v>
      </c>
      <c r="C1137">
        <v>2.3290000000000002</v>
      </c>
      <c r="D1137">
        <v>0.125</v>
      </c>
      <c r="E1137">
        <f t="shared" si="204"/>
        <v>2.8208081761053974</v>
      </c>
      <c r="F1137">
        <f t="shared" si="205"/>
        <v>0.99760485811788757</v>
      </c>
      <c r="G1137">
        <f t="shared" si="208"/>
        <v>1.000000000000334E-3</v>
      </c>
      <c r="H1137">
        <f>IF(MOD(COUNTA($C$7:C1137)-1,$J$2),H1136,ROUND(F1137*P1137,-2))</f>
        <v>9900</v>
      </c>
      <c r="I1137">
        <f t="shared" si="209"/>
        <v>0</v>
      </c>
      <c r="J1137">
        <f t="shared" si="210"/>
        <v>0</v>
      </c>
      <c r="K1137">
        <f t="shared" si="211"/>
        <v>-21307.067642458085</v>
      </c>
      <c r="L1137">
        <f t="shared" si="212"/>
        <v>1750.032357541917</v>
      </c>
      <c r="M1137">
        <f t="shared" si="213"/>
        <v>9.9000000000050932</v>
      </c>
      <c r="N1137">
        <f t="shared" si="215"/>
        <v>1750.032357541917</v>
      </c>
      <c r="O1137" s="5">
        <f t="shared" si="206"/>
        <v>3.3726760588826711E-5</v>
      </c>
      <c r="P1137">
        <f t="shared" si="214"/>
        <v>10000</v>
      </c>
      <c r="Q1137">
        <f t="shared" si="207"/>
        <v>0.3372676058882671</v>
      </c>
    </row>
    <row r="1138" spans="1:17" x14ac:dyDescent="0.15">
      <c r="A1138" s="10">
        <v>45905.555555555969</v>
      </c>
      <c r="B1138">
        <f>COUNT(A1138:$A$1158)/(48*252)</f>
        <v>1.736111111111111E-3</v>
      </c>
      <c r="C1138">
        <v>2.3319999999999999</v>
      </c>
      <c r="D1138">
        <v>0.126</v>
      </c>
      <c r="E1138">
        <f t="shared" si="204"/>
        <v>2.9515200560354007</v>
      </c>
      <c r="F1138">
        <f t="shared" si="205"/>
        <v>0.99841892995158632</v>
      </c>
      <c r="G1138">
        <f t="shared" si="208"/>
        <v>2.9999999999996696E-3</v>
      </c>
      <c r="H1138">
        <f>IF(MOD(COUNTA($C$7:C1138)-1,$J$2),H1137,ROUND(F1138*P1138,-2))</f>
        <v>9900</v>
      </c>
      <c r="I1138">
        <f t="shared" si="209"/>
        <v>0</v>
      </c>
      <c r="J1138">
        <f t="shared" si="210"/>
        <v>0</v>
      </c>
      <c r="K1138">
        <f t="shared" si="211"/>
        <v>-21307.067642458085</v>
      </c>
      <c r="L1138">
        <f t="shared" si="212"/>
        <v>1779.7323575419141</v>
      </c>
      <c r="M1138">
        <f t="shared" si="213"/>
        <v>29.69999999999709</v>
      </c>
      <c r="N1138">
        <f t="shared" si="215"/>
        <v>1779.7323575419141</v>
      </c>
      <c r="O1138" s="5">
        <f t="shared" si="206"/>
        <v>2.1059742632828851E-5</v>
      </c>
      <c r="P1138">
        <f t="shared" si="214"/>
        <v>10000</v>
      </c>
      <c r="Q1138">
        <f t="shared" si="207"/>
        <v>0.21059742632828851</v>
      </c>
    </row>
    <row r="1139" spans="1:17" x14ac:dyDescent="0.15">
      <c r="A1139" s="10">
        <v>45905.559027777985</v>
      </c>
      <c r="B1139">
        <f>COUNT(A1139:$A$1158)/(48*252)</f>
        <v>1.6534391534391533E-3</v>
      </c>
      <c r="C1139">
        <v>2.3340000000000001</v>
      </c>
      <c r="D1139">
        <v>0.128</v>
      </c>
      <c r="E1139">
        <f t="shared" si="204"/>
        <v>3.0681029029371087</v>
      </c>
      <c r="F1139">
        <f t="shared" si="205"/>
        <v>0.99892288788428996</v>
      </c>
      <c r="G1139">
        <f t="shared" si="208"/>
        <v>2.0000000000002238E-3</v>
      </c>
      <c r="H1139">
        <f>IF(MOD(COUNTA($C$7:C1139)-1,$J$2),H1138,ROUND(F1139*P1139,-2))</f>
        <v>9900</v>
      </c>
      <c r="I1139">
        <f t="shared" si="209"/>
        <v>0</v>
      </c>
      <c r="J1139">
        <f t="shared" si="210"/>
        <v>0</v>
      </c>
      <c r="K1139">
        <f t="shared" si="211"/>
        <v>-21307.067642458085</v>
      </c>
      <c r="L1139">
        <f t="shared" si="212"/>
        <v>1799.532357541917</v>
      </c>
      <c r="M1139">
        <f t="shared" si="213"/>
        <v>19.80000000000291</v>
      </c>
      <c r="N1139">
        <f t="shared" si="215"/>
        <v>1799.532357541917</v>
      </c>
      <c r="O1139" s="5">
        <f t="shared" si="206"/>
        <v>1.3609131739340287E-5</v>
      </c>
      <c r="P1139">
        <f t="shared" si="214"/>
        <v>10000</v>
      </c>
      <c r="Q1139">
        <f t="shared" si="207"/>
        <v>0.13609131739340286</v>
      </c>
    </row>
    <row r="1140" spans="1:17" x14ac:dyDescent="0.15">
      <c r="A1140" s="10">
        <v>45905.5625</v>
      </c>
      <c r="B1140">
        <f>COUNT(A1140:$A$1158)/(48*252)</f>
        <v>1.5707671957671957E-3</v>
      </c>
      <c r="C1140">
        <v>2.3279999999999998</v>
      </c>
      <c r="D1140">
        <v>0.124</v>
      </c>
      <c r="E1140">
        <f t="shared" si="204"/>
        <v>3.0106890640656996</v>
      </c>
      <c r="F1140">
        <f t="shared" si="205"/>
        <v>0.99869672190499381</v>
      </c>
      <c r="G1140">
        <f t="shared" si="208"/>
        <v>-6.0000000000002274E-3</v>
      </c>
      <c r="H1140">
        <f>IF(MOD(COUNTA($C$7:C1140)-1,$J$2),H1139,ROUND(F1140*P1140,-2))</f>
        <v>9900</v>
      </c>
      <c r="I1140">
        <f t="shared" si="209"/>
        <v>0</v>
      </c>
      <c r="J1140">
        <f t="shared" si="210"/>
        <v>0</v>
      </c>
      <c r="K1140">
        <f t="shared" si="211"/>
        <v>-21307.067642458085</v>
      </c>
      <c r="L1140">
        <f t="shared" si="212"/>
        <v>1740.1323575419119</v>
      </c>
      <c r="M1140">
        <f t="shared" si="213"/>
        <v>-59.400000000005093</v>
      </c>
      <c r="N1140">
        <f t="shared" si="215"/>
        <v>1740.1323575419119</v>
      </c>
      <c r="O1140" s="5">
        <f t="shared" si="206"/>
        <v>1.6236376663162234E-5</v>
      </c>
      <c r="P1140">
        <f t="shared" si="214"/>
        <v>10000</v>
      </c>
      <c r="Q1140">
        <f t="shared" si="207"/>
        <v>0.16236376663162233</v>
      </c>
    </row>
    <row r="1141" spans="1:17" x14ac:dyDescent="0.15">
      <c r="A1141" s="10">
        <v>45905.565972222015</v>
      </c>
      <c r="B1141">
        <f>COUNT(A1141:$A$1158)/(48*252)</f>
        <v>1.488095238095238E-3</v>
      </c>
      <c r="C1141">
        <v>2.3239999999999998</v>
      </c>
      <c r="D1141">
        <v>0.124</v>
      </c>
      <c r="E1141">
        <f t="shared" si="204"/>
        <v>2.9988560727049816</v>
      </c>
      <c r="F1141">
        <f t="shared" si="205"/>
        <v>0.99864502354807949</v>
      </c>
      <c r="G1141">
        <f t="shared" si="208"/>
        <v>-4.0000000000000036E-3</v>
      </c>
      <c r="H1141">
        <f>IF(MOD(COUNTA($C$7:C1141)-1,$J$2),H1140,ROUND(F1141*P1141,-2))</f>
        <v>10000</v>
      </c>
      <c r="I1141">
        <f t="shared" si="209"/>
        <v>100</v>
      </c>
      <c r="J1141">
        <f t="shared" si="210"/>
        <v>0</v>
      </c>
      <c r="K1141">
        <f t="shared" si="211"/>
        <v>-21539.478100458087</v>
      </c>
      <c r="L1141">
        <f t="shared" si="212"/>
        <v>1700.5218995419127</v>
      </c>
      <c r="M1141">
        <f t="shared" si="213"/>
        <v>-39.610457999999198</v>
      </c>
      <c r="N1141">
        <f t="shared" si="215"/>
        <v>1700.5218995419127</v>
      </c>
      <c r="O1141" s="5">
        <f t="shared" si="206"/>
        <v>1.6448390158720072E-5</v>
      </c>
      <c r="P1141">
        <f t="shared" si="214"/>
        <v>10000</v>
      </c>
      <c r="Q1141">
        <f t="shared" si="207"/>
        <v>0.16448390158720072</v>
      </c>
    </row>
    <row r="1142" spans="1:17" x14ac:dyDescent="0.15">
      <c r="A1142" s="10">
        <v>45905.569444444962</v>
      </c>
      <c r="B1142">
        <f>COUNT(A1142:$A$1158)/(48*252)</f>
        <v>1.4054232804232803E-3</v>
      </c>
      <c r="C1142">
        <v>2.3220000000000001</v>
      </c>
      <c r="D1142">
        <v>0.123</v>
      </c>
      <c r="E1142">
        <f t="shared" si="204"/>
        <v>3.0368694781397605</v>
      </c>
      <c r="F1142">
        <f t="shared" si="205"/>
        <v>0.9988047552927547</v>
      </c>
      <c r="G1142">
        <f t="shared" si="208"/>
        <v>-1.9999999999997797E-3</v>
      </c>
      <c r="H1142">
        <f>IF(MOD(COUNTA($C$7:C1142)-1,$J$2),H1141,ROUND(F1142*P1142,-2))</f>
        <v>10000</v>
      </c>
      <c r="I1142">
        <f t="shared" si="209"/>
        <v>0</v>
      </c>
      <c r="J1142">
        <f t="shared" si="210"/>
        <v>0</v>
      </c>
      <c r="K1142">
        <f t="shared" si="211"/>
        <v>-21539.478100458087</v>
      </c>
      <c r="L1142">
        <f t="shared" si="212"/>
        <v>1680.5218995419127</v>
      </c>
      <c r="M1142">
        <f t="shared" si="213"/>
        <v>-20</v>
      </c>
      <c r="N1142">
        <f t="shared" si="215"/>
        <v>1680.5218995419127</v>
      </c>
      <c r="O1142" s="5">
        <f t="shared" si="206"/>
        <v>1.395355563389624E-5</v>
      </c>
      <c r="P1142">
        <f t="shared" si="214"/>
        <v>10000</v>
      </c>
      <c r="Q1142">
        <f t="shared" si="207"/>
        <v>0.13953555633896242</v>
      </c>
    </row>
    <row r="1143" spans="1:17" x14ac:dyDescent="0.15">
      <c r="A1143" s="10">
        <v>45905.572916666977</v>
      </c>
      <c r="B1143">
        <f>COUNT(A1143:$A$1158)/(48*252)</f>
        <v>1.3227513227513227E-3</v>
      </c>
      <c r="C1143">
        <v>2.3239999999999998</v>
      </c>
      <c r="D1143">
        <v>0.123</v>
      </c>
      <c r="E1143">
        <f t="shared" si="204"/>
        <v>3.179398959235916</v>
      </c>
      <c r="F1143">
        <f t="shared" si="205"/>
        <v>0.99926209594324811</v>
      </c>
      <c r="G1143">
        <f t="shared" si="208"/>
        <v>1.9999999999997797E-3</v>
      </c>
      <c r="H1143">
        <f>IF(MOD(COUNTA($C$7:C1143)-1,$J$2),H1142,ROUND(F1143*P1143,-2))</f>
        <v>10000</v>
      </c>
      <c r="I1143">
        <f t="shared" si="209"/>
        <v>0</v>
      </c>
      <c r="J1143">
        <f t="shared" si="210"/>
        <v>0</v>
      </c>
      <c r="K1143">
        <f t="shared" si="211"/>
        <v>-21539.478100458087</v>
      </c>
      <c r="L1143">
        <f t="shared" si="212"/>
        <v>1700.5218995419127</v>
      </c>
      <c r="M1143">
        <f t="shared" si="213"/>
        <v>20</v>
      </c>
      <c r="N1143">
        <f t="shared" si="215"/>
        <v>1700.5218995419127</v>
      </c>
      <c r="O1143" s="5">
        <f t="shared" si="206"/>
        <v>8.0762325939702159E-6</v>
      </c>
      <c r="P1143">
        <f t="shared" si="214"/>
        <v>10000</v>
      </c>
      <c r="Q1143">
        <f t="shared" si="207"/>
        <v>8.0762325939702159E-2</v>
      </c>
    </row>
    <row r="1144" spans="1:17" x14ac:dyDescent="0.15">
      <c r="A1144" s="10">
        <v>45905.576388888992</v>
      </c>
      <c r="B1144">
        <f>COUNT(A1144:$A$1158)/(48*252)</f>
        <v>1.240079365079365E-3</v>
      </c>
      <c r="C1144">
        <v>2.3290000000000002</v>
      </c>
      <c r="D1144">
        <v>0.123</v>
      </c>
      <c r="E1144">
        <f t="shared" si="204"/>
        <v>3.4112224638994508</v>
      </c>
      <c r="F1144">
        <f t="shared" si="205"/>
        <v>0.99967663848772215</v>
      </c>
      <c r="G1144">
        <f t="shared" si="208"/>
        <v>5.0000000000003375E-3</v>
      </c>
      <c r="H1144">
        <f>IF(MOD(COUNTA($C$7:C1144)-1,$J$2),H1143,ROUND(F1144*P1144,-2))</f>
        <v>10000</v>
      </c>
      <c r="I1144">
        <f t="shared" si="209"/>
        <v>0</v>
      </c>
      <c r="J1144">
        <f t="shared" si="210"/>
        <v>0</v>
      </c>
      <c r="K1144">
        <f t="shared" si="211"/>
        <v>-21539.478100458087</v>
      </c>
      <c r="L1144">
        <f t="shared" si="212"/>
        <v>1750.5218995419127</v>
      </c>
      <c r="M1144">
        <f t="shared" si="213"/>
        <v>50</v>
      </c>
      <c r="N1144">
        <f t="shared" si="215"/>
        <v>1750.5218995419127</v>
      </c>
      <c r="O1144" s="5">
        <f t="shared" si="206"/>
        <v>3.2505991961237057E-6</v>
      </c>
      <c r="P1144">
        <f t="shared" si="214"/>
        <v>10000</v>
      </c>
      <c r="Q1144">
        <f t="shared" si="207"/>
        <v>3.250599196123706E-2</v>
      </c>
    </row>
    <row r="1145" spans="1:17" x14ac:dyDescent="0.15">
      <c r="A1145" s="10">
        <v>45905.579861111008</v>
      </c>
      <c r="B1145">
        <f>COUNT(A1145:$A$1158)/(48*252)</f>
        <v>1.1574074074074073E-3</v>
      </c>
      <c r="C1145">
        <v>2.327</v>
      </c>
      <c r="D1145">
        <v>0.122</v>
      </c>
      <c r="E1145">
        <f t="shared" si="204"/>
        <v>3.4771489453617108</v>
      </c>
      <c r="F1145">
        <f t="shared" si="205"/>
        <v>0.99974661189573377</v>
      </c>
      <c r="G1145">
        <f t="shared" si="208"/>
        <v>-2.0000000000002238E-3</v>
      </c>
      <c r="H1145">
        <f>IF(MOD(COUNTA($C$7:C1145)-1,$J$2),H1144,ROUND(F1145*P1145,-2))</f>
        <v>10000</v>
      </c>
      <c r="I1145">
        <f t="shared" si="209"/>
        <v>0</v>
      </c>
      <c r="J1145">
        <f t="shared" si="210"/>
        <v>0</v>
      </c>
      <c r="K1145">
        <f t="shared" si="211"/>
        <v>-21539.478100458087</v>
      </c>
      <c r="L1145">
        <f t="shared" si="212"/>
        <v>1730.5218995419127</v>
      </c>
      <c r="M1145">
        <f t="shared" si="213"/>
        <v>-20</v>
      </c>
      <c r="N1145">
        <f t="shared" si="215"/>
        <v>1730.5218995419127</v>
      </c>
      <c r="O1145" s="5">
        <f t="shared" si="206"/>
        <v>2.421422130969241E-6</v>
      </c>
      <c r="P1145">
        <f t="shared" si="214"/>
        <v>10000</v>
      </c>
      <c r="Q1145">
        <f t="shared" si="207"/>
        <v>2.4214221309692412E-2</v>
      </c>
    </row>
    <row r="1146" spans="1:17" x14ac:dyDescent="0.15">
      <c r="A1146" s="10">
        <v>45905.583333333023</v>
      </c>
      <c r="B1146">
        <f>COUNT(A1146:$A$1158)/(48*252)</f>
        <v>1.0747354497354497E-3</v>
      </c>
      <c r="C1146">
        <v>2.33</v>
      </c>
      <c r="D1146">
        <v>0.122</v>
      </c>
      <c r="E1146">
        <f t="shared" si="204"/>
        <v>3.6902419432262086</v>
      </c>
      <c r="F1146">
        <f t="shared" si="205"/>
        <v>0.99988797956761855</v>
      </c>
      <c r="G1146">
        <f t="shared" si="208"/>
        <v>3.0000000000001137E-3</v>
      </c>
      <c r="H1146">
        <f>IF(MOD(COUNTA($C$7:C1146)-1,$J$2),H1145,ROUND(F1146*P1146,-2))</f>
        <v>10000</v>
      </c>
      <c r="I1146">
        <f t="shared" si="209"/>
        <v>0</v>
      </c>
      <c r="J1146">
        <f t="shared" si="210"/>
        <v>0</v>
      </c>
      <c r="K1146">
        <f t="shared" si="211"/>
        <v>-21539.478100458087</v>
      </c>
      <c r="L1146">
        <f t="shared" si="212"/>
        <v>1760.5218995419127</v>
      </c>
      <c r="M1146">
        <f t="shared" si="213"/>
        <v>30</v>
      </c>
      <c r="N1146">
        <f t="shared" si="215"/>
        <v>1760.5218995419127</v>
      </c>
      <c r="O1146" s="5">
        <f t="shared" si="206"/>
        <v>9.8464391723180732E-7</v>
      </c>
      <c r="P1146">
        <f t="shared" si="214"/>
        <v>10000</v>
      </c>
      <c r="Q1146">
        <f t="shared" si="207"/>
        <v>9.8464391723180732E-3</v>
      </c>
    </row>
    <row r="1147" spans="1:17" x14ac:dyDescent="0.15">
      <c r="A1147" s="10">
        <v>45905.586805555969</v>
      </c>
      <c r="B1147">
        <f>COUNT(A1147:$A$1158)/(48*252)</f>
        <v>9.9206349206349201E-4</v>
      </c>
      <c r="C1147">
        <v>2.3260000000000001</v>
      </c>
      <c r="D1147">
        <v>0.11899999999999999</v>
      </c>
      <c r="E1147">
        <f t="shared" si="204"/>
        <v>3.7254904354794767</v>
      </c>
      <c r="F1147">
        <f t="shared" si="205"/>
        <v>0.99990253207777091</v>
      </c>
      <c r="G1147">
        <f t="shared" si="208"/>
        <v>-4.0000000000000036E-3</v>
      </c>
      <c r="H1147">
        <f>IF(MOD(COUNTA($C$7:C1147)-1,$J$2),H1146,ROUND(F1147*P1147,-2))</f>
        <v>10000</v>
      </c>
      <c r="I1147">
        <f t="shared" si="209"/>
        <v>0</v>
      </c>
      <c r="J1147">
        <f t="shared" si="210"/>
        <v>0</v>
      </c>
      <c r="K1147">
        <f t="shared" si="211"/>
        <v>-21539.478100458087</v>
      </c>
      <c r="L1147">
        <f t="shared" si="212"/>
        <v>1720.5218995419127</v>
      </c>
      <c r="M1147">
        <f t="shared" si="213"/>
        <v>-40</v>
      </c>
      <c r="N1147">
        <f t="shared" si="215"/>
        <v>1720.5218995419127</v>
      </c>
      <c r="O1147" s="5">
        <f t="shared" si="206"/>
        <v>8.1528192729114876E-7</v>
      </c>
      <c r="P1147">
        <f t="shared" si="214"/>
        <v>10000</v>
      </c>
      <c r="Q1147">
        <f t="shared" si="207"/>
        <v>8.1528192729114872E-3</v>
      </c>
    </row>
    <row r="1148" spans="1:17" x14ac:dyDescent="0.15">
      <c r="A1148" s="10">
        <v>45905.590277777985</v>
      </c>
      <c r="B1148">
        <f>COUNT(A1148:$A$1158)/(48*252)</f>
        <v>9.0939153439153434E-4</v>
      </c>
      <c r="C1148">
        <v>2.3260000000000001</v>
      </c>
      <c r="D1148">
        <v>0.11899999999999999</v>
      </c>
      <c r="E1148">
        <f t="shared" si="204"/>
        <v>3.8903227752143379</v>
      </c>
      <c r="F1148">
        <f t="shared" si="205"/>
        <v>0.99994994451502073</v>
      </c>
      <c r="G1148">
        <f t="shared" si="208"/>
        <v>0</v>
      </c>
      <c r="H1148">
        <f>IF(MOD(COUNTA($C$7:C1148)-1,$J$2),H1147,ROUND(F1148*P1148,-2))</f>
        <v>10000</v>
      </c>
      <c r="I1148">
        <f t="shared" si="209"/>
        <v>0</v>
      </c>
      <c r="J1148">
        <f t="shared" si="210"/>
        <v>0</v>
      </c>
      <c r="K1148">
        <f t="shared" si="211"/>
        <v>-21539.478100458087</v>
      </c>
      <c r="L1148">
        <f t="shared" si="212"/>
        <v>1720.5218995419127</v>
      </c>
      <c r="M1148">
        <f t="shared" si="213"/>
        <v>0</v>
      </c>
      <c r="N1148">
        <f t="shared" si="215"/>
        <v>1720.5218995419127</v>
      </c>
      <c r="O1148" s="5">
        <f t="shared" si="206"/>
        <v>3.8687410415272653E-7</v>
      </c>
      <c r="P1148">
        <f t="shared" si="214"/>
        <v>10000</v>
      </c>
      <c r="Q1148">
        <f t="shared" si="207"/>
        <v>3.8687410415272653E-3</v>
      </c>
    </row>
    <row r="1149" spans="1:17" x14ac:dyDescent="0.15">
      <c r="A1149" s="10">
        <v>45905.59375</v>
      </c>
      <c r="B1149">
        <f>COUNT(A1149:$A$1158)/(48*252)</f>
        <v>8.2671957671957667E-4</v>
      </c>
      <c r="C1149">
        <v>2.3250000000000002</v>
      </c>
      <c r="D1149">
        <v>0.12</v>
      </c>
      <c r="E1149">
        <f t="shared" si="204"/>
        <v>4.0479089715974164</v>
      </c>
      <c r="F1149">
        <f t="shared" si="205"/>
        <v>0.99997416138231876</v>
      </c>
      <c r="G1149">
        <f t="shared" si="208"/>
        <v>-9.9999999999988987E-4</v>
      </c>
      <c r="H1149">
        <f>IF(MOD(COUNTA($C$7:C1149)-1,$J$2),H1148,ROUND(F1149*P1149,-2))</f>
        <v>10000</v>
      </c>
      <c r="I1149">
        <f t="shared" si="209"/>
        <v>0</v>
      </c>
      <c r="J1149">
        <f t="shared" si="210"/>
        <v>0</v>
      </c>
      <c r="K1149">
        <f t="shared" si="211"/>
        <v>-21539.478100458087</v>
      </c>
      <c r="L1149">
        <f t="shared" si="212"/>
        <v>1710.5218995419127</v>
      </c>
      <c r="M1149">
        <f t="shared" si="213"/>
        <v>-10</v>
      </c>
      <c r="N1149">
        <f t="shared" si="215"/>
        <v>1710.5218995419127</v>
      </c>
      <c r="O1149" s="5">
        <f t="shared" si="206"/>
        <v>1.841468070970951E-7</v>
      </c>
      <c r="P1149">
        <f t="shared" si="214"/>
        <v>10000</v>
      </c>
      <c r="Q1149">
        <f t="shared" si="207"/>
        <v>1.8414680709709511E-3</v>
      </c>
    </row>
    <row r="1150" spans="1:17" x14ac:dyDescent="0.15">
      <c r="A1150" s="10">
        <v>45905.597222222015</v>
      </c>
      <c r="B1150">
        <f>COUNT(A1150:$A$1158)/(48*252)</f>
        <v>7.4404761904761901E-4</v>
      </c>
      <c r="C1150">
        <v>2.3250000000000002</v>
      </c>
      <c r="D1150">
        <v>0.123</v>
      </c>
      <c r="E1150">
        <f t="shared" si="204"/>
        <v>4.2659585451043496</v>
      </c>
      <c r="F1150">
        <f t="shared" si="205"/>
        <v>0.99999004771299405</v>
      </c>
      <c r="G1150">
        <f t="shared" si="208"/>
        <v>0</v>
      </c>
      <c r="H1150">
        <f>IF(MOD(COUNTA($C$7:C1150)-1,$J$2),H1149,ROUND(F1150*P1150,-2))</f>
        <v>10000</v>
      </c>
      <c r="I1150">
        <f t="shared" si="209"/>
        <v>0</v>
      </c>
      <c r="J1150">
        <f t="shared" si="210"/>
        <v>0</v>
      </c>
      <c r="K1150">
        <f t="shared" si="211"/>
        <v>-21539.478100458087</v>
      </c>
      <c r="L1150">
        <f t="shared" si="212"/>
        <v>1710.5218995419127</v>
      </c>
      <c r="M1150">
        <f t="shared" si="213"/>
        <v>0</v>
      </c>
      <c r="N1150">
        <f t="shared" si="215"/>
        <v>1710.5218995419127</v>
      </c>
      <c r="O1150" s="5">
        <f t="shared" si="206"/>
        <v>6.4381388973877405E-8</v>
      </c>
      <c r="P1150">
        <f t="shared" si="214"/>
        <v>10000</v>
      </c>
      <c r="Q1150">
        <f t="shared" si="207"/>
        <v>6.43813889738774E-4</v>
      </c>
    </row>
    <row r="1151" spans="1:17" x14ac:dyDescent="0.15">
      <c r="A1151" s="10">
        <v>45905.600694444962</v>
      </c>
      <c r="B1151">
        <f>COUNT(A1151:$A$1158)/(48*252)</f>
        <v>6.6137566137566134E-4</v>
      </c>
      <c r="C1151">
        <v>2.3279999999999998</v>
      </c>
      <c r="D1151">
        <v>0.121</v>
      </c>
      <c r="E1151">
        <f t="shared" si="204"/>
        <v>4.6291410623667888</v>
      </c>
      <c r="F1151">
        <f t="shared" si="205"/>
        <v>0.99999816407206765</v>
      </c>
      <c r="G1151">
        <f t="shared" si="208"/>
        <v>2.9999999999996696E-3</v>
      </c>
      <c r="H1151">
        <f>IF(MOD(COUNTA($C$7:C1151)-1,$J$2),H1150,ROUND(F1151*P1151,-2))</f>
        <v>10000</v>
      </c>
      <c r="I1151">
        <f t="shared" si="209"/>
        <v>0</v>
      </c>
      <c r="J1151">
        <f t="shared" si="210"/>
        <v>0</v>
      </c>
      <c r="K1151">
        <f t="shared" si="211"/>
        <v>-21539.478100458087</v>
      </c>
      <c r="L1151">
        <f t="shared" si="212"/>
        <v>1740.5218995419127</v>
      </c>
      <c r="M1151">
        <f t="shared" si="213"/>
        <v>30</v>
      </c>
      <c r="N1151">
        <f t="shared" si="215"/>
        <v>1740.5218995419127</v>
      </c>
      <c r="O1151" s="5">
        <f t="shared" si="206"/>
        <v>1.0454615641736251E-8</v>
      </c>
      <c r="P1151">
        <f t="shared" si="214"/>
        <v>10000</v>
      </c>
      <c r="Q1151">
        <f t="shared" si="207"/>
        <v>1.0454615641736251E-4</v>
      </c>
    </row>
    <row r="1152" spans="1:17" x14ac:dyDescent="0.15">
      <c r="A1152" s="10">
        <v>45905.604166666977</v>
      </c>
      <c r="B1152">
        <f>COUNT(A1152:$A$1158)/(48*252)</f>
        <v>5.7870370370370367E-4</v>
      </c>
      <c r="C1152">
        <v>2.3250000000000002</v>
      </c>
      <c r="D1152">
        <v>0.11899999999999999</v>
      </c>
      <c r="E1152">
        <f t="shared" si="204"/>
        <v>4.8350737387469858</v>
      </c>
      <c r="F1152">
        <f t="shared" si="205"/>
        <v>0.99999933451855771</v>
      </c>
      <c r="G1152">
        <f t="shared" si="208"/>
        <v>-2.9999999999996696E-3</v>
      </c>
      <c r="H1152">
        <f>IF(MOD(COUNTA($C$7:C1152)-1,$J$2),H1151,ROUND(F1152*P1152,-2))</f>
        <v>10000</v>
      </c>
      <c r="I1152">
        <f t="shared" si="209"/>
        <v>0</v>
      </c>
      <c r="J1152">
        <f t="shared" si="210"/>
        <v>0</v>
      </c>
      <c r="K1152">
        <f t="shared" si="211"/>
        <v>-21539.478100458087</v>
      </c>
      <c r="L1152">
        <f t="shared" si="212"/>
        <v>1710.5218995419127</v>
      </c>
      <c r="M1152">
        <f t="shared" si="213"/>
        <v>-30</v>
      </c>
      <c r="N1152">
        <f t="shared" si="215"/>
        <v>1710.5218995419127</v>
      </c>
      <c r="O1152" s="5">
        <f t="shared" si="206"/>
        <v>3.4085755320384617E-9</v>
      </c>
      <c r="P1152">
        <f t="shared" si="214"/>
        <v>10000</v>
      </c>
      <c r="Q1152">
        <f t="shared" si="207"/>
        <v>3.4085755320384617E-5</v>
      </c>
    </row>
    <row r="1153" spans="1:17" x14ac:dyDescent="0.15">
      <c r="A1153" s="10">
        <v>45905.607638888992</v>
      </c>
      <c r="B1153">
        <f>COUNT(A1153:$A$1158)/(48*252)</f>
        <v>4.96031746031746E-4</v>
      </c>
      <c r="C1153">
        <v>2.3250000000000002</v>
      </c>
      <c r="D1153">
        <v>0.12</v>
      </c>
      <c r="E1153">
        <f t="shared" si="204"/>
        <v>5.2213593647823222</v>
      </c>
      <c r="F1153">
        <f t="shared" si="205"/>
        <v>0.999999911192756</v>
      </c>
      <c r="G1153">
        <f t="shared" si="208"/>
        <v>0</v>
      </c>
      <c r="H1153">
        <f>IF(MOD(COUNTA($C$7:C1153)-1,$J$2),H1152,ROUND(F1153*P1153,-2))</f>
        <v>10000</v>
      </c>
      <c r="I1153">
        <f t="shared" si="209"/>
        <v>0</v>
      </c>
      <c r="J1153">
        <f t="shared" si="210"/>
        <v>0</v>
      </c>
      <c r="K1153">
        <f t="shared" si="211"/>
        <v>-21539.478100458087</v>
      </c>
      <c r="L1153">
        <f t="shared" si="212"/>
        <v>1710.5218995419127</v>
      </c>
      <c r="M1153">
        <f t="shared" si="213"/>
        <v>0</v>
      </c>
      <c r="N1153">
        <f t="shared" si="215"/>
        <v>1710.5218995419127</v>
      </c>
      <c r="O1153" s="5">
        <f t="shared" si="206"/>
        <v>3.9355057662988694E-10</v>
      </c>
      <c r="P1153">
        <f t="shared" si="214"/>
        <v>10000</v>
      </c>
      <c r="Q1153">
        <f t="shared" si="207"/>
        <v>3.9355057662988694E-6</v>
      </c>
    </row>
    <row r="1154" spans="1:17" x14ac:dyDescent="0.15">
      <c r="A1154" s="10">
        <v>45905.611111111008</v>
      </c>
      <c r="B1154">
        <f>COUNT(A1154:$A$1158)/(48*252)</f>
        <v>4.1335978835978834E-4</v>
      </c>
      <c r="C1154">
        <v>2.319</v>
      </c>
      <c r="D1154">
        <v>0.112</v>
      </c>
      <c r="E1154">
        <f t="shared" si="204"/>
        <v>5.4513889579708481</v>
      </c>
      <c r="F1154">
        <f t="shared" si="205"/>
        <v>0.99999997501103777</v>
      </c>
      <c r="G1154">
        <f t="shared" si="208"/>
        <v>-6.0000000000002274E-3</v>
      </c>
      <c r="H1154">
        <f>IF(MOD(COUNTA($C$7:C1154)-1,$J$2),H1153,ROUND(F1154*P1154,-2))</f>
        <v>10000</v>
      </c>
      <c r="I1154">
        <f t="shared" si="209"/>
        <v>0</v>
      </c>
      <c r="J1154">
        <f t="shared" si="210"/>
        <v>0</v>
      </c>
      <c r="K1154">
        <f t="shared" si="211"/>
        <v>-21539.478100458087</v>
      </c>
      <c r="L1154">
        <f t="shared" si="212"/>
        <v>1650.5218995419127</v>
      </c>
      <c r="M1154">
        <f t="shared" si="213"/>
        <v>-60</v>
      </c>
      <c r="N1154">
        <f t="shared" si="215"/>
        <v>1650.5218995419127</v>
      </c>
      <c r="O1154" s="5">
        <f t="shared" si="206"/>
        <v>9.701810777766658E-11</v>
      </c>
      <c r="P1154">
        <f t="shared" si="214"/>
        <v>10000</v>
      </c>
      <c r="Q1154">
        <f t="shared" si="207"/>
        <v>9.701810777766658E-7</v>
      </c>
    </row>
    <row r="1155" spans="1:17" x14ac:dyDescent="0.15">
      <c r="A1155" s="10">
        <v>45905.614583333023</v>
      </c>
      <c r="B1155">
        <f>COUNT(A1155:$A$1158)/(48*252)</f>
        <v>3.3068783068783067E-4</v>
      </c>
      <c r="C1155">
        <v>2.3199999999999998</v>
      </c>
      <c r="D1155">
        <v>0.112</v>
      </c>
      <c r="E1155">
        <f t="shared" si="204"/>
        <v>6.1432946410114573</v>
      </c>
      <c r="F1155">
        <f t="shared" si="205"/>
        <v>0.99999999959586428</v>
      </c>
      <c r="G1155">
        <f t="shared" si="208"/>
        <v>9.9999999999988987E-4</v>
      </c>
      <c r="H1155">
        <f>IF(MOD(COUNTA($C$7:C1155)-1,$J$2),H1154,ROUND(F1155*P1155,-2))</f>
        <v>10000</v>
      </c>
      <c r="I1155">
        <f t="shared" si="209"/>
        <v>0</v>
      </c>
      <c r="J1155">
        <f t="shared" si="210"/>
        <v>0</v>
      </c>
      <c r="K1155">
        <f t="shared" si="211"/>
        <v>-21539.478100458087</v>
      </c>
      <c r="L1155">
        <f t="shared" si="212"/>
        <v>1660.5218995419127</v>
      </c>
      <c r="M1155">
        <f t="shared" si="213"/>
        <v>10</v>
      </c>
      <c r="N1155">
        <f t="shared" si="215"/>
        <v>1660.5218995419127</v>
      </c>
      <c r="O1155" s="5">
        <f t="shared" si="206"/>
        <v>1.2600888365359766E-12</v>
      </c>
      <c r="P1155">
        <f t="shared" si="214"/>
        <v>10000</v>
      </c>
      <c r="Q1155">
        <f t="shared" si="207"/>
        <v>1.2600888365359766E-8</v>
      </c>
    </row>
    <row r="1156" spans="1:17" x14ac:dyDescent="0.15">
      <c r="A1156" s="10">
        <v>45905.618055555969</v>
      </c>
      <c r="B1156">
        <f>COUNT(A1156:$A$1158)/(48*252)</f>
        <v>2.48015873015873E-4</v>
      </c>
      <c r="C1156">
        <v>2.3130000000000002</v>
      </c>
      <c r="D1156">
        <v>0.104</v>
      </c>
      <c r="E1156">
        <f t="shared" si="204"/>
        <v>6.6888353038838027</v>
      </c>
      <c r="F1156">
        <f t="shared" si="205"/>
        <v>0.99999999998875233</v>
      </c>
      <c r="G1156">
        <f t="shared" si="208"/>
        <v>-6.9999999999996732E-3</v>
      </c>
      <c r="H1156">
        <f>IF(MOD(COUNTA($C$7:C1156)-1,$J$2),H1155,ROUND(F1156*P1156,-2))</f>
        <v>10000</v>
      </c>
      <c r="I1156">
        <f t="shared" si="209"/>
        <v>0</v>
      </c>
      <c r="J1156">
        <f t="shared" si="210"/>
        <v>0</v>
      </c>
      <c r="K1156">
        <f t="shared" si="211"/>
        <v>-21539.478100458087</v>
      </c>
      <c r="L1156">
        <f t="shared" si="212"/>
        <v>1590.5218995419127</v>
      </c>
      <c r="M1156">
        <f t="shared" si="213"/>
        <v>-70</v>
      </c>
      <c r="N1156">
        <f t="shared" si="215"/>
        <v>1590.5218995419127</v>
      </c>
      <c r="O1156" s="5">
        <f t="shared" si="206"/>
        <v>2.7998313979711124E-14</v>
      </c>
      <c r="P1156">
        <f t="shared" si="214"/>
        <v>10000</v>
      </c>
      <c r="Q1156">
        <f t="shared" si="207"/>
        <v>2.7998313979711124E-10</v>
      </c>
    </row>
    <row r="1157" spans="1:17" x14ac:dyDescent="0.15">
      <c r="A1157" s="10">
        <v>45905.621527777985</v>
      </c>
      <c r="B1157">
        <f>COUNT(A1157:$A$1158)/(48*252)</f>
        <v>1.6534391534391533E-4</v>
      </c>
      <c r="C1157">
        <v>2.3130000000000002</v>
      </c>
      <c r="D1157">
        <v>0.106</v>
      </c>
      <c r="E1157">
        <f t="shared" si="204"/>
        <v>8.1901817533035537</v>
      </c>
      <c r="F1157">
        <f t="shared" si="205"/>
        <v>0.99999999999999989</v>
      </c>
      <c r="G1157">
        <f t="shared" si="208"/>
        <v>0</v>
      </c>
      <c r="H1157">
        <f>IF(MOD(COUNTA($C$7:C1157)-1,$J$2),H1156,ROUND(F1157*P1157,-2))</f>
        <v>10000</v>
      </c>
      <c r="I1157">
        <f t="shared" si="209"/>
        <v>0</v>
      </c>
      <c r="J1157">
        <f t="shared" si="210"/>
        <v>0</v>
      </c>
      <c r="K1157">
        <f t="shared" si="211"/>
        <v>-21539.478100458087</v>
      </c>
      <c r="L1157">
        <f t="shared" si="212"/>
        <v>1590.5218995419127</v>
      </c>
      <c r="M1157">
        <f t="shared" si="213"/>
        <v>0</v>
      </c>
      <c r="N1157">
        <f>L1157-$F$1</f>
        <v>1590.5218995419127</v>
      </c>
      <c r="O1157" s="5">
        <f t="shared" si="206"/>
        <v>2.1924098957524278E-19</v>
      </c>
      <c r="P1157">
        <f t="shared" si="214"/>
        <v>10000</v>
      </c>
      <c r="Q1157">
        <f t="shared" si="207"/>
        <v>2.1924098957524278E-15</v>
      </c>
    </row>
    <row r="1158" spans="1:17" x14ac:dyDescent="0.15">
      <c r="A1158" s="10">
        <v>45905.625</v>
      </c>
      <c r="B1158">
        <f>COUNT(A1158:$A$1158)/(48*252)</f>
        <v>8.2671957671957667E-5</v>
      </c>
      <c r="C1158">
        <v>2.3079999999999998</v>
      </c>
      <c r="D1158">
        <v>0.1</v>
      </c>
      <c r="E1158">
        <f t="shared" si="204"/>
        <v>11.079741266065771</v>
      </c>
      <c r="F1158">
        <f t="shared" si="205"/>
        <v>1</v>
      </c>
      <c r="G1158">
        <f t="shared" si="208"/>
        <v>-5.0000000000003375E-3</v>
      </c>
      <c r="H1158">
        <f>IF(MOD(COUNTA($C$7:C1158)-1,$J$2),H1157,ROUND(F1158*P1158,-2))</f>
        <v>10000</v>
      </c>
      <c r="I1158">
        <f t="shared" si="209"/>
        <v>0</v>
      </c>
      <c r="J1158">
        <f t="shared" si="210"/>
        <v>0</v>
      </c>
      <c r="K1158">
        <f t="shared" si="211"/>
        <v>-21539.478100458087</v>
      </c>
      <c r="L1158">
        <f t="shared" si="212"/>
        <v>1540.5218995419127</v>
      </c>
      <c r="M1158">
        <f t="shared" si="213"/>
        <v>-50</v>
      </c>
      <c r="N1158">
        <f t="shared" si="215"/>
        <v>1540.5218995419127</v>
      </c>
      <c r="O1158" s="5">
        <f t="shared" si="206"/>
        <v>6.9809929575989106E-32</v>
      </c>
      <c r="P1158">
        <f t="shared" si="214"/>
        <v>10000</v>
      </c>
      <c r="Q1158">
        <f t="shared" si="207"/>
        <v>6.9809929575989106E-28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List Box 1">
              <controlPr defaultSize="0" autoLine="0" autoPict="0" macro="[0]!选择合约">
                <anchor moveWithCells="1">
                  <from>
                    <xdr:col>7</xdr:col>
                    <xdr:colOff>19050</xdr:colOff>
                    <xdr:row>2</xdr:row>
                    <xdr:rowOff>161925</xdr:rowOff>
                  </from>
                  <to>
                    <xdr:col>7</xdr:col>
                    <xdr:colOff>666750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3"/>
  <sheetViews>
    <sheetView tabSelected="1" workbookViewId="0">
      <selection activeCell="B10" sqref="B10"/>
    </sheetView>
  </sheetViews>
  <sheetFormatPr defaultRowHeight="13.5" x14ac:dyDescent="0.15"/>
  <cols>
    <col min="1" max="1" width="32.875" customWidth="1"/>
  </cols>
  <sheetData>
    <row r="1" spans="1:3" ht="27" x14ac:dyDescent="0.15">
      <c r="A1" s="9" t="s">
        <v>34</v>
      </c>
    </row>
    <row r="2" spans="1:3" ht="27" x14ac:dyDescent="0.15">
      <c r="A2" s="9" t="s">
        <v>35</v>
      </c>
    </row>
    <row r="3" spans="1:3" ht="14.25" thickBot="1" x14ac:dyDescent="0.2">
      <c r="A3" s="21"/>
      <c r="B3" s="28"/>
      <c r="C3" s="22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short put&amp;hedge</vt:lpstr>
      <vt:lpstr>long put&amp;hedge</vt:lpstr>
      <vt:lpstr>说明 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2016-02-24T05:18:36Z</dcterms:modified>
</cp:coreProperties>
</file>